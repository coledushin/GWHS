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cores" sheetId="1" state="visible" r:id="rId1"/>
    <sheet name="Questions" sheetId="2" state="visible" r:id="rId2"/>
    <sheet name="Content Standards" sheetId="3" state="visible" r:id="rId3"/>
    <sheet name="Task Models" sheetId="4" state="hidden" r:id="rId4"/>
    <sheet name="Skill Standards" sheetId="5" state="hidden" r:id="rId5"/>
  </sheets>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Roboto"/>
      <color theme="1"/>
    </font>
    <font>
      <name val="Roboto"/>
      <color theme="1"/>
      <sz val="11"/>
    </font>
    <font>
      <name val="Roboto"/>
      <color rgb="FF434343"/>
    </font>
    <font>
      <name val="Arial"/>
      <color theme="1"/>
      <scheme val="minor"/>
    </font>
    <font>
      <name val="Arial"/>
      <color theme="1"/>
      <sz val="10"/>
      <scheme val="minor"/>
    </font>
    <font>
      <name val="Roboto"/>
      <b val="1"/>
      <color rgb="FF434343"/>
    </font>
    <font>
      <name val="Arial"/>
      <color theme="1"/>
    </font>
    <font>
      <name val="Roboto"/>
      <color rgb="FF3D3D3D"/>
    </font>
    <font>
      <name val="Arial"/>
      <b val="1"/>
      <color theme="1"/>
      <scheme val="minor"/>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15">
    <border/>
    <border>
      <left style="thick">
        <color rgb="FFCCCCCC"/>
      </left>
    </border>
    <border>
      <left style="thick">
        <color rgb="FFD9D9D9"/>
      </left>
    </border>
    <border>
      <left style="thick">
        <color rgb="FFD9D9D9"/>
      </left>
      <top style="thin">
        <color rgb="FFFFFFFF"/>
      </top>
      <bottom style="thin">
        <color rgb="FFFFFFFF"/>
      </bottom>
    </border>
    <border>
      <top style="thin">
        <color rgb="FFFFFFFF"/>
      </top>
      <bottom style="thin">
        <color rgb="FFFFFFFF"/>
      </bottom>
    </border>
    <border>
      <left style="thin">
        <color rgb="FFFFFFFF"/>
      </left>
      <top style="thin">
        <color rgb="FFFFFFFF"/>
      </top>
      <bottom style="thin">
        <color rgb="FFFFFFFF"/>
      </bottom>
    </border>
    <border>
      <left style="thick">
        <color rgb="FFCCCCCC"/>
      </left>
      <right/>
      <top/>
      <bottom/>
    </border>
    <border>
      <left/>
      <right/>
      <top/>
      <bottom/>
    </border>
    <border>
      <left/>
      <right style="thick">
        <color rgb="FFCCCCCC"/>
      </right>
      <top/>
      <bottom/>
    </border>
    <border>
      <right style="thick">
        <color rgb="FFCCCCCC"/>
      </right>
    </border>
    <border>
      <left/>
      <top/>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numFmtId="0" fontId="0" fillId="0" borderId="0"/>
  </cellStyleXfs>
  <cellXfs count="94">
    <xf numFmtId="0" fontId="0" fillId="0" borderId="0" applyAlignment="1" pivotButton="0" quotePrefix="0" xfId="0">
      <alignment vertical="bottom"/>
    </xf>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left" vertical="center"/>
    </xf>
    <xf numFmtId="0" fontId="1" fillId="0" borderId="1" applyAlignment="1" pivotButton="0" quotePrefix="0" xfId="0">
      <alignment horizontal="center" vertical="center"/>
    </xf>
    <xf numFmtId="49" fontId="1" fillId="0" borderId="0" applyAlignment="1" pivotButton="0" quotePrefix="0" xfId="0">
      <alignment horizontal="center" vertical="center"/>
    </xf>
    <xf numFmtId="0" fontId="1" fillId="0" borderId="0" applyAlignment="1" pivotButton="0" quotePrefix="0" xfId="0">
      <alignment vertical="center"/>
    </xf>
    <xf numFmtId="0" fontId="1" fillId="0" borderId="0" applyAlignment="1" pivotButton="0" quotePrefix="0" xfId="0">
      <alignment horizontal="center" vertical="center"/>
    </xf>
    <xf numFmtId="0" fontId="1" fillId="0" borderId="2" applyAlignment="1" pivotButton="0" quotePrefix="0" xfId="0">
      <alignment horizontal="center" vertical="center"/>
    </xf>
    <xf numFmtId="0" fontId="1"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3" applyAlignment="1" pivotButton="0" quotePrefix="0" xfId="0">
      <alignment horizontal="center" vertical="center"/>
    </xf>
    <xf numFmtId="9" fontId="1" fillId="0" borderId="4" applyAlignment="1" pivotButton="0" quotePrefix="0" xfId="0">
      <alignment horizontal="center" vertical="center"/>
    </xf>
    <xf numFmtId="0" fontId="1" fillId="0" borderId="5"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8" applyAlignment="1" pivotButton="0" quotePrefix="0" xfId="0">
      <alignment horizontal="center" vertical="center"/>
    </xf>
    <xf numFmtId="0" fontId="1" fillId="0" borderId="1" applyAlignment="1" pivotButton="0" quotePrefix="0" xfId="0">
      <alignment horizontal="center" vertical="center"/>
    </xf>
    <xf numFmtId="0" fontId="1" fillId="0" borderId="0" applyAlignment="1" pivotButton="0" quotePrefix="0" xfId="0">
      <alignment horizontal="center" vertical="center"/>
    </xf>
    <xf numFmtId="3" fontId="2" fillId="0" borderId="1" applyAlignment="1" pivotButton="0" quotePrefix="0" xfId="0">
      <alignment horizontal="center" vertical="center"/>
    </xf>
    <xf numFmtId="3" fontId="2" fillId="0" borderId="9" applyAlignment="1" pivotButton="0" quotePrefix="0" xfId="0">
      <alignment horizontal="center" vertical="center"/>
    </xf>
    <xf numFmtId="3" fontId="2" fillId="0" borderId="0" applyAlignment="1" pivotButton="0" quotePrefix="0" xfId="0">
      <alignment horizontal="center" vertical="center"/>
    </xf>
    <xf numFmtId="3" fontId="2" fillId="0" borderId="8"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10" applyAlignment="1" pivotButton="0" quotePrefix="0" xfId="0">
      <alignment horizontal="center" vertical="center"/>
    </xf>
    <xf numFmtId="0" fontId="2" fillId="0" borderId="10" applyAlignment="1" pivotButton="0" quotePrefix="0" xfId="0">
      <alignment horizontal="center" vertical="center"/>
    </xf>
    <xf numFmtId="3" fontId="2" fillId="0" borderId="9" applyAlignment="1" pivotButton="0" quotePrefix="0" xfId="0">
      <alignment horizontal="center" vertical="center"/>
    </xf>
    <xf numFmtId="3" fontId="2" fillId="0" borderId="10" applyAlignment="1" pivotButton="0" quotePrefix="0" xfId="0">
      <alignment horizontal="center" vertical="center"/>
    </xf>
    <xf numFmtId="0" fontId="2" fillId="0" borderId="10" applyAlignment="1" pivotButton="0" quotePrefix="0" xfId="0">
      <alignment horizontal="center" vertical="center"/>
    </xf>
    <xf numFmtId="3" fontId="2" fillId="0" borderId="1" applyAlignment="1" pivotButton="0" quotePrefix="0" xfId="0">
      <alignment horizontal="center" vertical="center"/>
    </xf>
    <xf numFmtId="0" fontId="2" fillId="0" borderId="0" applyAlignment="1" pivotButton="0" quotePrefix="0" xfId="0">
      <alignment horizontal="center" vertical="center"/>
    </xf>
    <xf numFmtId="3" fontId="1" fillId="0" borderId="1" applyAlignment="1" pivotButton="0" quotePrefix="0" xfId="0">
      <alignment horizontal="center" vertical="center"/>
    </xf>
    <xf numFmtId="3" fontId="1" fillId="0" borderId="0" applyAlignment="1" pivotButton="0" quotePrefix="0" xfId="0">
      <alignment horizontal="center" vertical="center"/>
    </xf>
    <xf numFmtId="3" fontId="3" fillId="0" borderId="0" applyAlignment="1" pivotButton="0" quotePrefix="0" xfId="0">
      <alignment horizontal="center" vertical="center"/>
    </xf>
    <xf numFmtId="0" fontId="1" fillId="0" borderId="0" applyAlignment="1" pivotButton="0" quotePrefix="0" xfId="0">
      <alignment horizontal="center" vertical="center"/>
    </xf>
    <xf numFmtId="3" fontId="1" fillId="0" borderId="9" applyAlignment="1" pivotButton="0" quotePrefix="0" xfId="0">
      <alignment horizontal="center" vertical="center"/>
    </xf>
    <xf numFmtId="0" fontId="1" fillId="0" borderId="2" applyAlignment="1" pivotButton="0" quotePrefix="0" xfId="0">
      <alignment vertical="center"/>
    </xf>
    <xf numFmtId="9" fontId="1"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0" applyAlignment="1" pivotButton="0" quotePrefix="0" xfId="0">
      <alignment vertical="center"/>
    </xf>
    <xf numFmtId="0" fontId="1" fillId="0" borderId="2" applyAlignment="1" pivotButton="0" quotePrefix="0" xfId="0">
      <alignment vertical="center"/>
    </xf>
    <xf numFmtId="0" fontId="1" fillId="0" borderId="2" applyAlignment="1" pivotButton="0" quotePrefix="0" xfId="0">
      <alignment horizontal="center" vertical="center"/>
    </xf>
    <xf numFmtId="9" fontId="4" fillId="0" borderId="0" applyAlignment="1" pivotButton="0" quotePrefix="0" xfId="0">
      <alignment vertical="center"/>
    </xf>
    <xf numFmtId="0" fontId="1" fillId="0" borderId="9" applyAlignment="1" pivotButton="0" quotePrefix="0" xfId="0">
      <alignment horizontal="center" vertical="center"/>
    </xf>
    <xf numFmtId="0" fontId="1" fillId="0" borderId="0" pivotButton="0" quotePrefix="0" xfId="0"/>
    <xf numFmtId="0" fontId="1" fillId="0" borderId="0" applyAlignment="1" pivotButton="0" quotePrefix="0" xfId="0">
      <alignment horizontal="center"/>
    </xf>
    <xf numFmtId="0" fontId="1" fillId="0" borderId="2" pivotButton="0" quotePrefix="0" xfId="0"/>
    <xf numFmtId="0" fontId="1" fillId="0" borderId="2" applyAlignment="1" pivotButton="0" quotePrefix="0" xfId="0">
      <alignment horizontal="center"/>
    </xf>
    <xf numFmtId="9" fontId="1" fillId="0" borderId="0" applyAlignment="1" pivotButton="0" quotePrefix="0" xfId="0">
      <alignment horizontal="center"/>
    </xf>
    <xf numFmtId="0" fontId="1" fillId="0" borderId="1" applyAlignment="1" pivotButton="0" quotePrefix="0" xfId="0">
      <alignment horizontal="center"/>
    </xf>
    <xf numFmtId="0" fontId="1" fillId="0" borderId="9" applyAlignment="1" pivotButton="0" quotePrefix="0" xfId="0">
      <alignment horizontal="center"/>
    </xf>
    <xf numFmtId="0" fontId="5" fillId="0" borderId="0" applyAlignment="1" pivotButton="0" quotePrefix="0" xfId="0">
      <alignment horizontal="center" vertical="center"/>
    </xf>
    <xf numFmtId="49" fontId="5" fillId="0" borderId="0" applyAlignment="1" pivotButton="0" quotePrefix="0" xfId="0">
      <alignment horizontal="center" vertical="center"/>
    </xf>
    <xf numFmtId="0" fontId="5" fillId="0" borderId="0" applyAlignment="1" pivotButton="0" quotePrefix="0" xfId="0">
      <alignment horizontal="left" vertical="center" wrapText="1"/>
    </xf>
    <xf numFmtId="49" fontId="5" fillId="0" borderId="0" applyAlignment="1" pivotButton="0" quotePrefix="0" xfId="0">
      <alignment horizontal="center" vertical="center" wrapText="1"/>
    </xf>
    <xf numFmtId="49" fontId="5" fillId="0" borderId="0" applyAlignment="1" pivotButton="0" quotePrefix="0" xfId="0">
      <alignment horizontal="left" vertical="center" wrapText="1"/>
    </xf>
    <xf numFmtId="49" fontId="5" fillId="0" borderId="0" applyAlignment="1" pivotButton="0" quotePrefix="0" xfId="0">
      <alignment horizontal="left" vertical="center"/>
    </xf>
    <xf numFmtId="0" fontId="5" fillId="0" borderId="0" applyAlignment="1" pivotButton="0" quotePrefix="0" xfId="0">
      <alignment horizontal="left" vertical="center"/>
    </xf>
    <xf numFmtId="0" fontId="6" fillId="2" borderId="11" applyAlignment="1" pivotButton="0" quotePrefix="0" xfId="0">
      <alignment horizontal="center" vertical="center"/>
    </xf>
    <xf numFmtId="0" fontId="3" fillId="2" borderId="12" applyAlignment="1" pivotButton="0" quotePrefix="0" xfId="0">
      <alignment horizontal="center" vertical="center"/>
    </xf>
    <xf numFmtId="0" fontId="3" fillId="2" borderId="12" applyAlignment="1" pivotButton="0" quotePrefix="0" xfId="0">
      <alignment vertical="center" wrapText="1"/>
    </xf>
    <xf numFmtId="0" fontId="3" fillId="2" borderId="12" applyAlignment="1" pivotButton="0" quotePrefix="0" xfId="0">
      <alignment horizontal="center" vertical="center" wrapText="1"/>
    </xf>
    <xf numFmtId="0" fontId="4" fillId="0" borderId="0" applyAlignment="1" pivotButton="0" quotePrefix="0" xfId="0">
      <alignment vertical="center"/>
    </xf>
    <xf numFmtId="0" fontId="3" fillId="2" borderId="12" applyAlignment="1" pivotButton="0" quotePrefix="0" xfId="0">
      <alignment vertical="center" wrapText="1"/>
    </xf>
    <xf numFmtId="0" fontId="7" fillId="2" borderId="12" applyAlignment="1" pivotButton="0" quotePrefix="0" xfId="0">
      <alignment vertical="center"/>
    </xf>
    <xf numFmtId="0" fontId="3" fillId="2" borderId="12" applyAlignment="1" pivotButton="0" quotePrefix="0" xfId="0">
      <alignment vertical="center"/>
    </xf>
    <xf numFmtId="0" fontId="8" fillId="2" borderId="12" applyAlignment="1" pivotButton="0" quotePrefix="0" xfId="0">
      <alignment horizontal="center" vertical="center"/>
    </xf>
    <xf numFmtId="2" fontId="5" fillId="0" borderId="0" applyAlignment="1" pivotButton="0" quotePrefix="0" xfId="0">
      <alignment horizontal="center" vertical="center"/>
    </xf>
    <xf numFmtId="0" fontId="6" fillId="3" borderId="13" applyAlignment="1" pivotButton="0" quotePrefix="0" xfId="0">
      <alignment horizontal="center" vertical="center"/>
    </xf>
    <xf numFmtId="0" fontId="3" fillId="3" borderId="14" applyAlignment="1" pivotButton="0" quotePrefix="0" xfId="0">
      <alignment vertical="center" wrapText="1"/>
    </xf>
    <xf numFmtId="0" fontId="3" fillId="3" borderId="14" applyAlignment="1" pivotButton="0" quotePrefix="0" xfId="0">
      <alignment horizontal="center" vertical="center" wrapText="1"/>
    </xf>
    <xf numFmtId="0" fontId="3" fillId="3" borderId="14" applyAlignment="1" pivotButton="0" quotePrefix="0" xfId="0">
      <alignment vertical="center" wrapText="1"/>
    </xf>
    <xf numFmtId="0" fontId="7" fillId="3" borderId="14" applyAlignment="1" pivotButton="0" quotePrefix="0" xfId="0">
      <alignment vertical="center"/>
    </xf>
    <xf numFmtId="0" fontId="3" fillId="3" borderId="14" applyAlignment="1" pivotButton="0" quotePrefix="0" xfId="0">
      <alignment vertical="center"/>
    </xf>
    <xf numFmtId="0" fontId="8" fillId="3" borderId="14" applyAlignment="1" pivotButton="0" quotePrefix="0" xfId="0">
      <alignment horizontal="center" vertical="center"/>
    </xf>
    <xf numFmtId="0" fontId="7" fillId="2" borderId="12" applyAlignment="1" pivotButton="0" quotePrefix="0" xfId="0">
      <alignment vertical="center"/>
    </xf>
    <xf numFmtId="0" fontId="7" fillId="3" borderId="14" applyAlignment="1" pivotButton="0" quotePrefix="0" xfId="0">
      <alignment vertical="center"/>
    </xf>
    <xf numFmtId="0" fontId="3" fillId="2" borderId="12" applyAlignment="1" pivotButton="0" quotePrefix="0" xfId="0">
      <alignment vertical="center"/>
    </xf>
    <xf numFmtId="0" fontId="3" fillId="3" borderId="14" applyAlignment="1" pivotButton="0" quotePrefix="0" xfId="0">
      <alignment horizontal="center" vertical="center"/>
    </xf>
    <xf numFmtId="0" fontId="7" fillId="3" borderId="14" applyAlignment="1" pivotButton="0" quotePrefix="0" xfId="0">
      <alignment vertical="center"/>
    </xf>
    <xf numFmtId="0" fontId="3" fillId="2" borderId="12" applyAlignment="1" pivotButton="0" quotePrefix="0" xfId="0">
      <alignment vertical="center"/>
    </xf>
    <xf numFmtId="0" fontId="3" fillId="2" borderId="12" applyAlignment="1" pivotButton="0" quotePrefix="0" xfId="0">
      <alignment horizontal="center" vertical="center"/>
    </xf>
    <xf numFmtId="0" fontId="3" fillId="2" borderId="12" applyAlignment="1" pivotButton="0" quotePrefix="0" xfId="0">
      <alignment vertical="center" wrapText="1"/>
    </xf>
    <xf numFmtId="0" fontId="7" fillId="2" borderId="12" applyAlignment="1" pivotButton="0" quotePrefix="0" xfId="0">
      <alignment vertical="center"/>
    </xf>
    <xf numFmtId="0" fontId="3" fillId="3" borderId="14" applyAlignment="1" pivotButton="0" quotePrefix="0" xfId="0">
      <alignment vertical="center"/>
    </xf>
    <xf numFmtId="0" fontId="4" fillId="0" borderId="0" applyAlignment="1" pivotButton="0" quotePrefix="0" xfId="0">
      <alignment horizontal="center" vertical="center"/>
    </xf>
    <xf numFmtId="0" fontId="4" fillId="0" borderId="0" applyAlignment="1" pivotButton="0" quotePrefix="0" xfId="0">
      <alignment horizontal="left" vertical="center" wrapText="1"/>
    </xf>
    <xf numFmtId="0" fontId="9"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horizontal="left" vertical="center"/>
    </xf>
    <xf numFmtId="0" fontId="0" fillId="0" borderId="0" pivotButton="0" quotePrefix="0" xfId="0"/>
  </cellXfs>
  <cellStyles count="1">
    <cellStyle name="Normal" xfId="0" builtinId="0"/>
  </cellStyles>
  <dxfs count="10">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CD9D4"/>
          <bgColor rgb="FFCCD9D4"/>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535FC1"/>
          <bgColor rgb="FF535FC1"/>
        </patternFill>
      </fill>
      <border/>
    </dxf>
    <dxf>
      <font/>
      <fill>
        <patternFill patternType="solid">
          <fgColor rgb="FFBB463C"/>
          <bgColor rgb="FFBB463C"/>
        </patternFill>
      </fill>
      <border/>
    </dxf>
  </dxfs>
  <tableStyles count="5" defaultTableStyle="TableStyleMedium9" defaultPivotStyle="PivotStyleLight16">
    <tableStyle name="Scores-style" pivot="0" count="5">
      <tableStyleElement type="headerRow" dxfId="1"/>
      <tableStyleElement type="firstRowStripe" dxfId="2"/>
      <tableStyleElement type="secondRowStripe" dxfId="3"/>
      <tableStyleElement type="totalRow" dxfId="4"/>
      <tableStyleElement type="wholeTable" size="0" dxfId="5"/>
    </tableStyle>
    <tableStyle name="Questions-style" pivot="0" count="4">
      <tableStyleElement type="headerRow" dxfId="7"/>
      <tableStyleElement type="firstRowStripe" dxfId="2"/>
      <tableStyleElement type="secondRowStripe" dxfId="3"/>
      <tableStyleElement type="wholeTable" size="0" dxfId="5"/>
    </tableStyle>
    <tableStyle name="Content Standards-style" pivot="0" count="4">
      <tableStyleElement type="headerRow" dxfId="8"/>
      <tableStyleElement type="firstRowStripe" dxfId="2"/>
      <tableStyleElement type="secondRowStripe" dxfId="3"/>
      <tableStyleElement type="wholeTable" size="0" dxfId="5"/>
    </tableStyle>
    <tableStyle name="Task Models-style" pivot="0" count="4">
      <tableStyleElement type="headerRow" dxfId="1"/>
      <tableStyleElement type="firstRowStripe" dxfId="2"/>
      <tableStyleElement type="secondRowStripe" dxfId="3"/>
      <tableStyleElement type="wholeTable" size="0" dxfId="5"/>
    </tableStyle>
    <tableStyle name="Skill Standards-style" pivot="0" count="4">
      <tableStyleElement type="headerRow" dxfId="9"/>
      <tableStyleElement type="firstRowStripe" dxfId="2"/>
      <tableStyleElement type="secondRowStripe" dxfId="3"/>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BN195" headerRowCount="1" totalsRowCount="1">
  <tableColumns count="66">
    <tableColumn id="1" name="Class"/>
    <tableColumn id="2" name="Grade"/>
    <tableColumn id="3" name="Period"/>
    <tableColumn id="4" name="Student Name"/>
    <tableColumn id="5" name="ELL?"/>
    <tableColumn id="6" name="IEP?"/>
    <tableColumn id="7" name="MC Score"/>
    <tableColumn id="8" name="MC %"/>
    <tableColumn id="9" name="MC w/ Floor"/>
    <tableColumn id="10" name="MC Blank"/>
    <tableColumn id="11" name="1"/>
    <tableColumn id="12" name="2"/>
    <tableColumn id="13" name="3"/>
    <tableColumn id="14" name="4"/>
    <tableColumn id="15" name="5"/>
    <tableColumn id="16" name="6"/>
    <tableColumn id="17" name="7"/>
    <tableColumn id="18" name="8"/>
    <tableColumn id="19" name="9"/>
    <tableColumn id="20" name="10"/>
    <tableColumn id="21" name="11"/>
    <tableColumn id="22" name="12"/>
    <tableColumn id="23" name="13"/>
    <tableColumn id="24" name="14"/>
    <tableColumn id="25" name="15"/>
    <tableColumn id="26" name="16"/>
    <tableColumn id="27" name="17"/>
    <tableColumn id="28" name="18"/>
    <tableColumn id="29" name="19"/>
    <tableColumn id="30" name="20"/>
    <tableColumn id="31" name="21"/>
    <tableColumn id="32" name="22"/>
    <tableColumn id="33" name="23"/>
    <tableColumn id="34" name="24"/>
    <tableColumn id="35" name="25"/>
    <tableColumn id="36" name="26"/>
    <tableColumn id="37" name="27"/>
    <tableColumn id="38" name="28"/>
    <tableColumn id="39" name="Question 1"/>
    <tableColumn id="40" name="Question 2"/>
    <tableColumn id="41" name="Question 3"/>
    <tableColumn id="42" name="Question 4"/>
    <tableColumn id="43" name="Question 5"/>
    <tableColumn id="44" name="Question 6"/>
    <tableColumn id="45" name="Question 7"/>
    <tableColumn id="46" name="Question 8"/>
    <tableColumn id="47" name="Question 9"/>
    <tableColumn id="48" name="Question 10"/>
    <tableColumn id="49" name="Question 11"/>
    <tableColumn id="50" name="Question 12"/>
    <tableColumn id="51" name="Question 13"/>
    <tableColumn id="52" name="Question 14"/>
    <tableColumn id="53" name="Question 15"/>
    <tableColumn id="54" name="Question 16"/>
    <tableColumn id="55" name="Question 17"/>
    <tableColumn id="56" name="Question 18"/>
    <tableColumn id="57" name="Question 19"/>
    <tableColumn id="58" name="Question 20"/>
    <tableColumn id="59" name="Question 21"/>
    <tableColumn id="60" name="Question 22"/>
    <tableColumn id="61" name="Question 23"/>
    <tableColumn id="62" name="Question 24"/>
    <tableColumn id="63" name="Question 25"/>
    <tableColumn id="64" name="Question 26"/>
    <tableColumn id="65" name="Question 27"/>
    <tableColumn id="66" name="Question 28"/>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M29" headerRowCount="1">
  <tableColumns count="13">
    <tableColumn id="1" name="#"/>
    <tableColumn id="2" name="Part"/>
    <tableColumn id="3" name="Stimulus"/>
    <tableColumn id="4" name="Question"/>
    <tableColumn id="5" name="Answer"/>
    <tableColumn id="6" name="Full Answer"/>
    <tableColumn id="7" name="Stimulus Type"/>
    <tableColumn id="8" name="Source Type"/>
    <tableColumn id="9" name="Task Model"/>
    <tableColumn id="10" name="Skill"/>
    <tableColumn id="11" name="Content"/>
    <tableColumn id="12" name="Need OI?"/>
    <tableColumn id="13" name="Point Biserial"/>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E158" headerRowCount="1">
  <autoFilter ref="$A$1:$E$158">
    <filterColumn colId="0" hiddenButton="0" showButton="1">
      <filters>
        <filter val="11.11a.1"/>
        <filter val="11.11a.2"/>
        <filter val="10.02d"/>
        <filter val="10.02c"/>
        <filter val="10.02b"/>
        <filter val="11.09c.1"/>
        <filter val="10.02a"/>
        <filter val="10.01b.3"/>
        <filter val="10.01b.2"/>
        <filter val="10.01b.1"/>
        <filter val="10.06a.1"/>
        <filter val="11.11c"/>
        <filter val="11.11b"/>
        <filter val="10.04b.2"/>
        <filter val="10.04b.1"/>
        <filter val="10.02c.1"/>
        <filter val="10.10b.2"/>
        <filter val="10.02c.2"/>
        <filter val="11.11a"/>
        <filter val="10.10b.1"/>
        <filter val="10.03d"/>
        <filter val="10.03c"/>
        <filter val="10.03b"/>
        <filter val="10.07b.1"/>
        <filter val="10.09a.2"/>
        <filter val="10.09a.1"/>
        <filter val="11.10b"/>
        <filter val="11.10a"/>
        <filter val="10.05c.1"/>
        <filter val="11.10c"/>
        <filter val="10.03d.1"/>
        <filter val="10.1"/>
        <filter val="10.03d.2"/>
        <filter val="10.03a"/>
        <filter val="11.11b.1"/>
        <filter val="11.11b.2"/>
        <filter val="11.11b.3"/>
        <filter val="10.04a.1"/>
        <filter val="10.04a.2"/>
        <filter val="10.02b.1"/>
        <filter val="10.02b.2"/>
        <filter val="11.09d.1"/>
        <filter val="10.10a.2"/>
        <filter val="10.10a.1"/>
        <filter val="10.08b"/>
        <filter val="10.08a"/>
        <filter val="11.10a.1"/>
        <filter val="10.01b"/>
        <filter val="10.01a"/>
        <filter val="11.10a.4"/>
        <filter val="11.10a.3"/>
        <filter val="11.10a.2"/>
        <filter val="10.07a.1"/>
        <filter val="10.09d.1"/>
        <filter val="10.07a.2"/>
        <filter val="10.05b.1"/>
        <filter val="10.09d.3"/>
        <filter val="10.09d.2"/>
        <filter val="10.03c.1"/>
        <filter val="10.09d"/>
        <filter val="10.09c"/>
        <filter val="10.09b"/>
        <filter val="10.09a"/>
        <filter val="10.10c"/>
        <filter val="10.10b"/>
        <filter val="10.10a"/>
        <filter val="11.09a.3"/>
        <filter val="10.08b.1"/>
        <filter val="11.11c.1"/>
        <filter val="10.08b.2"/>
        <filter val="11.11c.2"/>
        <filter val="11.11c.3"/>
        <filter val="10.06c.2"/>
        <filter val="10.02a.1"/>
        <filter val="10.06c.1"/>
        <filter val="11.09a.5"/>
        <filter val="10.06c"/>
        <filter val="11.09a.4"/>
        <filter val="10.06b"/>
        <filter val="11.09a.7"/>
        <filter val="10.06a"/>
        <filter val="11.09a.6"/>
        <filter val="11.10b.2"/>
        <filter val="11.10b.1"/>
        <filter val="10.09c.2"/>
        <filter val="10.09c.1"/>
        <filter val="10.07d.2"/>
        <filter val="10.05a.1"/>
        <filter val="10.03b.1"/>
        <filter val="10.07d.1"/>
        <filter val="10.09c.3"/>
        <filter val="10.03b.2"/>
        <filter val="10.03b.3"/>
        <filter val="10.05e.1"/>
        <filter val="10.07d"/>
        <filter val="10.07c"/>
        <filter val="10.07b"/>
        <filter val="10.07a"/>
        <filter val="11.09b.2"/>
        <filter val="10.04c"/>
        <filter val="11.09b.1"/>
        <filter val="11.09d"/>
        <filter val="10.01a.3"/>
        <filter val="11.09c"/>
        <filter val="10.01a.2"/>
        <filter val="10.01a.1"/>
        <filter val="11.09b"/>
        <filter val="10.08a.1"/>
        <filter val="10.06b.3"/>
        <filter val="10.06b.4"/>
        <filter val="10.04c.1"/>
        <filter val="10.06b.1"/>
        <filter val="10.06b.2"/>
        <filter val="10.10c.2"/>
        <filter val="10.10c.1"/>
        <filter val="10.02d.1"/>
        <filter val="10.10c.4"/>
        <filter val="10.10c.3"/>
        <filter val="10.04b"/>
        <filter val="10.04a"/>
        <filter val="11.09b.3"/>
        <filter val="10.05e"/>
        <filter val="10.05d"/>
        <filter val="11.10c.3"/>
        <filter val="11.10c.2"/>
        <filter val="11.10c.1"/>
        <filter val="10.09b.1"/>
        <filter val="10.09"/>
        <filter val="10.03a.1"/>
        <filter val="10.05d.1"/>
        <filter val="10.07c.1"/>
        <filter val="10.07c.2"/>
        <filter val="10.05d.3"/>
        <filter val="10.05d.2"/>
        <filter val="10.05d.4"/>
        <filter val="10.02"/>
        <filter val="10.05c"/>
        <filter val="10.01"/>
        <filter val="10.05b"/>
        <filter val="10.04"/>
        <filter val="10.05a"/>
        <filter val="10.03"/>
        <filter val="10.06"/>
        <filter val="10.05"/>
        <filter val="10.08"/>
        <filter val="10.07"/>
      </filters>
    </filterColumn>
  </autoFilter>
  <tableColumns count="5">
    <tableColumn id="1" name="#"/>
    <tableColumn id="2" name="Unit / Concept / Content"/>
    <tableColumn id="3" name="Unit"/>
    <tableColumn id="4" name="Conceptual Understanding"/>
    <tableColumn id="5"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BN624"/>
  <sheetViews>
    <sheetView showGridLines="0" workbookViewId="0">
      <pane ySplit="1" topLeftCell="A2" activePane="bottomLeft" state="frozen"/>
      <selection pane="bottomLeft" activeCell="B3" sqref="B3"/>
    </sheetView>
  </sheetViews>
  <sheetFormatPr baseColWidth="8" defaultColWidth="12.63" defaultRowHeight="15.75" customHeight="1"/>
  <cols>
    <col width="8" customWidth="1" style="93" min="3" max="3"/>
    <col width="21.38" customWidth="1" style="93" min="4" max="4"/>
    <col width="12.63" customWidth="1" style="93" min="7" max="7"/>
    <col width="13.25" customWidth="1" style="93" min="8" max="9"/>
    <col width="6.38" customWidth="1" style="93" min="11" max="38"/>
  </cols>
  <sheetData>
    <row r="1" ht="28.5" customHeight="1" s="93">
      <c r="A1" s="1" t="inlineStr">
        <is>
          <t>Class</t>
        </is>
      </c>
      <c r="B1" s="41" t="inlineStr">
        <is>
          <t>Grade</t>
        </is>
      </c>
      <c r="C1" s="41" t="inlineStr">
        <is>
          <t>Period</t>
        </is>
      </c>
      <c r="D1" s="3" t="inlineStr">
        <is>
          <t>Student Name</t>
        </is>
      </c>
      <c r="E1" s="41" t="inlineStr">
        <is>
          <t>ELL?</t>
        </is>
      </c>
      <c r="F1" s="41" t="inlineStr">
        <is>
          <t>IEP?</t>
        </is>
      </c>
      <c r="G1" s="19" t="inlineStr">
        <is>
          <t>MC Score</t>
        </is>
      </c>
      <c r="H1" s="5" t="inlineStr">
        <is>
          <t>MC %</t>
        </is>
      </c>
      <c r="I1" s="5" t="inlineStr">
        <is>
          <t>MC w/ Floor</t>
        </is>
      </c>
      <c r="J1" s="41" t="inlineStr">
        <is>
          <t>MC Blank</t>
        </is>
      </c>
      <c r="K1" s="19" t="inlineStr">
        <is>
          <t>1</t>
        </is>
      </c>
      <c r="L1" s="41" t="inlineStr">
        <is>
          <t>2</t>
        </is>
      </c>
      <c r="M1" s="41" t="inlineStr">
        <is>
          <t>3</t>
        </is>
      </c>
      <c r="N1" s="41" t="inlineStr">
        <is>
          <t>4</t>
        </is>
      </c>
      <c r="O1" s="41" t="inlineStr">
        <is>
          <t>5</t>
        </is>
      </c>
      <c r="P1" s="41" t="inlineStr">
        <is>
          <t>6</t>
        </is>
      </c>
      <c r="Q1" s="41" t="inlineStr">
        <is>
          <t>7</t>
        </is>
      </c>
      <c r="R1" s="41" t="inlineStr">
        <is>
          <t>8</t>
        </is>
      </c>
      <c r="S1" s="41" t="inlineStr">
        <is>
          <t>9</t>
        </is>
      </c>
      <c r="T1" s="41" t="inlineStr">
        <is>
          <t>10</t>
        </is>
      </c>
      <c r="U1" s="41" t="inlineStr">
        <is>
          <t>11</t>
        </is>
      </c>
      <c r="V1" s="41" t="inlineStr">
        <is>
          <t>12</t>
        </is>
      </c>
      <c r="W1" s="41" t="inlineStr">
        <is>
          <t>13</t>
        </is>
      </c>
      <c r="X1" s="41" t="inlineStr">
        <is>
          <t>14</t>
        </is>
      </c>
      <c r="Y1" s="41" t="inlineStr">
        <is>
          <t>15</t>
        </is>
      </c>
      <c r="Z1" s="41" t="inlineStr">
        <is>
          <t>16</t>
        </is>
      </c>
      <c r="AA1" s="41" t="inlineStr">
        <is>
          <t>17</t>
        </is>
      </c>
      <c r="AB1" s="41" t="inlineStr">
        <is>
          <t>18</t>
        </is>
      </c>
      <c r="AC1" s="41" t="inlineStr">
        <is>
          <t>19</t>
        </is>
      </c>
      <c r="AD1" s="41" t="inlineStr">
        <is>
          <t>20</t>
        </is>
      </c>
      <c r="AE1" s="41" t="inlineStr">
        <is>
          <t>21</t>
        </is>
      </c>
      <c r="AF1" s="41" t="inlineStr">
        <is>
          <t>22</t>
        </is>
      </c>
      <c r="AG1" s="41" t="inlineStr">
        <is>
          <t>23</t>
        </is>
      </c>
      <c r="AH1" s="41" t="inlineStr">
        <is>
          <t>24</t>
        </is>
      </c>
      <c r="AI1" s="41" t="inlineStr">
        <is>
          <t>25</t>
        </is>
      </c>
      <c r="AJ1" s="41" t="inlineStr">
        <is>
          <t>26</t>
        </is>
      </c>
      <c r="AK1" s="41" t="inlineStr">
        <is>
          <t>27</t>
        </is>
      </c>
      <c r="AL1" s="41" t="inlineStr">
        <is>
          <t>28</t>
        </is>
      </c>
      <c r="AM1" s="41" t="inlineStr">
        <is>
          <t>Question 1</t>
        </is>
      </c>
      <c r="AN1" s="41" t="inlineStr">
        <is>
          <t>Question 2</t>
        </is>
      </c>
      <c r="AO1" s="41" t="inlineStr">
        <is>
          <t>Question 3</t>
        </is>
      </c>
      <c r="AP1" s="41" t="inlineStr">
        <is>
          <t>Question 4</t>
        </is>
      </c>
      <c r="AQ1" s="41" t="inlineStr">
        <is>
          <t>Question 5</t>
        </is>
      </c>
      <c r="AR1" s="41" t="inlineStr">
        <is>
          <t>Question 6</t>
        </is>
      </c>
      <c r="AS1" s="41" t="inlineStr">
        <is>
          <t>Question 7</t>
        </is>
      </c>
      <c r="AT1" s="41" t="inlineStr">
        <is>
          <t>Question 8</t>
        </is>
      </c>
      <c r="AU1" s="41" t="inlineStr">
        <is>
          <t>Question 9</t>
        </is>
      </c>
      <c r="AV1" s="41" t="inlineStr">
        <is>
          <t>Question 10</t>
        </is>
      </c>
      <c r="AW1" s="41" t="inlineStr">
        <is>
          <t>Question 11</t>
        </is>
      </c>
      <c r="AX1" s="41" t="inlineStr">
        <is>
          <t>Question 12</t>
        </is>
      </c>
      <c r="AY1" s="41" t="inlineStr">
        <is>
          <t>Question 13</t>
        </is>
      </c>
      <c r="AZ1" s="41" t="inlineStr">
        <is>
          <t>Question 14</t>
        </is>
      </c>
      <c r="BA1" s="41" t="inlineStr">
        <is>
          <t>Question 15</t>
        </is>
      </c>
      <c r="BB1" s="41" t="inlineStr">
        <is>
          <t>Question 16</t>
        </is>
      </c>
      <c r="BC1" s="41" t="inlineStr">
        <is>
          <t>Question 17</t>
        </is>
      </c>
      <c r="BD1" s="41" t="inlineStr">
        <is>
          <t>Question 18</t>
        </is>
      </c>
      <c r="BE1" s="41" t="inlineStr">
        <is>
          <t>Question 19</t>
        </is>
      </c>
      <c r="BF1" s="41" t="inlineStr">
        <is>
          <t>Question 20</t>
        </is>
      </c>
      <c r="BG1" s="41" t="inlineStr">
        <is>
          <t>Question 21</t>
        </is>
      </c>
      <c r="BH1" s="41" t="inlineStr">
        <is>
          <t>Question 22</t>
        </is>
      </c>
      <c r="BI1" s="41" t="inlineStr">
        <is>
          <t>Question 23</t>
        </is>
      </c>
      <c r="BJ1" s="41" t="inlineStr">
        <is>
          <t>Question 24</t>
        </is>
      </c>
      <c r="BK1" s="41" t="inlineStr">
        <is>
          <t>Question 25</t>
        </is>
      </c>
      <c r="BL1" s="41" t="inlineStr">
        <is>
          <t>Question 26</t>
        </is>
      </c>
      <c r="BM1" s="41" t="inlineStr">
        <is>
          <t>Question 27</t>
        </is>
      </c>
      <c r="BN1" s="41" t="inlineStr">
        <is>
          <t>Question 28</t>
        </is>
      </c>
    </row>
    <row r="2" ht="22.5" customHeight="1" s="93">
      <c r="A2" s="42" t="inlineStr">
        <is>
          <t>Kovelsky</t>
        </is>
      </c>
      <c r="B2" s="41" t="n">
        <v>10</v>
      </c>
      <c r="C2" s="41" t="n">
        <v>4</v>
      </c>
      <c r="D2" s="44" t="n">
        <v>236151635</v>
      </c>
      <c r="E2" s="41" t="n"/>
      <c r="F2" s="41" t="n"/>
      <c r="G2" s="11">
        <f>SUM(AM2:BN2)</f>
        <v/>
      </c>
      <c r="H2" s="12">
        <f>G2/28</f>
        <v/>
      </c>
      <c r="I2" s="12">
        <f>0.5+(G2/54)</f>
        <v/>
      </c>
      <c r="J2" s="13">
        <f>COUNTIF(K2:AL2,"")</f>
        <v/>
      </c>
      <c r="K2" s="25" t="n">
        <v>4</v>
      </c>
      <c r="L2" s="26" t="n">
        <v>1</v>
      </c>
      <c r="M2" s="23" t="n">
        <v>3</v>
      </c>
      <c r="N2" s="26" t="n">
        <v>2</v>
      </c>
      <c r="O2" s="23" t="n">
        <v>4</v>
      </c>
      <c r="P2" s="26" t="n">
        <v>4</v>
      </c>
      <c r="Q2" s="23" t="n">
        <v>2</v>
      </c>
      <c r="R2" s="23" t="n">
        <v>4</v>
      </c>
      <c r="S2" s="23" t="n">
        <v>1</v>
      </c>
      <c r="T2" s="23" t="n">
        <v>2</v>
      </c>
      <c r="U2" s="23" t="n">
        <v>1</v>
      </c>
      <c r="V2" s="23" t="n">
        <v>4</v>
      </c>
      <c r="W2" s="23" t="n">
        <v>3</v>
      </c>
      <c r="X2" s="33" t="n">
        <v>4</v>
      </c>
      <c r="Y2" s="23" t="n">
        <v>4</v>
      </c>
      <c r="Z2" s="23" t="n">
        <v>2</v>
      </c>
      <c r="AA2" s="23" t="n">
        <v>3</v>
      </c>
      <c r="AB2" s="23" t="n">
        <v>4</v>
      </c>
      <c r="AC2" s="23" t="n">
        <v>1</v>
      </c>
      <c r="AD2" s="23" t="n">
        <v>2</v>
      </c>
      <c r="AE2" s="33" t="n">
        <v>4</v>
      </c>
      <c r="AF2" s="23" t="n">
        <v>2</v>
      </c>
      <c r="AG2" s="23" t="n">
        <v>2</v>
      </c>
      <c r="AH2" s="23" t="n">
        <v>3</v>
      </c>
      <c r="AI2" s="23" t="n">
        <v>3</v>
      </c>
      <c r="AJ2" s="23" t="n">
        <v>4</v>
      </c>
      <c r="AK2" s="23" t="n">
        <v>2</v>
      </c>
      <c r="AL2" s="24" t="n">
        <v>2</v>
      </c>
      <c r="AM2" s="19">
        <f t="array" ref="AM2">IF(K2=VLOOKUP(VALUE(K$1),{Questions[#],Questions[Answer]},2,FALSE),1,0)</f>
        <v/>
      </c>
      <c r="AN2" s="41">
        <f t="array" ref="AN2">IF(L2=VLOOKUP(VALUE(L$1),{Questions[#],Questions[Answer]},2,FALSE),1,0)</f>
        <v/>
      </c>
      <c r="AO2" s="41">
        <f t="array" ref="AO2">IF(M2=VLOOKUP(VALUE(M$1),{Questions[#],Questions[Answer]},2,FALSE),1,0)</f>
        <v/>
      </c>
      <c r="AP2" s="41">
        <f t="array" ref="AP2">IF(N2=VLOOKUP(VALUE(N$1),{Questions[#],Questions[Answer]},2,FALSE),1,0)</f>
        <v/>
      </c>
      <c r="AQ2" s="41">
        <f t="array" ref="AQ2">IF(O2=VLOOKUP(VALUE(O$1),{Questions[#],Questions[Answer]},2,FALSE),1,0)</f>
        <v/>
      </c>
      <c r="AR2" s="41">
        <f t="array" ref="AR2">IF(P2=VLOOKUP(VALUE(P$1),{Questions[#],Questions[Answer]},2,FALSE),1,0)</f>
        <v/>
      </c>
      <c r="AS2" s="41">
        <f t="array" ref="AS2">IF(Q2=VLOOKUP(VALUE(Q$1),{Questions[#],Questions[Answer]},2,FALSE),1,0)</f>
        <v/>
      </c>
      <c r="AT2" s="41">
        <f t="array" ref="AT2">IF(R2=VLOOKUP(VALUE(R$1),{Questions[#],Questions[Answer]},2,FALSE),1,0)</f>
        <v/>
      </c>
      <c r="AU2" s="41">
        <f t="array" ref="AU2">IF(S2=VLOOKUP(VALUE(S$1),{Questions[#],Questions[Answer]},2,FALSE),1,0)</f>
        <v/>
      </c>
      <c r="AV2" s="41">
        <f t="array" ref="AV2">IF(T2=VLOOKUP(VALUE(T$1),{Questions[#],Questions[Answer]},2,FALSE),1,0)</f>
        <v/>
      </c>
      <c r="AW2" s="41">
        <f t="array" ref="AW2">IF(U2=VLOOKUP(VALUE(U$1),{Questions[#],Questions[Answer]},2,FALSE),1,0)</f>
        <v/>
      </c>
      <c r="AX2" s="41">
        <f t="array" ref="AX2">IF(V2=VLOOKUP(VALUE(V$1),{Questions[#],Questions[Answer]},2,FALSE),1,0)</f>
        <v/>
      </c>
      <c r="AY2" s="41">
        <f t="array" ref="AY2">IF(W2=VLOOKUP(VALUE(W$1),{Questions[#],Questions[Answer]},2,FALSE),1,0)</f>
        <v/>
      </c>
      <c r="AZ2" s="41">
        <f t="array" ref="AZ2">IF(X2=VLOOKUP(VALUE(X$1),{Questions[#],Questions[Answer]},2,FALSE),1,0)</f>
        <v/>
      </c>
      <c r="BA2" s="41">
        <f t="array" ref="BA2">IF(Y2=VLOOKUP(VALUE(Y$1),{Questions[#],Questions[Answer]},2,FALSE),1,0)</f>
        <v/>
      </c>
      <c r="BB2" s="41">
        <f t="array" ref="BB2">IF(Z2=VLOOKUP(VALUE(Z$1),{Questions[#],Questions[Answer]},2,FALSE),1,0)</f>
        <v/>
      </c>
      <c r="BC2" s="41">
        <f t="array" ref="BC2">IF(AA2=VLOOKUP(VALUE(AA$1),{Questions[#],Questions[Answer]},2,FALSE),1,0)</f>
        <v/>
      </c>
      <c r="BD2" s="41">
        <f t="array" ref="BD2">IF(AB2=VLOOKUP(VALUE(AB$1),{Questions[#],Questions[Answer]},2,FALSE),1,0)</f>
        <v/>
      </c>
      <c r="BE2" s="41">
        <f t="array" ref="BE2">IF(AC2=VLOOKUP(VALUE(AC$1),{Questions[#],Questions[Answer]},2,FALSE),1,0)</f>
        <v/>
      </c>
      <c r="BF2" s="41">
        <f t="array" ref="BF2">IF(AD2=VLOOKUP(VALUE(AD$1),{Questions[#],Questions[Answer]},2,FALSE),1,0)</f>
        <v/>
      </c>
      <c r="BG2" s="41">
        <f t="array" ref="BG2">IF(AE2=VLOOKUP(VALUE(AE$1),{Questions[#],Questions[Answer]},2,FALSE),1,0)</f>
        <v/>
      </c>
      <c r="BH2" s="41">
        <f t="array" ref="BH2">IF(AF2=VLOOKUP(VALUE(AF$1),{Questions[#],Questions[Answer]},2,FALSE),1,0)</f>
        <v/>
      </c>
      <c r="BI2" s="41">
        <f t="array" ref="BI2">IF(AG2=VLOOKUP(VALUE(AG$1),{Questions[#],Questions[Answer]},2,FALSE),1,0)</f>
        <v/>
      </c>
      <c r="BJ2" s="41">
        <f t="array" ref="BJ2">IF(AH2=VLOOKUP(VALUE(AH$1),{Questions[#],Questions[Answer]},2,FALSE),1,0)</f>
        <v/>
      </c>
      <c r="BK2" s="41">
        <f t="array" ref="BK2">IF(AI2=VLOOKUP(VALUE(AI$1),{Questions[#],Questions[Answer]},2,FALSE),1,0)</f>
        <v/>
      </c>
      <c r="BL2" s="41">
        <f t="array" ref="BL2">IF(AJ2=VLOOKUP(VALUE(AJ$1),{Questions[#],Questions[Answer]},2,FALSE),1,0)</f>
        <v/>
      </c>
      <c r="BM2" s="41">
        <f t="array" ref="BM2">IF(AK2=VLOOKUP(VALUE(AK$1),{Questions[#],Questions[Answer]},2,FALSE),1,0)</f>
        <v/>
      </c>
      <c r="BN2" s="41">
        <f t="array" ref="BN2">IF(AL2=VLOOKUP(VALUE(AL$1),{Questions[#],Questions[Answer]},2,FALSE),1,0)</f>
        <v/>
      </c>
    </row>
    <row r="3" ht="22.5" customHeight="1" s="93">
      <c r="A3" s="42" t="inlineStr">
        <is>
          <t>Kovelsky</t>
        </is>
      </c>
      <c r="B3" s="41" t="n">
        <v>10</v>
      </c>
      <c r="C3" s="41" t="n">
        <v>4</v>
      </c>
      <c r="D3" s="44" t="n">
        <v>236265534</v>
      </c>
      <c r="E3" s="41" t="n"/>
      <c r="F3" s="41" t="n"/>
      <c r="G3" s="11">
        <f>SUM(AM3:BN3)</f>
        <v/>
      </c>
      <c r="H3" s="12">
        <f>G3/28</f>
        <v/>
      </c>
      <c r="I3" s="12">
        <f>0.5+(G3/54)</f>
        <v/>
      </c>
      <c r="J3" s="13">
        <f>COUNTIF(K3:AL3,"")</f>
        <v/>
      </c>
      <c r="K3" s="32" t="n">
        <v>4</v>
      </c>
      <c r="L3" s="23" t="n">
        <v>1</v>
      </c>
      <c r="M3" s="23" t="n">
        <v>3</v>
      </c>
      <c r="N3" s="26" t="n">
        <v>4</v>
      </c>
      <c r="O3" s="23" t="n">
        <v>1</v>
      </c>
      <c r="P3" s="23" t="n">
        <v>2</v>
      </c>
      <c r="Q3" s="23" t="n">
        <v>2</v>
      </c>
      <c r="R3" s="23" t="n">
        <v>3</v>
      </c>
      <c r="S3" s="23" t="n">
        <v>1</v>
      </c>
      <c r="T3" s="23" t="n">
        <v>1</v>
      </c>
      <c r="U3" s="23" t="inlineStr">
        <is>
          <t> </t>
        </is>
      </c>
      <c r="V3" s="23" t="n">
        <v>4</v>
      </c>
      <c r="W3" s="23" t="n">
        <v>2</v>
      </c>
      <c r="X3" s="33" t="n">
        <v>2</v>
      </c>
      <c r="Y3" s="23" t="n">
        <v>3</v>
      </c>
      <c r="Z3" s="23" t="n">
        <v>1</v>
      </c>
      <c r="AA3" s="23" t="n">
        <v>4</v>
      </c>
      <c r="AB3" s="23" t="n">
        <v>4</v>
      </c>
      <c r="AC3" s="23" t="n">
        <v>3</v>
      </c>
      <c r="AD3" s="23" t="n">
        <v>4</v>
      </c>
      <c r="AE3" s="33" t="n">
        <v>3</v>
      </c>
      <c r="AF3" s="23" t="n">
        <v>4</v>
      </c>
      <c r="AG3" s="23" t="n">
        <v>3</v>
      </c>
      <c r="AH3" s="23" t="n">
        <v>1</v>
      </c>
      <c r="AI3" s="23" t="n">
        <v>4</v>
      </c>
      <c r="AJ3" s="23" t="n">
        <v>3</v>
      </c>
      <c r="AK3" s="23" t="n">
        <v>3</v>
      </c>
      <c r="AL3" s="29" t="n">
        <v>3</v>
      </c>
      <c r="AM3" s="19">
        <f t="array" ref="AM3">IF(K3=VLOOKUP(VALUE(K$1),{Questions[#],Questions[Answer]},2,FALSE),1,0)</f>
        <v/>
      </c>
      <c r="AN3" s="41">
        <f t="array" ref="AN3">IF(L3=VLOOKUP(VALUE(L$1),{Questions[#],Questions[Answer]},2,FALSE),1,0)</f>
        <v/>
      </c>
      <c r="AO3" s="41">
        <f t="array" ref="AO3">IF(M3=VLOOKUP(VALUE(M$1),{Questions[#],Questions[Answer]},2,FALSE),1,0)</f>
        <v/>
      </c>
      <c r="AP3" s="41">
        <f t="array" ref="AP3">IF(N3=VLOOKUP(VALUE(N$1),{Questions[#],Questions[Answer]},2,FALSE),1,0)</f>
        <v/>
      </c>
      <c r="AQ3" s="41">
        <f t="array" ref="AQ3">IF(O3=VLOOKUP(VALUE(O$1),{Questions[#],Questions[Answer]},2,FALSE),1,0)</f>
        <v/>
      </c>
      <c r="AR3" s="41">
        <f t="array" ref="AR3">IF(P3=VLOOKUP(VALUE(P$1),{Questions[#],Questions[Answer]},2,FALSE),1,0)</f>
        <v/>
      </c>
      <c r="AS3" s="41">
        <f t="array" ref="AS3">IF(Q3=VLOOKUP(VALUE(Q$1),{Questions[#],Questions[Answer]},2,FALSE),1,0)</f>
        <v/>
      </c>
      <c r="AT3" s="41">
        <f t="array" ref="AT3">IF(R3=VLOOKUP(VALUE(R$1),{Questions[#],Questions[Answer]},2,FALSE),1,0)</f>
        <v/>
      </c>
      <c r="AU3" s="41">
        <f t="array" ref="AU3">IF(S3=VLOOKUP(VALUE(S$1),{Questions[#],Questions[Answer]},2,FALSE),1,0)</f>
        <v/>
      </c>
      <c r="AV3" s="41">
        <f t="array" ref="AV3">IF(T3=VLOOKUP(VALUE(T$1),{Questions[#],Questions[Answer]},2,FALSE),1,0)</f>
        <v/>
      </c>
      <c r="AW3" s="41">
        <f t="array" ref="AW3">IF(U3=VLOOKUP(VALUE(U$1),{Questions[#],Questions[Answer]},2,FALSE),1,0)</f>
        <v/>
      </c>
      <c r="AX3" s="41">
        <f t="array" ref="AX3">IF(V3=VLOOKUP(VALUE(V$1),{Questions[#],Questions[Answer]},2,FALSE),1,0)</f>
        <v/>
      </c>
      <c r="AY3" s="41">
        <f t="array" ref="AY3">IF(W3=VLOOKUP(VALUE(W$1),{Questions[#],Questions[Answer]},2,FALSE),1,0)</f>
        <v/>
      </c>
      <c r="AZ3" s="41">
        <f t="array" ref="AZ3">IF(X3=VLOOKUP(VALUE(X$1),{Questions[#],Questions[Answer]},2,FALSE),1,0)</f>
        <v/>
      </c>
      <c r="BA3" s="41">
        <f t="array" ref="BA3">IF(Y3=VLOOKUP(VALUE(Y$1),{Questions[#],Questions[Answer]},2,FALSE),1,0)</f>
        <v/>
      </c>
      <c r="BB3" s="41">
        <f t="array" ref="BB3">IF(Z3=VLOOKUP(VALUE(Z$1),{Questions[#],Questions[Answer]},2,FALSE),1,0)</f>
        <v/>
      </c>
      <c r="BC3" s="41">
        <f t="array" ref="BC3">IF(AA3=VLOOKUP(VALUE(AA$1),{Questions[#],Questions[Answer]},2,FALSE),1,0)</f>
        <v/>
      </c>
      <c r="BD3" s="41">
        <f t="array" ref="BD3">IF(AB3=VLOOKUP(VALUE(AB$1),{Questions[#],Questions[Answer]},2,FALSE),1,0)</f>
        <v/>
      </c>
      <c r="BE3" s="41">
        <f t="array" ref="BE3">IF(AC3=VLOOKUP(VALUE(AC$1),{Questions[#],Questions[Answer]},2,FALSE),1,0)</f>
        <v/>
      </c>
      <c r="BF3" s="41">
        <f t="array" ref="BF3">IF(AD3=VLOOKUP(VALUE(AD$1),{Questions[#],Questions[Answer]},2,FALSE),1,0)</f>
        <v/>
      </c>
      <c r="BG3" s="41">
        <f t="array" ref="BG3">IF(AE3=VLOOKUP(VALUE(AE$1),{Questions[#],Questions[Answer]},2,FALSE),1,0)</f>
        <v/>
      </c>
      <c r="BH3" s="41">
        <f t="array" ref="BH3">IF(AF3=VLOOKUP(VALUE(AF$1),{Questions[#],Questions[Answer]},2,FALSE),1,0)</f>
        <v/>
      </c>
      <c r="BI3" s="41">
        <f t="array" ref="BI3">IF(AG3=VLOOKUP(VALUE(AG$1),{Questions[#],Questions[Answer]},2,FALSE),1,0)</f>
        <v/>
      </c>
      <c r="BJ3" s="41">
        <f t="array" ref="BJ3">IF(AH3=VLOOKUP(VALUE(AH$1),{Questions[#],Questions[Answer]},2,FALSE),1,0)</f>
        <v/>
      </c>
      <c r="BK3" s="41">
        <f t="array" ref="BK3">IF(AI3=VLOOKUP(VALUE(AI$1),{Questions[#],Questions[Answer]},2,FALSE),1,0)</f>
        <v/>
      </c>
      <c r="BL3" s="41">
        <f t="array" ref="BL3">IF(AJ3=VLOOKUP(VALUE(AJ$1),{Questions[#],Questions[Answer]},2,FALSE),1,0)</f>
        <v/>
      </c>
      <c r="BM3" s="41">
        <f t="array" ref="BM3">IF(AK3=VLOOKUP(VALUE(AK$1),{Questions[#],Questions[Answer]},2,FALSE),1,0)</f>
        <v/>
      </c>
      <c r="BN3" s="41">
        <f t="array" ref="BN3">IF(AL3=VLOOKUP(VALUE(AL$1),{Questions[#],Questions[Answer]},2,FALSE),1,0)</f>
        <v/>
      </c>
    </row>
    <row r="4" ht="22.5" customHeight="1" s="93">
      <c r="A4" s="42" t="inlineStr">
        <is>
          <t>Kovelsky</t>
        </is>
      </c>
      <c r="B4" s="41" t="n">
        <v>10</v>
      </c>
      <c r="C4" s="41" t="n">
        <v>4</v>
      </c>
      <c r="D4" s="44" t="n">
        <v>237204276</v>
      </c>
      <c r="E4" s="41" t="n"/>
      <c r="F4" s="41" t="n"/>
      <c r="G4" s="11">
        <f>SUM(AM4:BN4)</f>
        <v/>
      </c>
      <c r="H4" s="12">
        <f>G4/28</f>
        <v/>
      </c>
      <c r="I4" s="12">
        <f>0.5+(G4/54)</f>
        <v/>
      </c>
      <c r="J4" s="13">
        <f>COUNTIF(K4:AL4,"")</f>
        <v/>
      </c>
      <c r="K4" s="32" t="n">
        <v>4</v>
      </c>
      <c r="L4" s="23" t="n">
        <v>1</v>
      </c>
      <c r="M4" s="26" t="n">
        <v>3</v>
      </c>
      <c r="N4" s="26" t="n">
        <v>2</v>
      </c>
      <c r="O4" s="23" t="n">
        <v>1</v>
      </c>
      <c r="P4" s="23" t="n">
        <v>3</v>
      </c>
      <c r="Q4" s="26" t="n">
        <v>4</v>
      </c>
      <c r="R4" s="23" t="n">
        <v>3</v>
      </c>
      <c r="S4" s="23" t="n">
        <v>1</v>
      </c>
      <c r="T4" s="23" t="n">
        <v>4</v>
      </c>
      <c r="U4" s="23" t="n">
        <v>1</v>
      </c>
      <c r="V4" s="23" t="n">
        <v>4</v>
      </c>
      <c r="W4" s="23" t="n">
        <v>2</v>
      </c>
      <c r="X4" s="33" t="n">
        <v>3</v>
      </c>
      <c r="Y4" s="23" t="n">
        <v>4</v>
      </c>
      <c r="Z4" s="23" t="n">
        <v>3</v>
      </c>
      <c r="AA4" s="23" t="n">
        <v>4</v>
      </c>
      <c r="AB4" s="23" t="n">
        <v>4</v>
      </c>
      <c r="AC4" s="23" t="n">
        <v>1</v>
      </c>
      <c r="AD4" s="23" t="n">
        <v>3</v>
      </c>
      <c r="AE4" s="33" t="n">
        <v>4</v>
      </c>
      <c r="AF4" s="23" t="n">
        <v>1</v>
      </c>
      <c r="AG4" s="23" t="n">
        <v>2</v>
      </c>
      <c r="AH4" s="23" t="n">
        <v>4</v>
      </c>
      <c r="AI4" s="23" t="n">
        <v>2</v>
      </c>
      <c r="AJ4" s="23" t="n">
        <v>4</v>
      </c>
      <c r="AK4" s="23" t="n">
        <v>1</v>
      </c>
      <c r="AL4" s="29" t="n">
        <v>3</v>
      </c>
      <c r="AM4" s="19">
        <f t="array" ref="AM4">IF(K4=VLOOKUP(VALUE(K$1),{Questions[#],Questions[Answer]},2,FALSE),1,0)</f>
        <v/>
      </c>
      <c r="AN4" s="41">
        <f t="array" ref="AN4">IF(L4=VLOOKUP(VALUE(L$1),{Questions[#],Questions[Answer]},2,FALSE),1,0)</f>
        <v/>
      </c>
      <c r="AO4" s="41">
        <f t="array" ref="AO4">IF(M4=VLOOKUP(VALUE(M$1),{Questions[#],Questions[Answer]},2,FALSE),1,0)</f>
        <v/>
      </c>
      <c r="AP4" s="41">
        <f t="array" ref="AP4">IF(N4=VLOOKUP(VALUE(N$1),{Questions[#],Questions[Answer]},2,FALSE),1,0)</f>
        <v/>
      </c>
      <c r="AQ4" s="41">
        <f t="array" ref="AQ4">IF(O4=VLOOKUP(VALUE(O$1),{Questions[#],Questions[Answer]},2,FALSE),1,0)</f>
        <v/>
      </c>
      <c r="AR4" s="41">
        <f t="array" ref="AR4">IF(P4=VLOOKUP(VALUE(P$1),{Questions[#],Questions[Answer]},2,FALSE),1,0)</f>
        <v/>
      </c>
      <c r="AS4" s="41">
        <f t="array" ref="AS4">IF(Q4=VLOOKUP(VALUE(Q$1),{Questions[#],Questions[Answer]},2,FALSE),1,0)</f>
        <v/>
      </c>
      <c r="AT4" s="41">
        <f t="array" ref="AT4">IF(R4=VLOOKUP(VALUE(R$1),{Questions[#],Questions[Answer]},2,FALSE),1,0)</f>
        <v/>
      </c>
      <c r="AU4" s="41">
        <f t="array" ref="AU4">IF(S4=VLOOKUP(VALUE(S$1),{Questions[#],Questions[Answer]},2,FALSE),1,0)</f>
        <v/>
      </c>
      <c r="AV4" s="41">
        <f t="array" ref="AV4">IF(T4=VLOOKUP(VALUE(T$1),{Questions[#],Questions[Answer]},2,FALSE),1,0)</f>
        <v/>
      </c>
      <c r="AW4" s="41">
        <f t="array" ref="AW4">IF(U4=VLOOKUP(VALUE(U$1),{Questions[#],Questions[Answer]},2,FALSE),1,0)</f>
        <v/>
      </c>
      <c r="AX4" s="41">
        <f t="array" ref="AX4">IF(V4=VLOOKUP(VALUE(V$1),{Questions[#],Questions[Answer]},2,FALSE),1,0)</f>
        <v/>
      </c>
      <c r="AY4" s="41">
        <f t="array" ref="AY4">IF(W4=VLOOKUP(VALUE(W$1),{Questions[#],Questions[Answer]},2,FALSE),1,0)</f>
        <v/>
      </c>
      <c r="AZ4" s="41">
        <f t="array" ref="AZ4">IF(X4=VLOOKUP(VALUE(X$1),{Questions[#],Questions[Answer]},2,FALSE),1,0)</f>
        <v/>
      </c>
      <c r="BA4" s="41">
        <f t="array" ref="BA4">IF(Y4=VLOOKUP(VALUE(Y$1),{Questions[#],Questions[Answer]},2,FALSE),1,0)</f>
        <v/>
      </c>
      <c r="BB4" s="41">
        <f t="array" ref="BB4">IF(Z4=VLOOKUP(VALUE(Z$1),{Questions[#],Questions[Answer]},2,FALSE),1,0)</f>
        <v/>
      </c>
      <c r="BC4" s="41">
        <f t="array" ref="BC4">IF(AA4=VLOOKUP(VALUE(AA$1),{Questions[#],Questions[Answer]},2,FALSE),1,0)</f>
        <v/>
      </c>
      <c r="BD4" s="41">
        <f t="array" ref="BD4">IF(AB4=VLOOKUP(VALUE(AB$1),{Questions[#],Questions[Answer]},2,FALSE),1,0)</f>
        <v/>
      </c>
      <c r="BE4" s="41">
        <f t="array" ref="BE4">IF(AC4=VLOOKUP(VALUE(AC$1),{Questions[#],Questions[Answer]},2,FALSE),1,0)</f>
        <v/>
      </c>
      <c r="BF4" s="41">
        <f t="array" ref="BF4">IF(AD4=VLOOKUP(VALUE(AD$1),{Questions[#],Questions[Answer]},2,FALSE),1,0)</f>
        <v/>
      </c>
      <c r="BG4" s="41">
        <f t="array" ref="BG4">IF(AE4=VLOOKUP(VALUE(AE$1),{Questions[#],Questions[Answer]},2,FALSE),1,0)</f>
        <v/>
      </c>
      <c r="BH4" s="41">
        <f t="array" ref="BH4">IF(AF4=VLOOKUP(VALUE(AF$1),{Questions[#],Questions[Answer]},2,FALSE),1,0)</f>
        <v/>
      </c>
      <c r="BI4" s="41">
        <f t="array" ref="BI4">IF(AG4=VLOOKUP(VALUE(AG$1),{Questions[#],Questions[Answer]},2,FALSE),1,0)</f>
        <v/>
      </c>
      <c r="BJ4" s="41">
        <f t="array" ref="BJ4">IF(AH4=VLOOKUP(VALUE(AH$1),{Questions[#],Questions[Answer]},2,FALSE),1,0)</f>
        <v/>
      </c>
      <c r="BK4" s="41">
        <f t="array" ref="BK4">IF(AI4=VLOOKUP(VALUE(AI$1),{Questions[#],Questions[Answer]},2,FALSE),1,0)</f>
        <v/>
      </c>
      <c r="BL4" s="41">
        <f t="array" ref="BL4">IF(AJ4=VLOOKUP(VALUE(AJ$1),{Questions[#],Questions[Answer]},2,FALSE),1,0)</f>
        <v/>
      </c>
      <c r="BM4" s="41">
        <f t="array" ref="BM4">IF(AK4=VLOOKUP(VALUE(AK$1),{Questions[#],Questions[Answer]},2,FALSE),1,0)</f>
        <v/>
      </c>
      <c r="BN4" s="41">
        <f t="array" ref="BN4">IF(AL4=VLOOKUP(VALUE(AL$1),{Questions[#],Questions[Answer]},2,FALSE),1,0)</f>
        <v/>
      </c>
    </row>
    <row r="5" ht="22.5" customHeight="1" s="93">
      <c r="A5" s="42" t="inlineStr">
        <is>
          <t>Kovelsky</t>
        </is>
      </c>
      <c r="B5" s="41" t="n">
        <v>10</v>
      </c>
      <c r="C5" s="41" t="n">
        <v>4</v>
      </c>
      <c r="D5" s="44" t="n">
        <v>215097973</v>
      </c>
      <c r="E5" s="41" t="n"/>
      <c r="F5" s="41" t="n"/>
      <c r="G5" s="11">
        <f>SUM(AM5:BN5)</f>
        <v/>
      </c>
      <c r="H5" s="12">
        <f>G5/28</f>
        <v/>
      </c>
      <c r="I5" s="12">
        <f>0.5+(G5/54)</f>
        <v/>
      </c>
      <c r="J5" s="13">
        <f>COUNTIF(K5:AL5,"")</f>
        <v/>
      </c>
      <c r="K5" s="25" t="n">
        <v>4</v>
      </c>
      <c r="L5" s="23" t="n">
        <v>1</v>
      </c>
      <c r="M5" s="26" t="n">
        <v>3</v>
      </c>
      <c r="N5" s="23" t="n">
        <v>2</v>
      </c>
      <c r="O5" s="23" t="n">
        <v>1</v>
      </c>
      <c r="P5" s="23" t="n">
        <v>2</v>
      </c>
      <c r="Q5" s="26" t="n">
        <v>4</v>
      </c>
      <c r="R5" s="23" t="n">
        <v>2</v>
      </c>
      <c r="S5" s="23" t="n">
        <v>1</v>
      </c>
      <c r="T5" s="23" t="n">
        <v>4</v>
      </c>
      <c r="U5" s="23" t="n">
        <v>2</v>
      </c>
      <c r="V5" s="23" t="n">
        <v>2</v>
      </c>
      <c r="W5" s="23" t="n">
        <v>3</v>
      </c>
      <c r="X5" s="33" t="n">
        <v>2</v>
      </c>
      <c r="Y5" s="23" t="n">
        <v>1</v>
      </c>
      <c r="Z5" s="23" t="n">
        <v>2</v>
      </c>
      <c r="AA5" s="23" t="n">
        <v>1</v>
      </c>
      <c r="AB5" s="23" t="n">
        <v>3</v>
      </c>
      <c r="AC5" s="23" t="n">
        <v>4</v>
      </c>
      <c r="AD5" s="23" t="n">
        <v>1</v>
      </c>
      <c r="AE5" s="33" t="n">
        <v>3</v>
      </c>
      <c r="AF5" s="23" t="n">
        <v>2</v>
      </c>
      <c r="AG5" s="23" t="n">
        <v>1</v>
      </c>
      <c r="AH5" s="23" t="n">
        <v>3</v>
      </c>
      <c r="AI5" s="23" t="n">
        <v>1</v>
      </c>
      <c r="AJ5" s="23" t="n">
        <v>3</v>
      </c>
      <c r="AK5" s="23" t="n">
        <v>2</v>
      </c>
      <c r="AL5" s="24" t="n">
        <v>2</v>
      </c>
      <c r="AM5" s="19">
        <f t="array" ref="AM5">IF(K5=VLOOKUP(VALUE(K$1),{Questions[#],Questions[Answer]},2,FALSE),1,0)</f>
        <v/>
      </c>
      <c r="AN5" s="41">
        <f t="array" ref="AN5">IF(L5=VLOOKUP(VALUE(L$1),{Questions[#],Questions[Answer]},2,FALSE),1,0)</f>
        <v/>
      </c>
      <c r="AO5" s="41">
        <f t="array" ref="AO5">IF(M5=VLOOKUP(VALUE(M$1),{Questions[#],Questions[Answer]},2,FALSE),1,0)</f>
        <v/>
      </c>
      <c r="AP5" s="41">
        <f t="array" ref="AP5">IF(N5=VLOOKUP(VALUE(N$1),{Questions[#],Questions[Answer]},2,FALSE),1,0)</f>
        <v/>
      </c>
      <c r="AQ5" s="41">
        <f t="array" ref="AQ5">IF(O5=VLOOKUP(VALUE(O$1),{Questions[#],Questions[Answer]},2,FALSE),1,0)</f>
        <v/>
      </c>
      <c r="AR5" s="41">
        <f t="array" ref="AR5">IF(P5=VLOOKUP(VALUE(P$1),{Questions[#],Questions[Answer]},2,FALSE),1,0)</f>
        <v/>
      </c>
      <c r="AS5" s="41">
        <f t="array" ref="AS5">IF(Q5=VLOOKUP(VALUE(Q$1),{Questions[#],Questions[Answer]},2,FALSE),1,0)</f>
        <v/>
      </c>
      <c r="AT5" s="41">
        <f t="array" ref="AT5">IF(R5=VLOOKUP(VALUE(R$1),{Questions[#],Questions[Answer]},2,FALSE),1,0)</f>
        <v/>
      </c>
      <c r="AU5" s="41">
        <f t="array" ref="AU5">IF(S5=VLOOKUP(VALUE(S$1),{Questions[#],Questions[Answer]},2,FALSE),1,0)</f>
        <v/>
      </c>
      <c r="AV5" s="41">
        <f t="array" ref="AV5">IF(T5=VLOOKUP(VALUE(T$1),{Questions[#],Questions[Answer]},2,FALSE),1,0)</f>
        <v/>
      </c>
      <c r="AW5" s="41">
        <f t="array" ref="AW5">IF(U5=VLOOKUP(VALUE(U$1),{Questions[#],Questions[Answer]},2,FALSE),1,0)</f>
        <v/>
      </c>
      <c r="AX5" s="41">
        <f t="array" ref="AX5">IF(V5=VLOOKUP(VALUE(V$1),{Questions[#],Questions[Answer]},2,FALSE),1,0)</f>
        <v/>
      </c>
      <c r="AY5" s="41">
        <f t="array" ref="AY5">IF(W5=VLOOKUP(VALUE(W$1),{Questions[#],Questions[Answer]},2,FALSE),1,0)</f>
        <v/>
      </c>
      <c r="AZ5" s="41">
        <f t="array" ref="AZ5">IF(X5=VLOOKUP(VALUE(X$1),{Questions[#],Questions[Answer]},2,FALSE),1,0)</f>
        <v/>
      </c>
      <c r="BA5" s="41">
        <f t="array" ref="BA5">IF(Y5=VLOOKUP(VALUE(Y$1),{Questions[#],Questions[Answer]},2,FALSE),1,0)</f>
        <v/>
      </c>
      <c r="BB5" s="41">
        <f t="array" ref="BB5">IF(Z5=VLOOKUP(VALUE(Z$1),{Questions[#],Questions[Answer]},2,FALSE),1,0)</f>
        <v/>
      </c>
      <c r="BC5" s="41">
        <f t="array" ref="BC5">IF(AA5=VLOOKUP(VALUE(AA$1),{Questions[#],Questions[Answer]},2,FALSE),1,0)</f>
        <v/>
      </c>
      <c r="BD5" s="41">
        <f t="array" ref="BD5">IF(AB5=VLOOKUP(VALUE(AB$1),{Questions[#],Questions[Answer]},2,FALSE),1,0)</f>
        <v/>
      </c>
      <c r="BE5" s="41">
        <f t="array" ref="BE5">IF(AC5=VLOOKUP(VALUE(AC$1),{Questions[#],Questions[Answer]},2,FALSE),1,0)</f>
        <v/>
      </c>
      <c r="BF5" s="41">
        <f t="array" ref="BF5">IF(AD5=VLOOKUP(VALUE(AD$1),{Questions[#],Questions[Answer]},2,FALSE),1,0)</f>
        <v/>
      </c>
      <c r="BG5" s="41">
        <f t="array" ref="BG5">IF(AE5=VLOOKUP(VALUE(AE$1),{Questions[#],Questions[Answer]},2,FALSE),1,0)</f>
        <v/>
      </c>
      <c r="BH5" s="41">
        <f t="array" ref="BH5">IF(AF5=VLOOKUP(VALUE(AF$1),{Questions[#],Questions[Answer]},2,FALSE),1,0)</f>
        <v/>
      </c>
      <c r="BI5" s="41">
        <f t="array" ref="BI5">IF(AG5=VLOOKUP(VALUE(AG$1),{Questions[#],Questions[Answer]},2,FALSE),1,0)</f>
        <v/>
      </c>
      <c r="BJ5" s="41">
        <f t="array" ref="BJ5">IF(AH5=VLOOKUP(VALUE(AH$1),{Questions[#],Questions[Answer]},2,FALSE),1,0)</f>
        <v/>
      </c>
      <c r="BK5" s="41">
        <f t="array" ref="BK5">IF(AI5=VLOOKUP(VALUE(AI$1),{Questions[#],Questions[Answer]},2,FALSE),1,0)</f>
        <v/>
      </c>
      <c r="BL5" s="41">
        <f t="array" ref="BL5">IF(AJ5=VLOOKUP(VALUE(AJ$1),{Questions[#],Questions[Answer]},2,FALSE),1,0)</f>
        <v/>
      </c>
      <c r="BM5" s="41">
        <f t="array" ref="BM5">IF(AK5=VLOOKUP(VALUE(AK$1),{Questions[#],Questions[Answer]},2,FALSE),1,0)</f>
        <v/>
      </c>
      <c r="BN5" s="41">
        <f t="array" ref="BN5">IF(AL5=VLOOKUP(VALUE(AL$1),{Questions[#],Questions[Answer]},2,FALSE),1,0)</f>
        <v/>
      </c>
    </row>
    <row r="6" ht="22.5" customHeight="1" s="93">
      <c r="A6" s="42" t="inlineStr">
        <is>
          <t>Kovelsky</t>
        </is>
      </c>
      <c r="B6" s="41" t="n">
        <v>10</v>
      </c>
      <c r="C6" s="41" t="n">
        <v>4</v>
      </c>
      <c r="D6" s="44" t="n">
        <v>236794541</v>
      </c>
      <c r="E6" s="41" t="n"/>
      <c r="F6" s="41" t="n"/>
      <c r="G6" s="11">
        <f>SUM(AM6:BN6)</f>
        <v/>
      </c>
      <c r="H6" s="12">
        <f>G6/28</f>
        <v/>
      </c>
      <c r="I6" s="12">
        <f>0.5+(G6/54)</f>
        <v/>
      </c>
      <c r="J6" s="13">
        <f>COUNTIF(K6:AL6,"")</f>
        <v/>
      </c>
      <c r="K6" s="32" t="n">
        <v>4</v>
      </c>
      <c r="L6" s="23" t="n">
        <v>1</v>
      </c>
      <c r="M6" s="23" t="n">
        <v>3</v>
      </c>
      <c r="N6" s="26" t="n">
        <v>2</v>
      </c>
      <c r="O6" s="23" t="n">
        <v>3</v>
      </c>
      <c r="P6" s="23" t="n">
        <v>3</v>
      </c>
      <c r="Q6" s="23" t="n">
        <v>2</v>
      </c>
      <c r="R6" s="23" t="n">
        <v>3</v>
      </c>
      <c r="S6" s="23" t="n">
        <v>3</v>
      </c>
      <c r="T6" s="23" t="n">
        <v>4</v>
      </c>
      <c r="U6" s="23" t="n">
        <v>1</v>
      </c>
      <c r="V6" s="23" t="n">
        <v>4</v>
      </c>
      <c r="W6" s="23" t="n">
        <v>2</v>
      </c>
      <c r="X6" s="33" t="n">
        <v>3</v>
      </c>
      <c r="Y6" s="23" t="n">
        <v>4</v>
      </c>
      <c r="Z6" s="23" t="n">
        <v>3</v>
      </c>
      <c r="AA6" s="23" t="n">
        <v>4</v>
      </c>
      <c r="AB6" s="23" t="n">
        <v>4</v>
      </c>
      <c r="AC6" s="23" t="n">
        <v>1</v>
      </c>
      <c r="AD6" s="23" t="n">
        <v>3</v>
      </c>
      <c r="AE6" s="33" t="n">
        <v>3</v>
      </c>
      <c r="AF6" s="23" t="n">
        <v>2</v>
      </c>
      <c r="AG6" s="23" t="n">
        <v>1</v>
      </c>
      <c r="AH6" s="23" t="n">
        <v>3</v>
      </c>
      <c r="AI6" s="23" t="n">
        <v>2</v>
      </c>
      <c r="AJ6" s="23" t="n">
        <v>1</v>
      </c>
      <c r="AK6" s="23" t="n"/>
      <c r="AL6" s="24" t="n"/>
      <c r="AM6" s="19">
        <f t="array" ref="AM6">IF(K6=VLOOKUP(VALUE(K$1),{Questions[#],Questions[Answer]},2,FALSE),1,0)</f>
        <v/>
      </c>
      <c r="AN6" s="41">
        <f t="array" ref="AN6">IF(L6=VLOOKUP(VALUE(L$1),{Questions[#],Questions[Answer]},2,FALSE),1,0)</f>
        <v/>
      </c>
      <c r="AO6" s="41">
        <f t="array" ref="AO6">IF(M6=VLOOKUP(VALUE(M$1),{Questions[#],Questions[Answer]},2,FALSE),1,0)</f>
        <v/>
      </c>
      <c r="AP6" s="41">
        <f t="array" ref="AP6">IF(N6=VLOOKUP(VALUE(N$1),{Questions[#],Questions[Answer]},2,FALSE),1,0)</f>
        <v/>
      </c>
      <c r="AQ6" s="41">
        <f t="array" ref="AQ6">IF(O6=VLOOKUP(VALUE(O$1),{Questions[#],Questions[Answer]},2,FALSE),1,0)</f>
        <v/>
      </c>
      <c r="AR6" s="41">
        <f t="array" ref="AR6">IF(P6=VLOOKUP(VALUE(P$1),{Questions[#],Questions[Answer]},2,FALSE),1,0)</f>
        <v/>
      </c>
      <c r="AS6" s="41">
        <f t="array" ref="AS6">IF(Q6=VLOOKUP(VALUE(Q$1),{Questions[#],Questions[Answer]},2,FALSE),1,0)</f>
        <v/>
      </c>
      <c r="AT6" s="41">
        <f t="array" ref="AT6">IF(R6=VLOOKUP(VALUE(R$1),{Questions[#],Questions[Answer]},2,FALSE),1,0)</f>
        <v/>
      </c>
      <c r="AU6" s="41">
        <f t="array" ref="AU6">IF(S6=VLOOKUP(VALUE(S$1),{Questions[#],Questions[Answer]},2,FALSE),1,0)</f>
        <v/>
      </c>
      <c r="AV6" s="41">
        <f t="array" ref="AV6">IF(T6=VLOOKUP(VALUE(T$1),{Questions[#],Questions[Answer]},2,FALSE),1,0)</f>
        <v/>
      </c>
      <c r="AW6" s="41">
        <f t="array" ref="AW6">IF(U6=VLOOKUP(VALUE(U$1),{Questions[#],Questions[Answer]},2,FALSE),1,0)</f>
        <v/>
      </c>
      <c r="AX6" s="41">
        <f t="array" ref="AX6">IF(V6=VLOOKUP(VALUE(V$1),{Questions[#],Questions[Answer]},2,FALSE),1,0)</f>
        <v/>
      </c>
      <c r="AY6" s="41">
        <f t="array" ref="AY6">IF(W6=VLOOKUP(VALUE(W$1),{Questions[#],Questions[Answer]},2,FALSE),1,0)</f>
        <v/>
      </c>
      <c r="AZ6" s="41">
        <f t="array" ref="AZ6">IF(X6=VLOOKUP(VALUE(X$1),{Questions[#],Questions[Answer]},2,FALSE),1,0)</f>
        <v/>
      </c>
      <c r="BA6" s="41">
        <f t="array" ref="BA6">IF(Y6=VLOOKUP(VALUE(Y$1),{Questions[#],Questions[Answer]},2,FALSE),1,0)</f>
        <v/>
      </c>
      <c r="BB6" s="41">
        <f t="array" ref="BB6">IF(Z6=VLOOKUP(VALUE(Z$1),{Questions[#],Questions[Answer]},2,FALSE),1,0)</f>
        <v/>
      </c>
      <c r="BC6" s="41">
        <f t="array" ref="BC6">IF(AA6=VLOOKUP(VALUE(AA$1),{Questions[#],Questions[Answer]},2,FALSE),1,0)</f>
        <v/>
      </c>
      <c r="BD6" s="41">
        <f t="array" ref="BD6">IF(AB6=VLOOKUP(VALUE(AB$1),{Questions[#],Questions[Answer]},2,FALSE),1,0)</f>
        <v/>
      </c>
      <c r="BE6" s="41">
        <f t="array" ref="BE6">IF(AC6=VLOOKUP(VALUE(AC$1),{Questions[#],Questions[Answer]},2,FALSE),1,0)</f>
        <v/>
      </c>
      <c r="BF6" s="41">
        <f t="array" ref="BF6">IF(AD6=VLOOKUP(VALUE(AD$1),{Questions[#],Questions[Answer]},2,FALSE),1,0)</f>
        <v/>
      </c>
      <c r="BG6" s="41">
        <f t="array" ref="BG6">IF(AE6=VLOOKUP(VALUE(AE$1),{Questions[#],Questions[Answer]},2,FALSE),1,0)</f>
        <v/>
      </c>
      <c r="BH6" s="41">
        <f t="array" ref="BH6">IF(AF6=VLOOKUP(VALUE(AF$1),{Questions[#],Questions[Answer]},2,FALSE),1,0)</f>
        <v/>
      </c>
      <c r="BI6" s="41">
        <f t="array" ref="BI6">IF(AG6=VLOOKUP(VALUE(AG$1),{Questions[#],Questions[Answer]},2,FALSE),1,0)</f>
        <v/>
      </c>
      <c r="BJ6" s="41">
        <f t="array" ref="BJ6">IF(AH6=VLOOKUP(VALUE(AH$1),{Questions[#],Questions[Answer]},2,FALSE),1,0)</f>
        <v/>
      </c>
      <c r="BK6" s="41">
        <f t="array" ref="BK6">IF(AI6=VLOOKUP(VALUE(AI$1),{Questions[#],Questions[Answer]},2,FALSE),1,0)</f>
        <v/>
      </c>
      <c r="BL6" s="41">
        <f t="array" ref="BL6">IF(AJ6=VLOOKUP(VALUE(AJ$1),{Questions[#],Questions[Answer]},2,FALSE),1,0)</f>
        <v/>
      </c>
      <c r="BM6" s="41">
        <f t="array" ref="BM6">IF(AK6=VLOOKUP(VALUE(AK$1),{Questions[#],Questions[Answer]},2,FALSE),1,0)</f>
        <v/>
      </c>
      <c r="BN6" s="41">
        <f t="array" ref="BN6">IF(AL6=VLOOKUP(VALUE(AL$1),{Questions[#],Questions[Answer]},2,FALSE),1,0)</f>
        <v/>
      </c>
    </row>
    <row r="7" ht="22.5" customHeight="1" s="93">
      <c r="A7" s="42" t="inlineStr">
        <is>
          <t>Kovelsky</t>
        </is>
      </c>
      <c r="B7" s="41" t="n">
        <v>10</v>
      </c>
      <c r="C7" s="41" t="n">
        <v>4</v>
      </c>
      <c r="D7" s="44" t="n">
        <v>239457526</v>
      </c>
      <c r="E7" s="41" t="n"/>
      <c r="F7" s="41" t="n"/>
      <c r="G7" s="11">
        <f>SUM(AM7:BN7)</f>
        <v/>
      </c>
      <c r="H7" s="12">
        <f>G7/28</f>
        <v/>
      </c>
      <c r="I7" s="12">
        <f>0.5+(G7/54)</f>
        <v/>
      </c>
      <c r="J7" s="13">
        <f>COUNTIF(K7:AL7,"")</f>
        <v/>
      </c>
      <c r="K7" s="25" t="n">
        <v>2</v>
      </c>
      <c r="L7" s="23" t="n">
        <v>3</v>
      </c>
      <c r="M7" s="26" t="n">
        <v>3</v>
      </c>
      <c r="N7" s="23" t="n">
        <v>2</v>
      </c>
      <c r="O7" s="23" t="n">
        <v>3</v>
      </c>
      <c r="P7" s="26" t="n">
        <v>3</v>
      </c>
      <c r="Q7" s="23" t="n">
        <v>2</v>
      </c>
      <c r="R7" s="23" t="n">
        <v>3</v>
      </c>
      <c r="S7" s="23" t="n">
        <v>1</v>
      </c>
      <c r="T7" s="23" t="n">
        <v>3</v>
      </c>
      <c r="U7" s="23" t="n">
        <v>1</v>
      </c>
      <c r="V7" s="23" t="n">
        <v>4</v>
      </c>
      <c r="W7" s="23" t="n">
        <v>3</v>
      </c>
      <c r="X7" s="33" t="n">
        <v>3</v>
      </c>
      <c r="Y7" s="23" t="n">
        <v>4</v>
      </c>
      <c r="Z7" s="23" t="n">
        <v>3</v>
      </c>
      <c r="AA7" s="23" t="n">
        <v>4</v>
      </c>
      <c r="AB7" s="23" t="n">
        <v>3</v>
      </c>
      <c r="AC7" s="23" t="n">
        <v>1</v>
      </c>
      <c r="AD7" s="23" t="n">
        <v>3</v>
      </c>
      <c r="AE7" s="33" t="n">
        <v>4</v>
      </c>
      <c r="AF7" s="23" t="n">
        <v>2</v>
      </c>
      <c r="AG7" s="23" t="n">
        <v>3</v>
      </c>
      <c r="AH7" s="23" t="n">
        <v>4</v>
      </c>
      <c r="AI7" s="23" t="n">
        <v>2</v>
      </c>
      <c r="AJ7" s="23" t="n">
        <v>4</v>
      </c>
      <c r="AK7" s="23" t="n">
        <v>2</v>
      </c>
      <c r="AL7" s="29" t="n">
        <v>2</v>
      </c>
      <c r="AM7" s="19">
        <f t="array" ref="AM7">IF(K7=VLOOKUP(VALUE(K$1),{Questions[#],Questions[Answer]},2,FALSE),1,0)</f>
        <v/>
      </c>
      <c r="AN7" s="41">
        <f t="array" ref="AN7">IF(L7=VLOOKUP(VALUE(L$1),{Questions[#],Questions[Answer]},2,FALSE),1,0)</f>
        <v/>
      </c>
      <c r="AO7" s="41">
        <f t="array" ref="AO7">IF(M7=VLOOKUP(VALUE(M$1),{Questions[#],Questions[Answer]},2,FALSE),1,0)</f>
        <v/>
      </c>
      <c r="AP7" s="41">
        <f t="array" ref="AP7">IF(N7=VLOOKUP(VALUE(N$1),{Questions[#],Questions[Answer]},2,FALSE),1,0)</f>
        <v/>
      </c>
      <c r="AQ7" s="41">
        <f t="array" ref="AQ7">IF(O7=VLOOKUP(VALUE(O$1),{Questions[#],Questions[Answer]},2,FALSE),1,0)</f>
        <v/>
      </c>
      <c r="AR7" s="41">
        <f t="array" ref="AR7">IF(P7=VLOOKUP(VALUE(P$1),{Questions[#],Questions[Answer]},2,FALSE),1,0)</f>
        <v/>
      </c>
      <c r="AS7" s="41">
        <f t="array" ref="AS7">IF(Q7=VLOOKUP(VALUE(Q$1),{Questions[#],Questions[Answer]},2,FALSE),1,0)</f>
        <v/>
      </c>
      <c r="AT7" s="41">
        <f t="array" ref="AT7">IF(R7=VLOOKUP(VALUE(R$1),{Questions[#],Questions[Answer]},2,FALSE),1,0)</f>
        <v/>
      </c>
      <c r="AU7" s="41">
        <f t="array" ref="AU7">IF(S7=VLOOKUP(VALUE(S$1),{Questions[#],Questions[Answer]},2,FALSE),1,0)</f>
        <v/>
      </c>
      <c r="AV7" s="41">
        <f t="array" ref="AV7">IF(T7=VLOOKUP(VALUE(T$1),{Questions[#],Questions[Answer]},2,FALSE),1,0)</f>
        <v/>
      </c>
      <c r="AW7" s="41">
        <f t="array" ref="AW7">IF(U7=VLOOKUP(VALUE(U$1),{Questions[#],Questions[Answer]},2,FALSE),1,0)</f>
        <v/>
      </c>
      <c r="AX7" s="41">
        <f t="array" ref="AX7">IF(V7=VLOOKUP(VALUE(V$1),{Questions[#],Questions[Answer]},2,FALSE),1,0)</f>
        <v/>
      </c>
      <c r="AY7" s="41">
        <f t="array" ref="AY7">IF(W7=VLOOKUP(VALUE(W$1),{Questions[#],Questions[Answer]},2,FALSE),1,0)</f>
        <v/>
      </c>
      <c r="AZ7" s="41">
        <f t="array" ref="AZ7">IF(X7=VLOOKUP(VALUE(X$1),{Questions[#],Questions[Answer]},2,FALSE),1,0)</f>
        <v/>
      </c>
      <c r="BA7" s="41">
        <f t="array" ref="BA7">IF(Y7=VLOOKUP(VALUE(Y$1),{Questions[#],Questions[Answer]},2,FALSE),1,0)</f>
        <v/>
      </c>
      <c r="BB7" s="41">
        <f t="array" ref="BB7">IF(Z7=VLOOKUP(VALUE(Z$1),{Questions[#],Questions[Answer]},2,FALSE),1,0)</f>
        <v/>
      </c>
      <c r="BC7" s="41">
        <f t="array" ref="BC7">IF(AA7=VLOOKUP(VALUE(AA$1),{Questions[#],Questions[Answer]},2,FALSE),1,0)</f>
        <v/>
      </c>
      <c r="BD7" s="41">
        <f t="array" ref="BD7">IF(AB7=VLOOKUP(VALUE(AB$1),{Questions[#],Questions[Answer]},2,FALSE),1,0)</f>
        <v/>
      </c>
      <c r="BE7" s="41">
        <f t="array" ref="BE7">IF(AC7=VLOOKUP(VALUE(AC$1),{Questions[#],Questions[Answer]},2,FALSE),1,0)</f>
        <v/>
      </c>
      <c r="BF7" s="41">
        <f t="array" ref="BF7">IF(AD7=VLOOKUP(VALUE(AD$1),{Questions[#],Questions[Answer]},2,FALSE),1,0)</f>
        <v/>
      </c>
      <c r="BG7" s="41">
        <f t="array" ref="BG7">IF(AE7=VLOOKUP(VALUE(AE$1),{Questions[#],Questions[Answer]},2,FALSE),1,0)</f>
        <v/>
      </c>
      <c r="BH7" s="41">
        <f t="array" ref="BH7">IF(AF7=VLOOKUP(VALUE(AF$1),{Questions[#],Questions[Answer]},2,FALSE),1,0)</f>
        <v/>
      </c>
      <c r="BI7" s="41">
        <f t="array" ref="BI7">IF(AG7=VLOOKUP(VALUE(AG$1),{Questions[#],Questions[Answer]},2,FALSE),1,0)</f>
        <v/>
      </c>
      <c r="BJ7" s="41">
        <f t="array" ref="BJ7">IF(AH7=VLOOKUP(VALUE(AH$1),{Questions[#],Questions[Answer]},2,FALSE),1,0)</f>
        <v/>
      </c>
      <c r="BK7" s="41">
        <f t="array" ref="BK7">IF(AI7=VLOOKUP(VALUE(AI$1),{Questions[#],Questions[Answer]},2,FALSE),1,0)</f>
        <v/>
      </c>
      <c r="BL7" s="41">
        <f t="array" ref="BL7">IF(AJ7=VLOOKUP(VALUE(AJ$1),{Questions[#],Questions[Answer]},2,FALSE),1,0)</f>
        <v/>
      </c>
      <c r="BM7" s="41">
        <f t="array" ref="BM7">IF(AK7=VLOOKUP(VALUE(AK$1),{Questions[#],Questions[Answer]},2,FALSE),1,0)</f>
        <v/>
      </c>
      <c r="BN7" s="41">
        <f t="array" ref="BN7">IF(AL7=VLOOKUP(VALUE(AL$1),{Questions[#],Questions[Answer]},2,FALSE),1,0)</f>
        <v/>
      </c>
    </row>
    <row r="8" ht="22.5" customHeight="1" s="93">
      <c r="A8" s="42" t="inlineStr">
        <is>
          <t>Kovelsky</t>
        </is>
      </c>
      <c r="B8" s="41" t="n">
        <v>10</v>
      </c>
      <c r="C8" s="41" t="n">
        <v>4</v>
      </c>
      <c r="D8" s="44" t="n">
        <v>250128051</v>
      </c>
      <c r="E8" s="41" t="n"/>
      <c r="F8" s="41" t="n"/>
      <c r="G8" s="11">
        <f>SUM(AM8:BN8)</f>
        <v/>
      </c>
      <c r="H8" s="12">
        <f>G8/28</f>
        <v/>
      </c>
      <c r="I8" s="12">
        <f>0.5+(G8/54)</f>
        <v/>
      </c>
      <c r="J8" s="13">
        <f>COUNTIF(K8:AL8,"")</f>
        <v/>
      </c>
      <c r="K8" s="32" t="n">
        <v>4</v>
      </c>
      <c r="L8" s="23" t="n">
        <v>1</v>
      </c>
      <c r="M8" s="26" t="n">
        <v>3</v>
      </c>
      <c r="N8" s="26" t="n">
        <v>2</v>
      </c>
      <c r="O8" s="23" t="n">
        <v>1</v>
      </c>
      <c r="P8" s="23" t="n">
        <v>1</v>
      </c>
      <c r="Q8" s="23" t="n">
        <v>2</v>
      </c>
      <c r="R8" s="23" t="n">
        <v>4</v>
      </c>
      <c r="S8" s="23" t="n">
        <v>1</v>
      </c>
      <c r="T8" s="23" t="n">
        <v>3</v>
      </c>
      <c r="U8" s="23" t="n">
        <v>1</v>
      </c>
      <c r="V8" s="23" t="n">
        <v>4</v>
      </c>
      <c r="W8" s="23" t="n">
        <v>1</v>
      </c>
      <c r="X8" s="33" t="n">
        <v>2</v>
      </c>
      <c r="Y8" s="23" t="n">
        <v>4</v>
      </c>
      <c r="Z8" s="23" t="n">
        <v>3</v>
      </c>
      <c r="AA8" s="23" t="n">
        <v>4</v>
      </c>
      <c r="AB8" s="23" t="n">
        <v>4</v>
      </c>
      <c r="AC8" s="23" t="n">
        <v>1</v>
      </c>
      <c r="AD8" s="23" t="n">
        <v>3</v>
      </c>
      <c r="AE8" s="33" t="n">
        <v>4</v>
      </c>
      <c r="AF8" s="23" t="n">
        <v>2</v>
      </c>
      <c r="AG8" s="23" t="n">
        <v>2</v>
      </c>
      <c r="AH8" s="23" t="n">
        <v>1</v>
      </c>
      <c r="AI8" s="23" t="n">
        <v>3</v>
      </c>
      <c r="AJ8" s="23" t="n">
        <v>1</v>
      </c>
      <c r="AK8" s="23" t="n">
        <v>2</v>
      </c>
      <c r="AL8" s="29" t="n">
        <v>2</v>
      </c>
      <c r="AM8" s="19">
        <f t="array" ref="AM8">IF(K8=VLOOKUP(VALUE(K$1),{Questions[#],Questions[Answer]},2,FALSE),1,0)</f>
        <v/>
      </c>
      <c r="AN8" s="41">
        <f t="array" ref="AN8">IF(L8=VLOOKUP(VALUE(L$1),{Questions[#],Questions[Answer]},2,FALSE),1,0)</f>
        <v/>
      </c>
      <c r="AO8" s="41">
        <f t="array" ref="AO8">IF(M8=VLOOKUP(VALUE(M$1),{Questions[#],Questions[Answer]},2,FALSE),1,0)</f>
        <v/>
      </c>
      <c r="AP8" s="41">
        <f t="array" ref="AP8">IF(N8=VLOOKUP(VALUE(N$1),{Questions[#],Questions[Answer]},2,FALSE),1,0)</f>
        <v/>
      </c>
      <c r="AQ8" s="41">
        <f t="array" ref="AQ8">IF(O8=VLOOKUP(VALUE(O$1),{Questions[#],Questions[Answer]},2,FALSE),1,0)</f>
        <v/>
      </c>
      <c r="AR8" s="41">
        <f t="array" ref="AR8">IF(P8=VLOOKUP(VALUE(P$1),{Questions[#],Questions[Answer]},2,FALSE),1,0)</f>
        <v/>
      </c>
      <c r="AS8" s="41">
        <f t="array" ref="AS8">IF(Q8=VLOOKUP(VALUE(Q$1),{Questions[#],Questions[Answer]},2,FALSE),1,0)</f>
        <v/>
      </c>
      <c r="AT8" s="41">
        <f t="array" ref="AT8">IF(R8=VLOOKUP(VALUE(R$1),{Questions[#],Questions[Answer]},2,FALSE),1,0)</f>
        <v/>
      </c>
      <c r="AU8" s="41">
        <f t="array" ref="AU8">IF(S8=VLOOKUP(VALUE(S$1),{Questions[#],Questions[Answer]},2,FALSE),1,0)</f>
        <v/>
      </c>
      <c r="AV8" s="41">
        <f t="array" ref="AV8">IF(T8=VLOOKUP(VALUE(T$1),{Questions[#],Questions[Answer]},2,FALSE),1,0)</f>
        <v/>
      </c>
      <c r="AW8" s="41">
        <f t="array" ref="AW8">IF(U8=VLOOKUP(VALUE(U$1),{Questions[#],Questions[Answer]},2,FALSE),1,0)</f>
        <v/>
      </c>
      <c r="AX8" s="41">
        <f t="array" ref="AX8">IF(V8=VLOOKUP(VALUE(V$1),{Questions[#],Questions[Answer]},2,FALSE),1,0)</f>
        <v/>
      </c>
      <c r="AY8" s="41">
        <f t="array" ref="AY8">IF(W8=VLOOKUP(VALUE(W$1),{Questions[#],Questions[Answer]},2,FALSE),1,0)</f>
        <v/>
      </c>
      <c r="AZ8" s="41">
        <f t="array" ref="AZ8">IF(X8=VLOOKUP(VALUE(X$1),{Questions[#],Questions[Answer]},2,FALSE),1,0)</f>
        <v/>
      </c>
      <c r="BA8" s="41">
        <f t="array" ref="BA8">IF(Y8=VLOOKUP(VALUE(Y$1),{Questions[#],Questions[Answer]},2,FALSE),1,0)</f>
        <v/>
      </c>
      <c r="BB8" s="41">
        <f t="array" ref="BB8">IF(Z8=VLOOKUP(VALUE(Z$1),{Questions[#],Questions[Answer]},2,FALSE),1,0)</f>
        <v/>
      </c>
      <c r="BC8" s="41">
        <f t="array" ref="BC8">IF(AA8=VLOOKUP(VALUE(AA$1),{Questions[#],Questions[Answer]},2,FALSE),1,0)</f>
        <v/>
      </c>
      <c r="BD8" s="41">
        <f t="array" ref="BD8">IF(AB8=VLOOKUP(VALUE(AB$1),{Questions[#],Questions[Answer]},2,FALSE),1,0)</f>
        <v/>
      </c>
      <c r="BE8" s="41">
        <f t="array" ref="BE8">IF(AC8=VLOOKUP(VALUE(AC$1),{Questions[#],Questions[Answer]},2,FALSE),1,0)</f>
        <v/>
      </c>
      <c r="BF8" s="41">
        <f t="array" ref="BF8">IF(AD8=VLOOKUP(VALUE(AD$1),{Questions[#],Questions[Answer]},2,FALSE),1,0)</f>
        <v/>
      </c>
      <c r="BG8" s="41">
        <f t="array" ref="BG8">IF(AE8=VLOOKUP(VALUE(AE$1),{Questions[#],Questions[Answer]},2,FALSE),1,0)</f>
        <v/>
      </c>
      <c r="BH8" s="41">
        <f t="array" ref="BH8">IF(AF8=VLOOKUP(VALUE(AF$1),{Questions[#],Questions[Answer]},2,FALSE),1,0)</f>
        <v/>
      </c>
      <c r="BI8" s="41">
        <f t="array" ref="BI8">IF(AG8=VLOOKUP(VALUE(AG$1),{Questions[#],Questions[Answer]},2,FALSE),1,0)</f>
        <v/>
      </c>
      <c r="BJ8" s="41">
        <f t="array" ref="BJ8">IF(AH8=VLOOKUP(VALUE(AH$1),{Questions[#],Questions[Answer]},2,FALSE),1,0)</f>
        <v/>
      </c>
      <c r="BK8" s="41">
        <f t="array" ref="BK8">IF(AI8=VLOOKUP(VALUE(AI$1),{Questions[#],Questions[Answer]},2,FALSE),1,0)</f>
        <v/>
      </c>
      <c r="BL8" s="41">
        <f t="array" ref="BL8">IF(AJ8=VLOOKUP(VALUE(AJ$1),{Questions[#],Questions[Answer]},2,FALSE),1,0)</f>
        <v/>
      </c>
      <c r="BM8" s="41">
        <f t="array" ref="BM8">IF(AK8=VLOOKUP(VALUE(AK$1),{Questions[#],Questions[Answer]},2,FALSE),1,0)</f>
        <v/>
      </c>
      <c r="BN8" s="41">
        <f t="array" ref="BN8">IF(AL8=VLOOKUP(VALUE(AL$1),{Questions[#],Questions[Answer]},2,FALSE),1,0)</f>
        <v/>
      </c>
    </row>
    <row r="9" ht="22.5" customHeight="1" s="93">
      <c r="A9" s="42" t="inlineStr">
        <is>
          <t>Kovelsky</t>
        </is>
      </c>
      <c r="B9" s="41" t="n">
        <v>10</v>
      </c>
      <c r="C9" s="41" t="n">
        <v>4</v>
      </c>
      <c r="D9" s="44" t="n">
        <v>236198446</v>
      </c>
      <c r="E9" s="41" t="n"/>
      <c r="F9" s="41" t="n"/>
      <c r="G9" s="11">
        <f>SUM(AM9:BN9)</f>
        <v/>
      </c>
      <c r="H9" s="12">
        <f>G9/28</f>
        <v/>
      </c>
      <c r="I9" s="12">
        <f>0.5+(G9/54)</f>
        <v/>
      </c>
      <c r="J9" s="13">
        <f>COUNTIF(K9:AL9,"")</f>
        <v/>
      </c>
      <c r="K9" s="25" t="n">
        <v>4</v>
      </c>
      <c r="L9" s="23" t="n">
        <v>1</v>
      </c>
      <c r="M9" s="26" t="n">
        <v>3</v>
      </c>
      <c r="N9" s="26" t="n">
        <v>2</v>
      </c>
      <c r="O9" s="23" t="n">
        <v>1</v>
      </c>
      <c r="P9" s="26" t="n">
        <v>3</v>
      </c>
      <c r="Q9" s="23" t="n">
        <v>2</v>
      </c>
      <c r="R9" s="26" t="n">
        <v>3</v>
      </c>
      <c r="S9" s="23" t="n">
        <v>3</v>
      </c>
      <c r="T9" s="23" t="n">
        <v>4</v>
      </c>
      <c r="U9" s="23" t="n">
        <v>1</v>
      </c>
      <c r="V9" s="23" t="n">
        <v>1</v>
      </c>
      <c r="W9" s="23" t="n">
        <v>2</v>
      </c>
      <c r="X9" s="33" t="n">
        <v>3</v>
      </c>
      <c r="Y9" s="23" t="n">
        <v>4</v>
      </c>
      <c r="Z9" s="23" t="n">
        <v>2</v>
      </c>
      <c r="AA9" s="23" t="n">
        <v>1</v>
      </c>
      <c r="AB9" s="23" t="n">
        <v>3</v>
      </c>
      <c r="AC9" s="23" t="n">
        <v>2</v>
      </c>
      <c r="AD9" s="23" t="n">
        <v>4</v>
      </c>
      <c r="AE9" s="33" t="n">
        <v>1</v>
      </c>
      <c r="AF9" s="23" t="n">
        <v>3</v>
      </c>
      <c r="AG9" s="23" t="n">
        <v>4</v>
      </c>
      <c r="AH9" s="23" t="n">
        <v>3</v>
      </c>
      <c r="AI9" s="23" t="n">
        <v>2</v>
      </c>
      <c r="AJ9" s="23" t="n">
        <v>1</v>
      </c>
      <c r="AK9" s="23" t="n">
        <v>1</v>
      </c>
      <c r="AL9" s="29" t="n">
        <v>3</v>
      </c>
      <c r="AM9" s="19">
        <f t="array" ref="AM9">IF(K9=VLOOKUP(VALUE(K$1),{Questions[#],Questions[Answer]},2,FALSE),1,0)</f>
        <v/>
      </c>
      <c r="AN9" s="41">
        <f t="array" ref="AN9">IF(L9=VLOOKUP(VALUE(L$1),{Questions[#],Questions[Answer]},2,FALSE),1,0)</f>
        <v/>
      </c>
      <c r="AO9" s="41">
        <f t="array" ref="AO9">IF(M9=VLOOKUP(VALUE(M$1),{Questions[#],Questions[Answer]},2,FALSE),1,0)</f>
        <v/>
      </c>
      <c r="AP9" s="41">
        <f t="array" ref="AP9">IF(N9=VLOOKUP(VALUE(N$1),{Questions[#],Questions[Answer]},2,FALSE),1,0)</f>
        <v/>
      </c>
      <c r="AQ9" s="41">
        <f t="array" ref="AQ9">IF(O9=VLOOKUP(VALUE(O$1),{Questions[#],Questions[Answer]},2,FALSE),1,0)</f>
        <v/>
      </c>
      <c r="AR9" s="41">
        <f t="array" ref="AR9">IF(P9=VLOOKUP(VALUE(P$1),{Questions[#],Questions[Answer]},2,FALSE),1,0)</f>
        <v/>
      </c>
      <c r="AS9" s="41">
        <f t="array" ref="AS9">IF(Q9=VLOOKUP(VALUE(Q$1),{Questions[#],Questions[Answer]},2,FALSE),1,0)</f>
        <v/>
      </c>
      <c r="AT9" s="41">
        <f t="array" ref="AT9">IF(R9=VLOOKUP(VALUE(R$1),{Questions[#],Questions[Answer]},2,FALSE),1,0)</f>
        <v/>
      </c>
      <c r="AU9" s="41">
        <f t="array" ref="AU9">IF(S9=VLOOKUP(VALUE(S$1),{Questions[#],Questions[Answer]},2,FALSE),1,0)</f>
        <v/>
      </c>
      <c r="AV9" s="41">
        <f t="array" ref="AV9">IF(T9=VLOOKUP(VALUE(T$1),{Questions[#],Questions[Answer]},2,FALSE),1,0)</f>
        <v/>
      </c>
      <c r="AW9" s="41">
        <f t="array" ref="AW9">IF(U9=VLOOKUP(VALUE(U$1),{Questions[#],Questions[Answer]},2,FALSE),1,0)</f>
        <v/>
      </c>
      <c r="AX9" s="41">
        <f t="array" ref="AX9">IF(V9=VLOOKUP(VALUE(V$1),{Questions[#],Questions[Answer]},2,FALSE),1,0)</f>
        <v/>
      </c>
      <c r="AY9" s="41">
        <f t="array" ref="AY9">IF(W9=VLOOKUP(VALUE(W$1),{Questions[#],Questions[Answer]},2,FALSE),1,0)</f>
        <v/>
      </c>
      <c r="AZ9" s="41">
        <f t="array" ref="AZ9">IF(X9=VLOOKUP(VALUE(X$1),{Questions[#],Questions[Answer]},2,FALSE),1,0)</f>
        <v/>
      </c>
      <c r="BA9" s="41">
        <f t="array" ref="BA9">IF(Y9=VLOOKUP(VALUE(Y$1),{Questions[#],Questions[Answer]},2,FALSE),1,0)</f>
        <v/>
      </c>
      <c r="BB9" s="41">
        <f t="array" ref="BB9">IF(Z9=VLOOKUP(VALUE(Z$1),{Questions[#],Questions[Answer]},2,FALSE),1,0)</f>
        <v/>
      </c>
      <c r="BC9" s="41">
        <f t="array" ref="BC9">IF(AA9=VLOOKUP(VALUE(AA$1),{Questions[#],Questions[Answer]},2,FALSE),1,0)</f>
        <v/>
      </c>
      <c r="BD9" s="41">
        <f t="array" ref="BD9">IF(AB9=VLOOKUP(VALUE(AB$1),{Questions[#],Questions[Answer]},2,FALSE),1,0)</f>
        <v/>
      </c>
      <c r="BE9" s="41">
        <f t="array" ref="BE9">IF(AC9=VLOOKUP(VALUE(AC$1),{Questions[#],Questions[Answer]},2,FALSE),1,0)</f>
        <v/>
      </c>
      <c r="BF9" s="41">
        <f t="array" ref="BF9">IF(AD9=VLOOKUP(VALUE(AD$1),{Questions[#],Questions[Answer]},2,FALSE),1,0)</f>
        <v/>
      </c>
      <c r="BG9" s="41">
        <f t="array" ref="BG9">IF(AE9=VLOOKUP(VALUE(AE$1),{Questions[#],Questions[Answer]},2,FALSE),1,0)</f>
        <v/>
      </c>
      <c r="BH9" s="41">
        <f t="array" ref="BH9">IF(AF9=VLOOKUP(VALUE(AF$1),{Questions[#],Questions[Answer]},2,FALSE),1,0)</f>
        <v/>
      </c>
      <c r="BI9" s="41">
        <f t="array" ref="BI9">IF(AG9=VLOOKUP(VALUE(AG$1),{Questions[#],Questions[Answer]},2,FALSE),1,0)</f>
        <v/>
      </c>
      <c r="BJ9" s="41">
        <f t="array" ref="BJ9">IF(AH9=VLOOKUP(VALUE(AH$1),{Questions[#],Questions[Answer]},2,FALSE),1,0)</f>
        <v/>
      </c>
      <c r="BK9" s="41">
        <f t="array" ref="BK9">IF(AI9=VLOOKUP(VALUE(AI$1),{Questions[#],Questions[Answer]},2,FALSE),1,0)</f>
        <v/>
      </c>
      <c r="BL9" s="41">
        <f t="array" ref="BL9">IF(AJ9=VLOOKUP(VALUE(AJ$1),{Questions[#],Questions[Answer]},2,FALSE),1,0)</f>
        <v/>
      </c>
      <c r="BM9" s="41">
        <f t="array" ref="BM9">IF(AK9=VLOOKUP(VALUE(AK$1),{Questions[#],Questions[Answer]},2,FALSE),1,0)</f>
        <v/>
      </c>
      <c r="BN9" s="41">
        <f t="array" ref="BN9">IF(AL9=VLOOKUP(VALUE(AL$1),{Questions[#],Questions[Answer]},2,FALSE),1,0)</f>
        <v/>
      </c>
    </row>
    <row r="10" ht="22.5" customHeight="1" s="93">
      <c r="A10" s="42" t="inlineStr">
        <is>
          <t>Kovelsky</t>
        </is>
      </c>
      <c r="B10" s="41" t="n">
        <v>10</v>
      </c>
      <c r="C10" s="41" t="n">
        <v>4</v>
      </c>
      <c r="D10" s="44" t="n">
        <v>239393648</v>
      </c>
      <c r="E10" s="41" t="n"/>
      <c r="F10" s="41" t="n"/>
      <c r="G10" s="11">
        <f>SUM(AM10:BN10)</f>
        <v/>
      </c>
      <c r="H10" s="12">
        <f>G10/28</f>
        <v/>
      </c>
      <c r="I10" s="12">
        <f>0.5+(G10/54)</f>
        <v/>
      </c>
      <c r="J10" s="13">
        <f>COUNTIF(K10:AL10,"")</f>
        <v/>
      </c>
      <c r="K10" s="25" t="n"/>
      <c r="L10" s="23" t="n"/>
      <c r="M10" s="26" t="n"/>
      <c r="N10" s="26" t="n"/>
      <c r="O10" s="26" t="n"/>
      <c r="P10" s="26" t="n"/>
      <c r="Q10" s="23" t="n"/>
      <c r="R10" s="26" t="n"/>
      <c r="S10" s="30" t="n"/>
      <c r="T10" s="30" t="n"/>
      <c r="U10" s="30" t="n"/>
      <c r="V10" s="30" t="n"/>
      <c r="W10" s="30" t="n"/>
      <c r="X10" s="31" t="n"/>
      <c r="Y10" s="30" t="n"/>
      <c r="Z10" s="30" t="n"/>
      <c r="AA10" s="30" t="n"/>
      <c r="AB10" s="30" t="n"/>
      <c r="AC10" s="30" t="n"/>
      <c r="AD10" s="30" t="n"/>
      <c r="AE10" s="31" t="n"/>
      <c r="AF10" s="30" t="n"/>
      <c r="AG10" s="30" t="n"/>
      <c r="AH10" s="30" t="n"/>
      <c r="AI10" s="30" t="n"/>
      <c r="AJ10" s="30" t="n"/>
      <c r="AK10" s="30" t="n"/>
      <c r="AL10" s="24" t="n"/>
      <c r="AM10" s="19">
        <f t="array" ref="AM10">IF(K10=VLOOKUP(VALUE(K$1),{Questions[#],Questions[Answer]},2,FALSE),1,0)</f>
        <v/>
      </c>
      <c r="AN10" s="41">
        <f t="array" ref="AN10">IF(L10=VLOOKUP(VALUE(L$1),{Questions[#],Questions[Answer]},2,FALSE),1,0)</f>
        <v/>
      </c>
      <c r="AO10" s="41">
        <f t="array" ref="AO10">IF(M10=VLOOKUP(VALUE(M$1),{Questions[#],Questions[Answer]},2,FALSE),1,0)</f>
        <v/>
      </c>
      <c r="AP10" s="41">
        <f t="array" ref="AP10">IF(N10=VLOOKUP(VALUE(N$1),{Questions[#],Questions[Answer]},2,FALSE),1,0)</f>
        <v/>
      </c>
      <c r="AQ10" s="41">
        <f t="array" ref="AQ10">IF(O10=VLOOKUP(VALUE(O$1),{Questions[#],Questions[Answer]},2,FALSE),1,0)</f>
        <v/>
      </c>
      <c r="AR10" s="41">
        <f t="array" ref="AR10">IF(P10=VLOOKUP(VALUE(P$1),{Questions[#],Questions[Answer]},2,FALSE),1,0)</f>
        <v/>
      </c>
      <c r="AS10" s="41">
        <f t="array" ref="AS10">IF(Q10=VLOOKUP(VALUE(Q$1),{Questions[#],Questions[Answer]},2,FALSE),1,0)</f>
        <v/>
      </c>
      <c r="AT10" s="41">
        <f t="array" ref="AT10">IF(R10=VLOOKUP(VALUE(R$1),{Questions[#],Questions[Answer]},2,FALSE),1,0)</f>
        <v/>
      </c>
      <c r="AU10" s="41">
        <f t="array" ref="AU10">IF(S10=VLOOKUP(VALUE(S$1),{Questions[#],Questions[Answer]},2,FALSE),1,0)</f>
        <v/>
      </c>
      <c r="AV10" s="41">
        <f t="array" ref="AV10">IF(T10=VLOOKUP(VALUE(T$1),{Questions[#],Questions[Answer]},2,FALSE),1,0)</f>
        <v/>
      </c>
      <c r="AW10" s="41">
        <f t="array" ref="AW10">IF(U10=VLOOKUP(VALUE(U$1),{Questions[#],Questions[Answer]},2,FALSE),1,0)</f>
        <v/>
      </c>
      <c r="AX10" s="41">
        <f t="array" ref="AX10">IF(V10=VLOOKUP(VALUE(V$1),{Questions[#],Questions[Answer]},2,FALSE),1,0)</f>
        <v/>
      </c>
      <c r="AY10" s="41">
        <f t="array" ref="AY10">IF(W10=VLOOKUP(VALUE(W$1),{Questions[#],Questions[Answer]},2,FALSE),1,0)</f>
        <v/>
      </c>
      <c r="AZ10" s="41">
        <f t="array" ref="AZ10">IF(X10=VLOOKUP(VALUE(X$1),{Questions[#],Questions[Answer]},2,FALSE),1,0)</f>
        <v/>
      </c>
      <c r="BA10" s="41">
        <f t="array" ref="BA10">IF(Y10=VLOOKUP(VALUE(Y$1),{Questions[#],Questions[Answer]},2,FALSE),1,0)</f>
        <v/>
      </c>
      <c r="BB10" s="41">
        <f t="array" ref="BB10">IF(Z10=VLOOKUP(VALUE(Z$1),{Questions[#],Questions[Answer]},2,FALSE),1,0)</f>
        <v/>
      </c>
      <c r="BC10" s="41">
        <f t="array" ref="BC10">IF(AA10=VLOOKUP(VALUE(AA$1),{Questions[#],Questions[Answer]},2,FALSE),1,0)</f>
        <v/>
      </c>
      <c r="BD10" s="41">
        <f t="array" ref="BD10">IF(AB10=VLOOKUP(VALUE(AB$1),{Questions[#],Questions[Answer]},2,FALSE),1,0)</f>
        <v/>
      </c>
      <c r="BE10" s="41">
        <f t="array" ref="BE10">IF(AC10=VLOOKUP(VALUE(AC$1),{Questions[#],Questions[Answer]},2,FALSE),1,0)</f>
        <v/>
      </c>
      <c r="BF10" s="41">
        <f t="array" ref="BF10">IF(AD10=VLOOKUP(VALUE(AD$1),{Questions[#],Questions[Answer]},2,FALSE),1,0)</f>
        <v/>
      </c>
      <c r="BG10" s="41">
        <f t="array" ref="BG10">IF(AE10=VLOOKUP(VALUE(AE$1),{Questions[#],Questions[Answer]},2,FALSE),1,0)</f>
        <v/>
      </c>
      <c r="BH10" s="41">
        <f t="array" ref="BH10">IF(AF10=VLOOKUP(VALUE(AF$1),{Questions[#],Questions[Answer]},2,FALSE),1,0)</f>
        <v/>
      </c>
      <c r="BI10" s="41">
        <f t="array" ref="BI10">IF(AG10=VLOOKUP(VALUE(AG$1),{Questions[#],Questions[Answer]},2,FALSE),1,0)</f>
        <v/>
      </c>
      <c r="BJ10" s="41">
        <f t="array" ref="BJ10">IF(AH10=VLOOKUP(VALUE(AH$1),{Questions[#],Questions[Answer]},2,FALSE),1,0)</f>
        <v/>
      </c>
      <c r="BK10" s="41">
        <f t="array" ref="BK10">IF(AI10=VLOOKUP(VALUE(AI$1),{Questions[#],Questions[Answer]},2,FALSE),1,0)</f>
        <v/>
      </c>
      <c r="BL10" s="41">
        <f t="array" ref="BL10">IF(AJ10=VLOOKUP(VALUE(AJ$1),{Questions[#],Questions[Answer]},2,FALSE),1,0)</f>
        <v/>
      </c>
      <c r="BM10" s="41">
        <f t="array" ref="BM10">IF(AK10=VLOOKUP(VALUE(AK$1),{Questions[#],Questions[Answer]},2,FALSE),1,0)</f>
        <v/>
      </c>
      <c r="BN10" s="41">
        <f t="array" ref="BN10">IF(AL10=VLOOKUP(VALUE(AL$1),{Questions[#],Questions[Answer]},2,FALSE),1,0)</f>
        <v/>
      </c>
    </row>
    <row r="11" ht="22.5" customHeight="1" s="93">
      <c r="A11" s="42" t="inlineStr">
        <is>
          <t>Kovelsky</t>
        </is>
      </c>
      <c r="B11" s="41" t="n">
        <v>10</v>
      </c>
      <c r="C11" s="41" t="n">
        <v>4</v>
      </c>
      <c r="D11" s="44" t="n">
        <v>241259803</v>
      </c>
      <c r="E11" s="41" t="n"/>
      <c r="F11" s="41" t="n"/>
      <c r="G11" s="11">
        <f>SUM(AM11:BN11)</f>
        <v/>
      </c>
      <c r="H11" s="12">
        <f>G11/28</f>
        <v/>
      </c>
      <c r="I11" s="12">
        <f>0.5+(G11/54)</f>
        <v/>
      </c>
      <c r="J11" s="13">
        <f>COUNTIF(K11:AL11,"")</f>
        <v/>
      </c>
      <c r="K11" s="32" t="n">
        <v>4</v>
      </c>
      <c r="L11" s="23" t="n">
        <v>1</v>
      </c>
      <c r="M11" s="23" t="n">
        <v>3</v>
      </c>
      <c r="N11" s="23" t="n">
        <v>2</v>
      </c>
      <c r="O11" s="23" t="n">
        <v>1</v>
      </c>
      <c r="P11" s="23" t="n">
        <v>3</v>
      </c>
      <c r="Q11" s="23" t="n">
        <v>2</v>
      </c>
      <c r="R11" s="23" t="n">
        <v>3</v>
      </c>
      <c r="S11" s="23" t="n">
        <v>1</v>
      </c>
      <c r="T11" s="23" t="n">
        <v>4</v>
      </c>
      <c r="U11" s="23" t="n">
        <v>1</v>
      </c>
      <c r="V11" s="23" t="n">
        <v>4</v>
      </c>
      <c r="W11" s="23" t="n">
        <v>2</v>
      </c>
      <c r="X11" s="33" t="n">
        <v>2</v>
      </c>
      <c r="Y11" s="23" t="n">
        <v>4</v>
      </c>
      <c r="Z11" s="23" t="n">
        <v>3</v>
      </c>
      <c r="AA11" s="23" t="n">
        <v>4</v>
      </c>
      <c r="AB11" s="23" t="n">
        <v>4</v>
      </c>
      <c r="AC11" s="23" t="n">
        <v>1</v>
      </c>
      <c r="AD11" s="23" t="n">
        <v>3</v>
      </c>
      <c r="AE11" s="33" t="n">
        <v>4</v>
      </c>
      <c r="AF11" s="23" t="n">
        <v>2</v>
      </c>
      <c r="AG11" s="23" t="n">
        <v>3</v>
      </c>
      <c r="AH11" s="23" t="n">
        <v>3</v>
      </c>
      <c r="AI11" s="23" t="n">
        <v>2</v>
      </c>
      <c r="AJ11" s="23" t="n">
        <v>4</v>
      </c>
      <c r="AK11" s="23" t="n">
        <v>1</v>
      </c>
      <c r="AL11" s="29" t="n">
        <v>2</v>
      </c>
      <c r="AM11" s="19">
        <f t="array" ref="AM11">IF(K11=VLOOKUP(VALUE(K$1),{Questions[#],Questions[Answer]},2,FALSE),1,0)</f>
        <v/>
      </c>
      <c r="AN11" s="41">
        <f t="array" ref="AN11">IF(L11=VLOOKUP(VALUE(L$1),{Questions[#],Questions[Answer]},2,FALSE),1,0)</f>
        <v/>
      </c>
      <c r="AO11" s="41">
        <f t="array" ref="AO11">IF(M11=VLOOKUP(VALUE(M$1),{Questions[#],Questions[Answer]},2,FALSE),1,0)</f>
        <v/>
      </c>
      <c r="AP11" s="41">
        <f t="array" ref="AP11">IF(N11=VLOOKUP(VALUE(N$1),{Questions[#],Questions[Answer]},2,FALSE),1,0)</f>
        <v/>
      </c>
      <c r="AQ11" s="41">
        <f t="array" ref="AQ11">IF(O11=VLOOKUP(VALUE(O$1),{Questions[#],Questions[Answer]},2,FALSE),1,0)</f>
        <v/>
      </c>
      <c r="AR11" s="41">
        <f t="array" ref="AR11">IF(P11=VLOOKUP(VALUE(P$1),{Questions[#],Questions[Answer]},2,FALSE),1,0)</f>
        <v/>
      </c>
      <c r="AS11" s="41">
        <f t="array" ref="AS11">IF(Q11=VLOOKUP(VALUE(Q$1),{Questions[#],Questions[Answer]},2,FALSE),1,0)</f>
        <v/>
      </c>
      <c r="AT11" s="41">
        <f t="array" ref="AT11">IF(R11=VLOOKUP(VALUE(R$1),{Questions[#],Questions[Answer]},2,FALSE),1,0)</f>
        <v/>
      </c>
      <c r="AU11" s="41">
        <f t="array" ref="AU11">IF(S11=VLOOKUP(VALUE(S$1),{Questions[#],Questions[Answer]},2,FALSE),1,0)</f>
        <v/>
      </c>
      <c r="AV11" s="41">
        <f t="array" ref="AV11">IF(T11=VLOOKUP(VALUE(T$1),{Questions[#],Questions[Answer]},2,FALSE),1,0)</f>
        <v/>
      </c>
      <c r="AW11" s="41">
        <f t="array" ref="AW11">IF(U11=VLOOKUP(VALUE(U$1),{Questions[#],Questions[Answer]},2,FALSE),1,0)</f>
        <v/>
      </c>
      <c r="AX11" s="41">
        <f t="array" ref="AX11">IF(V11=VLOOKUP(VALUE(V$1),{Questions[#],Questions[Answer]},2,FALSE),1,0)</f>
        <v/>
      </c>
      <c r="AY11" s="41">
        <f t="array" ref="AY11">IF(W11=VLOOKUP(VALUE(W$1),{Questions[#],Questions[Answer]},2,FALSE),1,0)</f>
        <v/>
      </c>
      <c r="AZ11" s="41">
        <f t="array" ref="AZ11">IF(X11=VLOOKUP(VALUE(X$1),{Questions[#],Questions[Answer]},2,FALSE),1,0)</f>
        <v/>
      </c>
      <c r="BA11" s="41">
        <f t="array" ref="BA11">IF(Y11=VLOOKUP(VALUE(Y$1),{Questions[#],Questions[Answer]},2,FALSE),1,0)</f>
        <v/>
      </c>
      <c r="BB11" s="41">
        <f t="array" ref="BB11">IF(Z11=VLOOKUP(VALUE(Z$1),{Questions[#],Questions[Answer]},2,FALSE),1,0)</f>
        <v/>
      </c>
      <c r="BC11" s="41">
        <f t="array" ref="BC11">IF(AA11=VLOOKUP(VALUE(AA$1),{Questions[#],Questions[Answer]},2,FALSE),1,0)</f>
        <v/>
      </c>
      <c r="BD11" s="41">
        <f t="array" ref="BD11">IF(AB11=VLOOKUP(VALUE(AB$1),{Questions[#],Questions[Answer]},2,FALSE),1,0)</f>
        <v/>
      </c>
      <c r="BE11" s="41">
        <f t="array" ref="BE11">IF(AC11=VLOOKUP(VALUE(AC$1),{Questions[#],Questions[Answer]},2,FALSE),1,0)</f>
        <v/>
      </c>
      <c r="BF11" s="41">
        <f t="array" ref="BF11">IF(AD11=VLOOKUP(VALUE(AD$1),{Questions[#],Questions[Answer]},2,FALSE),1,0)</f>
        <v/>
      </c>
      <c r="BG11" s="41">
        <f t="array" ref="BG11">IF(AE11=VLOOKUP(VALUE(AE$1),{Questions[#],Questions[Answer]},2,FALSE),1,0)</f>
        <v/>
      </c>
      <c r="BH11" s="41">
        <f t="array" ref="BH11">IF(AF11=VLOOKUP(VALUE(AF$1),{Questions[#],Questions[Answer]},2,FALSE),1,0)</f>
        <v/>
      </c>
      <c r="BI11" s="41">
        <f t="array" ref="BI11">IF(AG11=VLOOKUP(VALUE(AG$1),{Questions[#],Questions[Answer]},2,FALSE),1,0)</f>
        <v/>
      </c>
      <c r="BJ11" s="41">
        <f t="array" ref="BJ11">IF(AH11=VLOOKUP(VALUE(AH$1),{Questions[#],Questions[Answer]},2,FALSE),1,0)</f>
        <v/>
      </c>
      <c r="BK11" s="41">
        <f t="array" ref="BK11">IF(AI11=VLOOKUP(VALUE(AI$1),{Questions[#],Questions[Answer]},2,FALSE),1,0)</f>
        <v/>
      </c>
      <c r="BL11" s="41">
        <f t="array" ref="BL11">IF(AJ11=VLOOKUP(VALUE(AJ$1),{Questions[#],Questions[Answer]},2,FALSE),1,0)</f>
        <v/>
      </c>
      <c r="BM11" s="41">
        <f t="array" ref="BM11">IF(AK11=VLOOKUP(VALUE(AK$1),{Questions[#],Questions[Answer]},2,FALSE),1,0)</f>
        <v/>
      </c>
      <c r="BN11" s="41">
        <f t="array" ref="BN11">IF(AL11=VLOOKUP(VALUE(AL$1),{Questions[#],Questions[Answer]},2,FALSE),1,0)</f>
        <v/>
      </c>
    </row>
    <row r="12" ht="22.5" customHeight="1" s="93">
      <c r="A12" s="42" t="inlineStr">
        <is>
          <t>Kovelsky</t>
        </is>
      </c>
      <c r="B12" s="41" t="n">
        <v>10</v>
      </c>
      <c r="C12" s="41" t="n">
        <v>4</v>
      </c>
      <c r="D12" s="44" t="n">
        <v>237833280</v>
      </c>
      <c r="E12" s="41" t="n"/>
      <c r="F12" s="41" t="n"/>
      <c r="G12" s="11">
        <f>SUM(AM12:BN12)</f>
        <v/>
      </c>
      <c r="H12" s="12">
        <f>G12/28</f>
        <v/>
      </c>
      <c r="I12" s="12">
        <f>0.5+(G12/54)</f>
        <v/>
      </c>
      <c r="J12" s="13">
        <f>COUNTIF(K12:AL12,"")</f>
        <v/>
      </c>
      <c r="K12" s="25" t="n">
        <v>4</v>
      </c>
      <c r="L12" s="23" t="n">
        <v>1</v>
      </c>
      <c r="M12" s="23" t="n">
        <v>3</v>
      </c>
      <c r="N12" s="26" t="n">
        <v>2</v>
      </c>
      <c r="O12" s="26" t="n">
        <v>3</v>
      </c>
      <c r="P12" s="23" t="n">
        <v>1</v>
      </c>
      <c r="Q12" s="23" t="n">
        <v>2</v>
      </c>
      <c r="R12" s="26" t="n">
        <v>1</v>
      </c>
      <c r="S12" s="23" t="n">
        <v>1</v>
      </c>
      <c r="T12" s="23" t="n">
        <v>4</v>
      </c>
      <c r="U12" s="23" t="n">
        <v>1</v>
      </c>
      <c r="V12" s="23" t="n">
        <v>4</v>
      </c>
      <c r="W12" s="23" t="n">
        <v>3</v>
      </c>
      <c r="X12" s="33" t="n">
        <v>2</v>
      </c>
      <c r="Y12" s="23" t="n">
        <v>4</v>
      </c>
      <c r="Z12" s="23" t="n">
        <v>3</v>
      </c>
      <c r="AA12" s="23" t="n">
        <v>4</v>
      </c>
      <c r="AB12" s="23" t="n">
        <v>4</v>
      </c>
      <c r="AC12" s="23" t="n">
        <v>1</v>
      </c>
      <c r="AD12" s="23" t="n">
        <v>3</v>
      </c>
      <c r="AE12" s="33" t="n">
        <v>4</v>
      </c>
      <c r="AF12" s="23" t="n">
        <v>2</v>
      </c>
      <c r="AG12" s="23" t="n">
        <v>4</v>
      </c>
      <c r="AH12" s="23" t="n">
        <v>3</v>
      </c>
      <c r="AI12" s="23" t="n"/>
      <c r="AJ12" s="23" t="n"/>
      <c r="AK12" s="23" t="n"/>
      <c r="AL12" s="29" t="n"/>
      <c r="AM12" s="19">
        <f t="array" ref="AM12">IF(K12=VLOOKUP(VALUE(K$1),{Questions[#],Questions[Answer]},2,FALSE),1,0)</f>
        <v/>
      </c>
      <c r="AN12" s="41">
        <f t="array" ref="AN12">IF(L12=VLOOKUP(VALUE(L$1),{Questions[#],Questions[Answer]},2,FALSE),1,0)</f>
        <v/>
      </c>
      <c r="AO12" s="41">
        <f t="array" ref="AO12">IF(M12=VLOOKUP(VALUE(M$1),{Questions[#],Questions[Answer]},2,FALSE),1,0)</f>
        <v/>
      </c>
      <c r="AP12" s="41">
        <f t="array" ref="AP12">IF(N12=VLOOKUP(VALUE(N$1),{Questions[#],Questions[Answer]},2,FALSE),1,0)</f>
        <v/>
      </c>
      <c r="AQ12" s="41">
        <f t="array" ref="AQ12">IF(O12=VLOOKUP(VALUE(O$1),{Questions[#],Questions[Answer]},2,FALSE),1,0)</f>
        <v/>
      </c>
      <c r="AR12" s="41">
        <f t="array" ref="AR12">IF(P12=VLOOKUP(VALUE(P$1),{Questions[#],Questions[Answer]},2,FALSE),1,0)</f>
        <v/>
      </c>
      <c r="AS12" s="41">
        <f t="array" ref="AS12">IF(Q12=VLOOKUP(VALUE(Q$1),{Questions[#],Questions[Answer]},2,FALSE),1,0)</f>
        <v/>
      </c>
      <c r="AT12" s="41">
        <f t="array" ref="AT12">IF(R12=VLOOKUP(VALUE(R$1),{Questions[#],Questions[Answer]},2,FALSE),1,0)</f>
        <v/>
      </c>
      <c r="AU12" s="41">
        <f t="array" ref="AU12">IF(S12=VLOOKUP(VALUE(S$1),{Questions[#],Questions[Answer]},2,FALSE),1,0)</f>
        <v/>
      </c>
      <c r="AV12" s="41">
        <f t="array" ref="AV12">IF(T12=VLOOKUP(VALUE(T$1),{Questions[#],Questions[Answer]},2,FALSE),1,0)</f>
        <v/>
      </c>
      <c r="AW12" s="41">
        <f t="array" ref="AW12">IF(U12=VLOOKUP(VALUE(U$1),{Questions[#],Questions[Answer]},2,FALSE),1,0)</f>
        <v/>
      </c>
      <c r="AX12" s="41">
        <f t="array" ref="AX12">IF(V12=VLOOKUP(VALUE(V$1),{Questions[#],Questions[Answer]},2,FALSE),1,0)</f>
        <v/>
      </c>
      <c r="AY12" s="41">
        <f t="array" ref="AY12">IF(W12=VLOOKUP(VALUE(W$1),{Questions[#],Questions[Answer]},2,FALSE),1,0)</f>
        <v/>
      </c>
      <c r="AZ12" s="41">
        <f t="array" ref="AZ12">IF(X12=VLOOKUP(VALUE(X$1),{Questions[#],Questions[Answer]},2,FALSE),1,0)</f>
        <v/>
      </c>
      <c r="BA12" s="41">
        <f t="array" ref="BA12">IF(Y12=VLOOKUP(VALUE(Y$1),{Questions[#],Questions[Answer]},2,FALSE),1,0)</f>
        <v/>
      </c>
      <c r="BB12" s="41">
        <f t="array" ref="BB12">IF(Z12=VLOOKUP(VALUE(Z$1),{Questions[#],Questions[Answer]},2,FALSE),1,0)</f>
        <v/>
      </c>
      <c r="BC12" s="41">
        <f t="array" ref="BC12">IF(AA12=VLOOKUP(VALUE(AA$1),{Questions[#],Questions[Answer]},2,FALSE),1,0)</f>
        <v/>
      </c>
      <c r="BD12" s="41">
        <f t="array" ref="BD12">IF(AB12=VLOOKUP(VALUE(AB$1),{Questions[#],Questions[Answer]},2,FALSE),1,0)</f>
        <v/>
      </c>
      <c r="BE12" s="41">
        <f t="array" ref="BE12">IF(AC12=VLOOKUP(VALUE(AC$1),{Questions[#],Questions[Answer]},2,FALSE),1,0)</f>
        <v/>
      </c>
      <c r="BF12" s="41">
        <f t="array" ref="BF12">IF(AD12=VLOOKUP(VALUE(AD$1),{Questions[#],Questions[Answer]},2,FALSE),1,0)</f>
        <v/>
      </c>
      <c r="BG12" s="41">
        <f t="array" ref="BG12">IF(AE12=VLOOKUP(VALUE(AE$1),{Questions[#],Questions[Answer]},2,FALSE),1,0)</f>
        <v/>
      </c>
      <c r="BH12" s="41">
        <f t="array" ref="BH12">IF(AF12=VLOOKUP(VALUE(AF$1),{Questions[#],Questions[Answer]},2,FALSE),1,0)</f>
        <v/>
      </c>
      <c r="BI12" s="41">
        <f t="array" ref="BI12">IF(AG12=VLOOKUP(VALUE(AG$1),{Questions[#],Questions[Answer]},2,FALSE),1,0)</f>
        <v/>
      </c>
      <c r="BJ12" s="41">
        <f t="array" ref="BJ12">IF(AH12=VLOOKUP(VALUE(AH$1),{Questions[#],Questions[Answer]},2,FALSE),1,0)</f>
        <v/>
      </c>
      <c r="BK12" s="41">
        <f t="array" ref="BK12">IF(AI12=VLOOKUP(VALUE(AI$1),{Questions[#],Questions[Answer]},2,FALSE),1,0)</f>
        <v/>
      </c>
      <c r="BL12" s="41">
        <f t="array" ref="BL12">IF(AJ12=VLOOKUP(VALUE(AJ$1),{Questions[#],Questions[Answer]},2,FALSE),1,0)</f>
        <v/>
      </c>
      <c r="BM12" s="41">
        <f t="array" ref="BM12">IF(AK12=VLOOKUP(VALUE(AK$1),{Questions[#],Questions[Answer]},2,FALSE),1,0)</f>
        <v/>
      </c>
      <c r="BN12" s="41">
        <f t="array" ref="BN12">IF(AL12=VLOOKUP(VALUE(AL$1),{Questions[#],Questions[Answer]},2,FALSE),1,0)</f>
        <v/>
      </c>
    </row>
    <row r="13" ht="22.5" customHeight="1" s="93">
      <c r="A13" s="42" t="inlineStr">
        <is>
          <t>Kovelsky</t>
        </is>
      </c>
      <c r="B13" s="41" t="n">
        <v>10</v>
      </c>
      <c r="C13" s="41" t="n">
        <v>4</v>
      </c>
      <c r="D13" s="44" t="n">
        <v>250128049</v>
      </c>
      <c r="E13" s="41" t="n"/>
      <c r="F13" s="41" t="n"/>
      <c r="G13" s="11">
        <f>SUM(AM13:BN13)</f>
        <v/>
      </c>
      <c r="H13" s="12">
        <f>G13/28</f>
        <v/>
      </c>
      <c r="I13" s="12">
        <f>0.5+(G13/54)</f>
        <v/>
      </c>
      <c r="J13" s="13">
        <f>COUNTIF(K13:AL13,"")</f>
        <v/>
      </c>
      <c r="K13" s="32" t="n">
        <v>2</v>
      </c>
      <c r="L13" s="23" t="n">
        <v>4</v>
      </c>
      <c r="M13" s="26" t="n">
        <v>3</v>
      </c>
      <c r="N13" s="23" t="n">
        <v>1</v>
      </c>
      <c r="O13" s="26" t="n">
        <v>3</v>
      </c>
      <c r="P13" s="26" t="n">
        <v>1</v>
      </c>
      <c r="Q13" s="23" t="n">
        <v>2</v>
      </c>
      <c r="R13" s="26" t="n">
        <v>3</v>
      </c>
      <c r="S13" s="30" t="n">
        <v>3</v>
      </c>
      <c r="T13" s="30" t="n">
        <v>4</v>
      </c>
      <c r="U13" s="30" t="n">
        <v>3</v>
      </c>
      <c r="V13" s="30" t="n">
        <v>1</v>
      </c>
      <c r="W13" s="30" t="n">
        <v>2</v>
      </c>
      <c r="X13" s="31" t="n">
        <v>3</v>
      </c>
      <c r="Y13" s="30" t="n">
        <v>2</v>
      </c>
      <c r="Z13" s="30" t="n">
        <v>3</v>
      </c>
      <c r="AA13" s="30" t="n">
        <v>1</v>
      </c>
      <c r="AB13" s="30" t="n">
        <v>2</v>
      </c>
      <c r="AC13" s="30" t="n">
        <v>3</v>
      </c>
      <c r="AD13" s="30" t="n">
        <v>3</v>
      </c>
      <c r="AE13" s="31" t="n">
        <v>3</v>
      </c>
      <c r="AF13" s="30" t="n">
        <v>3</v>
      </c>
      <c r="AG13" s="30" t="n"/>
      <c r="AH13" s="30" t="n">
        <v>3</v>
      </c>
      <c r="AI13" s="30" t="n">
        <v>4</v>
      </c>
      <c r="AJ13" s="30" t="n">
        <v>2</v>
      </c>
      <c r="AK13" s="30" t="n">
        <v>3</v>
      </c>
      <c r="AL13" s="24" t="n"/>
      <c r="AM13" s="19">
        <f t="array" ref="AM13">IF(K13=VLOOKUP(VALUE(K$1),{Questions[#],Questions[Answer]},2,FALSE),1,0)</f>
        <v/>
      </c>
      <c r="AN13" s="41">
        <f t="array" ref="AN13">IF(L13=VLOOKUP(VALUE(L$1),{Questions[#],Questions[Answer]},2,FALSE),1,0)</f>
        <v/>
      </c>
      <c r="AO13" s="41">
        <f t="array" ref="AO13">IF(M13=VLOOKUP(VALUE(M$1),{Questions[#],Questions[Answer]},2,FALSE),1,0)</f>
        <v/>
      </c>
      <c r="AP13" s="41">
        <f t="array" ref="AP13">IF(N13=VLOOKUP(VALUE(N$1),{Questions[#],Questions[Answer]},2,FALSE),1,0)</f>
        <v/>
      </c>
      <c r="AQ13" s="41">
        <f t="array" ref="AQ13">IF(O13=VLOOKUP(VALUE(O$1),{Questions[#],Questions[Answer]},2,FALSE),1,0)</f>
        <v/>
      </c>
      <c r="AR13" s="41">
        <f t="array" ref="AR13">IF(P13=VLOOKUP(VALUE(P$1),{Questions[#],Questions[Answer]},2,FALSE),1,0)</f>
        <v/>
      </c>
      <c r="AS13" s="41">
        <f t="array" ref="AS13">IF(Q13=VLOOKUP(VALUE(Q$1),{Questions[#],Questions[Answer]},2,FALSE),1,0)</f>
        <v/>
      </c>
      <c r="AT13" s="41">
        <f t="array" ref="AT13">IF(R13=VLOOKUP(VALUE(R$1),{Questions[#],Questions[Answer]},2,FALSE),1,0)</f>
        <v/>
      </c>
      <c r="AU13" s="41">
        <f t="array" ref="AU13">IF(S13=VLOOKUP(VALUE(S$1),{Questions[#],Questions[Answer]},2,FALSE),1,0)</f>
        <v/>
      </c>
      <c r="AV13" s="41">
        <f t="array" ref="AV13">IF(T13=VLOOKUP(VALUE(T$1),{Questions[#],Questions[Answer]},2,FALSE),1,0)</f>
        <v/>
      </c>
      <c r="AW13" s="41">
        <f t="array" ref="AW13">IF(U13=VLOOKUP(VALUE(U$1),{Questions[#],Questions[Answer]},2,FALSE),1,0)</f>
        <v/>
      </c>
      <c r="AX13" s="41">
        <f t="array" ref="AX13">IF(V13=VLOOKUP(VALUE(V$1),{Questions[#],Questions[Answer]},2,FALSE),1,0)</f>
        <v/>
      </c>
      <c r="AY13" s="41">
        <f t="array" ref="AY13">IF(W13=VLOOKUP(VALUE(W$1),{Questions[#],Questions[Answer]},2,FALSE),1,0)</f>
        <v/>
      </c>
      <c r="AZ13" s="41">
        <f t="array" ref="AZ13">IF(X13=VLOOKUP(VALUE(X$1),{Questions[#],Questions[Answer]},2,FALSE),1,0)</f>
        <v/>
      </c>
      <c r="BA13" s="41">
        <f t="array" ref="BA13">IF(Y13=VLOOKUP(VALUE(Y$1),{Questions[#],Questions[Answer]},2,FALSE),1,0)</f>
        <v/>
      </c>
      <c r="BB13" s="41">
        <f t="array" ref="BB13">IF(Z13=VLOOKUP(VALUE(Z$1),{Questions[#],Questions[Answer]},2,FALSE),1,0)</f>
        <v/>
      </c>
      <c r="BC13" s="41">
        <f t="array" ref="BC13">IF(AA13=VLOOKUP(VALUE(AA$1),{Questions[#],Questions[Answer]},2,FALSE),1,0)</f>
        <v/>
      </c>
      <c r="BD13" s="41">
        <f t="array" ref="BD13">IF(AB13=VLOOKUP(VALUE(AB$1),{Questions[#],Questions[Answer]},2,FALSE),1,0)</f>
        <v/>
      </c>
      <c r="BE13" s="41">
        <f t="array" ref="BE13">IF(AC13=VLOOKUP(VALUE(AC$1),{Questions[#],Questions[Answer]},2,FALSE),1,0)</f>
        <v/>
      </c>
      <c r="BF13" s="41">
        <f t="array" ref="BF13">IF(AD13=VLOOKUP(VALUE(AD$1),{Questions[#],Questions[Answer]},2,FALSE),1,0)</f>
        <v/>
      </c>
      <c r="BG13" s="41">
        <f t="array" ref="BG13">IF(AE13=VLOOKUP(VALUE(AE$1),{Questions[#],Questions[Answer]},2,FALSE),1,0)</f>
        <v/>
      </c>
      <c r="BH13" s="41">
        <f t="array" ref="BH13">IF(AF13=VLOOKUP(VALUE(AF$1),{Questions[#],Questions[Answer]},2,FALSE),1,0)</f>
        <v/>
      </c>
      <c r="BI13" s="41">
        <f t="array" ref="BI13">IF(AG13=VLOOKUP(VALUE(AG$1),{Questions[#],Questions[Answer]},2,FALSE),1,0)</f>
        <v/>
      </c>
      <c r="BJ13" s="41">
        <f t="array" ref="BJ13">IF(AH13=VLOOKUP(VALUE(AH$1),{Questions[#],Questions[Answer]},2,FALSE),1,0)</f>
        <v/>
      </c>
      <c r="BK13" s="41">
        <f t="array" ref="BK13">IF(AI13=VLOOKUP(VALUE(AI$1),{Questions[#],Questions[Answer]},2,FALSE),1,0)</f>
        <v/>
      </c>
      <c r="BL13" s="41">
        <f t="array" ref="BL13">IF(AJ13=VLOOKUP(VALUE(AJ$1),{Questions[#],Questions[Answer]},2,FALSE),1,0)</f>
        <v/>
      </c>
      <c r="BM13" s="41">
        <f t="array" ref="BM13">IF(AK13=VLOOKUP(VALUE(AK$1),{Questions[#],Questions[Answer]},2,FALSE),1,0)</f>
        <v/>
      </c>
      <c r="BN13" s="41">
        <f t="array" ref="BN13">IF(AL13=VLOOKUP(VALUE(AL$1),{Questions[#],Questions[Answer]},2,FALSE),1,0)</f>
        <v/>
      </c>
    </row>
    <row r="14" ht="22.5" customHeight="1" s="93">
      <c r="A14" s="42" t="inlineStr">
        <is>
          <t>Kovelsky</t>
        </is>
      </c>
      <c r="B14" s="41" t="n">
        <v>10</v>
      </c>
      <c r="C14" s="41" t="n">
        <v>4</v>
      </c>
      <c r="D14" s="44" t="n">
        <v>233998376</v>
      </c>
      <c r="E14" s="41" t="n"/>
      <c r="F14" s="41" t="n"/>
      <c r="G14" s="11">
        <f>SUM(AM14:BN14)</f>
        <v/>
      </c>
      <c r="H14" s="12">
        <f>G14/28</f>
        <v/>
      </c>
      <c r="I14" s="12">
        <f>0.5+(G14/54)</f>
        <v/>
      </c>
      <c r="J14" s="13">
        <f>COUNTIF(K14:AL14,"")</f>
        <v/>
      </c>
      <c r="K14" s="25" t="n">
        <v>3</v>
      </c>
      <c r="L14" s="23" t="n">
        <v>3</v>
      </c>
      <c r="M14" s="26" t="n">
        <v>3</v>
      </c>
      <c r="N14" s="26" t="n">
        <v>2</v>
      </c>
      <c r="O14" s="26" t="n">
        <v>4</v>
      </c>
      <c r="P14" s="26" t="n">
        <v>4</v>
      </c>
      <c r="Q14" s="23" t="n">
        <v>1</v>
      </c>
      <c r="R14" s="26" t="n">
        <v>4</v>
      </c>
      <c r="S14" s="23" t="n">
        <v>1</v>
      </c>
      <c r="T14" s="23" t="n">
        <v>2</v>
      </c>
      <c r="U14" s="23" t="n">
        <v>2</v>
      </c>
      <c r="V14" s="23" t="n">
        <v>1</v>
      </c>
      <c r="W14" s="23" t="n">
        <v>3</v>
      </c>
      <c r="X14" s="33" t="n">
        <v>3</v>
      </c>
      <c r="Y14" s="23" t="n">
        <v>1</v>
      </c>
      <c r="Z14" s="23" t="n">
        <v>1</v>
      </c>
      <c r="AA14" s="23" t="n">
        <v>1</v>
      </c>
      <c r="AB14" s="23" t="n">
        <v>1</v>
      </c>
      <c r="AC14" s="23" t="n">
        <v>1</v>
      </c>
      <c r="AD14" s="23" t="n">
        <v>2</v>
      </c>
      <c r="AE14" s="33" t="n">
        <v>1</v>
      </c>
      <c r="AF14" s="23" t="n">
        <v>2</v>
      </c>
      <c r="AG14" s="23" t="n">
        <v>2</v>
      </c>
      <c r="AH14" s="23" t="n">
        <v>3</v>
      </c>
      <c r="AI14" s="23" t="n">
        <v>3</v>
      </c>
      <c r="AJ14" s="23" t="n">
        <v>1</v>
      </c>
      <c r="AK14" s="23" t="n">
        <v>3</v>
      </c>
      <c r="AL14" s="29" t="n">
        <v>1</v>
      </c>
      <c r="AM14" s="19">
        <f t="array" ref="AM14">IF(K14=VLOOKUP(VALUE(K$1),{Questions[#],Questions[Answer]},2,FALSE),1,0)</f>
        <v/>
      </c>
      <c r="AN14" s="41">
        <f t="array" ref="AN14">IF(L14=VLOOKUP(VALUE(L$1),{Questions[#],Questions[Answer]},2,FALSE),1,0)</f>
        <v/>
      </c>
      <c r="AO14" s="41">
        <f t="array" ref="AO14">IF(M14=VLOOKUP(VALUE(M$1),{Questions[#],Questions[Answer]},2,FALSE),1,0)</f>
        <v/>
      </c>
      <c r="AP14" s="41">
        <f t="array" ref="AP14">IF(N14=VLOOKUP(VALUE(N$1),{Questions[#],Questions[Answer]},2,FALSE),1,0)</f>
        <v/>
      </c>
      <c r="AQ14" s="41">
        <f t="array" ref="AQ14">IF(O14=VLOOKUP(VALUE(O$1),{Questions[#],Questions[Answer]},2,FALSE),1,0)</f>
        <v/>
      </c>
      <c r="AR14" s="41">
        <f t="array" ref="AR14">IF(P14=VLOOKUP(VALUE(P$1),{Questions[#],Questions[Answer]},2,FALSE),1,0)</f>
        <v/>
      </c>
      <c r="AS14" s="41">
        <f t="array" ref="AS14">IF(Q14=VLOOKUP(VALUE(Q$1),{Questions[#],Questions[Answer]},2,FALSE),1,0)</f>
        <v/>
      </c>
      <c r="AT14" s="41">
        <f t="array" ref="AT14">IF(R14=VLOOKUP(VALUE(R$1),{Questions[#],Questions[Answer]},2,FALSE),1,0)</f>
        <v/>
      </c>
      <c r="AU14" s="41">
        <f t="array" ref="AU14">IF(S14=VLOOKUP(VALUE(S$1),{Questions[#],Questions[Answer]},2,FALSE),1,0)</f>
        <v/>
      </c>
      <c r="AV14" s="41">
        <f t="array" ref="AV14">IF(T14=VLOOKUP(VALUE(T$1),{Questions[#],Questions[Answer]},2,FALSE),1,0)</f>
        <v/>
      </c>
      <c r="AW14" s="41">
        <f t="array" ref="AW14">IF(U14=VLOOKUP(VALUE(U$1),{Questions[#],Questions[Answer]},2,FALSE),1,0)</f>
        <v/>
      </c>
      <c r="AX14" s="41">
        <f t="array" ref="AX14">IF(V14=VLOOKUP(VALUE(V$1),{Questions[#],Questions[Answer]},2,FALSE),1,0)</f>
        <v/>
      </c>
      <c r="AY14" s="41">
        <f t="array" ref="AY14">IF(W14=VLOOKUP(VALUE(W$1),{Questions[#],Questions[Answer]},2,FALSE),1,0)</f>
        <v/>
      </c>
      <c r="AZ14" s="41">
        <f t="array" ref="AZ14">IF(X14=VLOOKUP(VALUE(X$1),{Questions[#],Questions[Answer]},2,FALSE),1,0)</f>
        <v/>
      </c>
      <c r="BA14" s="41">
        <f t="array" ref="BA14">IF(Y14=VLOOKUP(VALUE(Y$1),{Questions[#],Questions[Answer]},2,FALSE),1,0)</f>
        <v/>
      </c>
      <c r="BB14" s="41">
        <f t="array" ref="BB14">IF(Z14=VLOOKUP(VALUE(Z$1),{Questions[#],Questions[Answer]},2,FALSE),1,0)</f>
        <v/>
      </c>
      <c r="BC14" s="41">
        <f t="array" ref="BC14">IF(AA14=VLOOKUP(VALUE(AA$1),{Questions[#],Questions[Answer]},2,FALSE),1,0)</f>
        <v/>
      </c>
      <c r="BD14" s="41">
        <f t="array" ref="BD14">IF(AB14=VLOOKUP(VALUE(AB$1),{Questions[#],Questions[Answer]},2,FALSE),1,0)</f>
        <v/>
      </c>
      <c r="BE14" s="41">
        <f t="array" ref="BE14">IF(AC14=VLOOKUP(VALUE(AC$1),{Questions[#],Questions[Answer]},2,FALSE),1,0)</f>
        <v/>
      </c>
      <c r="BF14" s="41">
        <f t="array" ref="BF14">IF(AD14=VLOOKUP(VALUE(AD$1),{Questions[#],Questions[Answer]},2,FALSE),1,0)</f>
        <v/>
      </c>
      <c r="BG14" s="41">
        <f t="array" ref="BG14">IF(AE14=VLOOKUP(VALUE(AE$1),{Questions[#],Questions[Answer]},2,FALSE),1,0)</f>
        <v/>
      </c>
      <c r="BH14" s="41">
        <f t="array" ref="BH14">IF(AF14=VLOOKUP(VALUE(AF$1),{Questions[#],Questions[Answer]},2,FALSE),1,0)</f>
        <v/>
      </c>
      <c r="BI14" s="41">
        <f t="array" ref="BI14">IF(AG14=VLOOKUP(VALUE(AG$1),{Questions[#],Questions[Answer]},2,FALSE),1,0)</f>
        <v/>
      </c>
      <c r="BJ14" s="41">
        <f t="array" ref="BJ14">IF(AH14=VLOOKUP(VALUE(AH$1),{Questions[#],Questions[Answer]},2,FALSE),1,0)</f>
        <v/>
      </c>
      <c r="BK14" s="41">
        <f t="array" ref="BK14">IF(AI14=VLOOKUP(VALUE(AI$1),{Questions[#],Questions[Answer]},2,FALSE),1,0)</f>
        <v/>
      </c>
      <c r="BL14" s="41">
        <f t="array" ref="BL14">IF(AJ14=VLOOKUP(VALUE(AJ$1),{Questions[#],Questions[Answer]},2,FALSE),1,0)</f>
        <v/>
      </c>
      <c r="BM14" s="41">
        <f t="array" ref="BM14">IF(AK14=VLOOKUP(VALUE(AK$1),{Questions[#],Questions[Answer]},2,FALSE),1,0)</f>
        <v/>
      </c>
      <c r="BN14" s="41">
        <f t="array" ref="BN14">IF(AL14=VLOOKUP(VALUE(AL$1),{Questions[#],Questions[Answer]},2,FALSE),1,0)</f>
        <v/>
      </c>
    </row>
    <row r="15" ht="22.5" customHeight="1" s="93">
      <c r="A15" s="42" t="inlineStr">
        <is>
          <t>Kovelsky</t>
        </is>
      </c>
      <c r="B15" s="41" t="n">
        <v>10</v>
      </c>
      <c r="C15" s="41" t="n">
        <v>4</v>
      </c>
      <c r="D15" s="44" t="n">
        <v>235112182</v>
      </c>
      <c r="E15" s="41" t="n"/>
      <c r="F15" s="41" t="n"/>
      <c r="G15" s="11">
        <f>SUM(AM15:BN15)</f>
        <v/>
      </c>
      <c r="H15" s="12">
        <f>G15/28</f>
        <v/>
      </c>
      <c r="I15" s="12">
        <f>0.5+(G15/54)</f>
        <v/>
      </c>
      <c r="J15" s="13">
        <f>COUNTIF(K15:AL15,"")</f>
        <v/>
      </c>
      <c r="K15" s="25" t="n">
        <v>4</v>
      </c>
      <c r="L15" s="23" t="n">
        <v>3</v>
      </c>
      <c r="M15" s="26" t="n">
        <v>3</v>
      </c>
      <c r="N15" s="23" t="n">
        <v>2</v>
      </c>
      <c r="O15" s="23" t="n">
        <v>1</v>
      </c>
      <c r="P15" s="23" t="n">
        <v>1</v>
      </c>
      <c r="Q15" s="23" t="n">
        <v>4</v>
      </c>
      <c r="R15" s="26" t="n">
        <v>2</v>
      </c>
      <c r="S15" s="30" t="n">
        <v>3</v>
      </c>
      <c r="T15" s="30" t="n">
        <v>4</v>
      </c>
      <c r="U15" s="30" t="n">
        <v>1</v>
      </c>
      <c r="V15" s="30" t="n">
        <v>1</v>
      </c>
      <c r="W15" s="30" t="n">
        <v>3</v>
      </c>
      <c r="X15" s="31" t="n">
        <v>3</v>
      </c>
      <c r="Y15" s="30" t="n">
        <v>4</v>
      </c>
      <c r="Z15" s="30" t="n">
        <v>3</v>
      </c>
      <c r="AA15" s="30" t="n">
        <v>4</v>
      </c>
      <c r="AB15" s="30" t="n">
        <v>3</v>
      </c>
      <c r="AC15" s="30" t="n">
        <v>1</v>
      </c>
      <c r="AD15" s="30" t="n">
        <v>3</v>
      </c>
      <c r="AE15" s="31" t="n">
        <v>4</v>
      </c>
      <c r="AF15" s="30" t="n">
        <v>3</v>
      </c>
      <c r="AG15" s="30" t="n"/>
      <c r="AH15" s="30" t="n">
        <v>3</v>
      </c>
      <c r="AI15" s="30" t="n">
        <v>2</v>
      </c>
      <c r="AJ15" s="30" t="n">
        <v>4</v>
      </c>
      <c r="AK15" s="30" t="n">
        <v>1</v>
      </c>
      <c r="AL15" s="24" t="n">
        <v>2</v>
      </c>
      <c r="AM15" s="19">
        <f t="array" ref="AM15">IF(K15=VLOOKUP(VALUE(K$1),{Questions[#],Questions[Answer]},2,FALSE),1,0)</f>
        <v/>
      </c>
      <c r="AN15" s="41">
        <f t="array" ref="AN15">IF(L15=VLOOKUP(VALUE(L$1),{Questions[#],Questions[Answer]},2,FALSE),1,0)</f>
        <v/>
      </c>
      <c r="AO15" s="41">
        <f t="array" ref="AO15">IF(M15=VLOOKUP(VALUE(M$1),{Questions[#],Questions[Answer]},2,FALSE),1,0)</f>
        <v/>
      </c>
      <c r="AP15" s="41">
        <f t="array" ref="AP15">IF(N15=VLOOKUP(VALUE(N$1),{Questions[#],Questions[Answer]},2,FALSE),1,0)</f>
        <v/>
      </c>
      <c r="AQ15" s="41">
        <f t="array" ref="AQ15">IF(O15=VLOOKUP(VALUE(O$1),{Questions[#],Questions[Answer]},2,FALSE),1,0)</f>
        <v/>
      </c>
      <c r="AR15" s="41">
        <f t="array" ref="AR15">IF(P15=VLOOKUP(VALUE(P$1),{Questions[#],Questions[Answer]},2,FALSE),1,0)</f>
        <v/>
      </c>
      <c r="AS15" s="41">
        <f t="array" ref="AS15">IF(Q15=VLOOKUP(VALUE(Q$1),{Questions[#],Questions[Answer]},2,FALSE),1,0)</f>
        <v/>
      </c>
      <c r="AT15" s="41">
        <f t="array" ref="AT15">IF(R15=VLOOKUP(VALUE(R$1),{Questions[#],Questions[Answer]},2,FALSE),1,0)</f>
        <v/>
      </c>
      <c r="AU15" s="41">
        <f t="array" ref="AU15">IF(S15=VLOOKUP(VALUE(S$1),{Questions[#],Questions[Answer]},2,FALSE),1,0)</f>
        <v/>
      </c>
      <c r="AV15" s="41">
        <f t="array" ref="AV15">IF(T15=VLOOKUP(VALUE(T$1),{Questions[#],Questions[Answer]},2,FALSE),1,0)</f>
        <v/>
      </c>
      <c r="AW15" s="41">
        <f t="array" ref="AW15">IF(U15=VLOOKUP(VALUE(U$1),{Questions[#],Questions[Answer]},2,FALSE),1,0)</f>
        <v/>
      </c>
      <c r="AX15" s="41">
        <f t="array" ref="AX15">IF(V15=VLOOKUP(VALUE(V$1),{Questions[#],Questions[Answer]},2,FALSE),1,0)</f>
        <v/>
      </c>
      <c r="AY15" s="41">
        <f t="array" ref="AY15">IF(W15=VLOOKUP(VALUE(W$1),{Questions[#],Questions[Answer]},2,FALSE),1,0)</f>
        <v/>
      </c>
      <c r="AZ15" s="41">
        <f t="array" ref="AZ15">IF(X15=VLOOKUP(VALUE(X$1),{Questions[#],Questions[Answer]},2,FALSE),1,0)</f>
        <v/>
      </c>
      <c r="BA15" s="41">
        <f t="array" ref="BA15">IF(Y15=VLOOKUP(VALUE(Y$1),{Questions[#],Questions[Answer]},2,FALSE),1,0)</f>
        <v/>
      </c>
      <c r="BB15" s="41">
        <f t="array" ref="BB15">IF(Z15=VLOOKUP(VALUE(Z$1),{Questions[#],Questions[Answer]},2,FALSE),1,0)</f>
        <v/>
      </c>
      <c r="BC15" s="41">
        <f t="array" ref="BC15">IF(AA15=VLOOKUP(VALUE(AA$1),{Questions[#],Questions[Answer]},2,FALSE),1,0)</f>
        <v/>
      </c>
      <c r="BD15" s="41">
        <f t="array" ref="BD15">IF(AB15=VLOOKUP(VALUE(AB$1),{Questions[#],Questions[Answer]},2,FALSE),1,0)</f>
        <v/>
      </c>
      <c r="BE15" s="41">
        <f t="array" ref="BE15">IF(AC15=VLOOKUP(VALUE(AC$1),{Questions[#],Questions[Answer]},2,FALSE),1,0)</f>
        <v/>
      </c>
      <c r="BF15" s="41">
        <f t="array" ref="BF15">IF(AD15=VLOOKUP(VALUE(AD$1),{Questions[#],Questions[Answer]},2,FALSE),1,0)</f>
        <v/>
      </c>
      <c r="BG15" s="41">
        <f t="array" ref="BG15">IF(AE15=VLOOKUP(VALUE(AE$1),{Questions[#],Questions[Answer]},2,FALSE),1,0)</f>
        <v/>
      </c>
      <c r="BH15" s="41">
        <f t="array" ref="BH15">IF(AF15=VLOOKUP(VALUE(AF$1),{Questions[#],Questions[Answer]},2,FALSE),1,0)</f>
        <v/>
      </c>
      <c r="BI15" s="41">
        <f t="array" ref="BI15">IF(AG15=VLOOKUP(VALUE(AG$1),{Questions[#],Questions[Answer]},2,FALSE),1,0)</f>
        <v/>
      </c>
      <c r="BJ15" s="41">
        <f t="array" ref="BJ15">IF(AH15=VLOOKUP(VALUE(AH$1),{Questions[#],Questions[Answer]},2,FALSE),1,0)</f>
        <v/>
      </c>
      <c r="BK15" s="41">
        <f t="array" ref="BK15">IF(AI15=VLOOKUP(VALUE(AI$1),{Questions[#],Questions[Answer]},2,FALSE),1,0)</f>
        <v/>
      </c>
      <c r="BL15" s="41">
        <f t="array" ref="BL15">IF(AJ15=VLOOKUP(VALUE(AJ$1),{Questions[#],Questions[Answer]},2,FALSE),1,0)</f>
        <v/>
      </c>
      <c r="BM15" s="41">
        <f t="array" ref="BM15">IF(AK15=VLOOKUP(VALUE(AK$1),{Questions[#],Questions[Answer]},2,FALSE),1,0)</f>
        <v/>
      </c>
      <c r="BN15" s="41">
        <f t="array" ref="BN15">IF(AL15=VLOOKUP(VALUE(AL$1),{Questions[#],Questions[Answer]},2,FALSE),1,0)</f>
        <v/>
      </c>
    </row>
    <row r="16" ht="22.5" customHeight="1" s="93">
      <c r="A16" s="42" t="inlineStr">
        <is>
          <t>Kovelsky</t>
        </is>
      </c>
      <c r="B16" s="41" t="n">
        <v>10</v>
      </c>
      <c r="C16" s="41" t="n">
        <v>4</v>
      </c>
      <c r="D16" s="44" t="n">
        <v>239265051</v>
      </c>
      <c r="E16" s="41" t="n"/>
      <c r="F16" s="41" t="n"/>
      <c r="G16" s="11">
        <f>SUM(AM16:BN16)</f>
        <v/>
      </c>
      <c r="H16" s="12">
        <f>G16/28</f>
        <v/>
      </c>
      <c r="I16" s="12">
        <f>0.5+(G16/54)</f>
        <v/>
      </c>
      <c r="J16" s="13">
        <f>COUNTIF(K16:AL16,"")</f>
        <v/>
      </c>
      <c r="K16" s="32" t="n">
        <v>4</v>
      </c>
      <c r="L16" s="23" t="n">
        <v>1</v>
      </c>
      <c r="M16" s="26" t="n">
        <v>3</v>
      </c>
      <c r="N16" s="23" t="n">
        <v>2</v>
      </c>
      <c r="O16" s="26" t="n">
        <v>1</v>
      </c>
      <c r="P16" s="23" t="n">
        <v>2</v>
      </c>
      <c r="Q16" s="23" t="n">
        <v>2</v>
      </c>
      <c r="R16" s="23" t="n">
        <v>3</v>
      </c>
      <c r="S16" s="23" t="n">
        <v>1</v>
      </c>
      <c r="T16" s="23" t="n">
        <v>3</v>
      </c>
      <c r="U16" s="23" t="n">
        <v>1</v>
      </c>
      <c r="V16" s="23" t="n">
        <v>4</v>
      </c>
      <c r="W16" s="23" t="n">
        <v>2</v>
      </c>
      <c r="X16" s="33" t="n">
        <v>1</v>
      </c>
      <c r="Y16" s="23" t="n">
        <v>4</v>
      </c>
      <c r="Z16" s="23" t="n">
        <v>3</v>
      </c>
      <c r="AA16" s="23" t="n">
        <v>4</v>
      </c>
      <c r="AB16" s="23" t="n">
        <v>3</v>
      </c>
      <c r="AC16" s="23" t="n">
        <v>1</v>
      </c>
      <c r="AD16" s="23" t="n">
        <v>3</v>
      </c>
      <c r="AE16" s="33" t="n">
        <v>4</v>
      </c>
      <c r="AF16" s="23" t="n">
        <v>2</v>
      </c>
      <c r="AG16" s="23" t="n">
        <v>4</v>
      </c>
      <c r="AH16" s="23" t="n">
        <v>3</v>
      </c>
      <c r="AI16" s="23" t="n">
        <v>2</v>
      </c>
      <c r="AJ16" s="23" t="n">
        <v>1</v>
      </c>
      <c r="AK16" s="23" t="n">
        <v>1</v>
      </c>
      <c r="AL16" s="29" t="n">
        <v>1</v>
      </c>
      <c r="AM16" s="19">
        <f t="array" ref="AM16">IF(K16=VLOOKUP(VALUE(K$1),{Questions[#],Questions[Answer]},2,FALSE),1,0)</f>
        <v/>
      </c>
      <c r="AN16" s="41">
        <f t="array" ref="AN16">IF(L16=VLOOKUP(VALUE(L$1),{Questions[#],Questions[Answer]},2,FALSE),1,0)</f>
        <v/>
      </c>
      <c r="AO16" s="41">
        <f t="array" ref="AO16">IF(M16=VLOOKUP(VALUE(M$1),{Questions[#],Questions[Answer]},2,FALSE),1,0)</f>
        <v/>
      </c>
      <c r="AP16" s="41">
        <f t="array" ref="AP16">IF(N16=VLOOKUP(VALUE(N$1),{Questions[#],Questions[Answer]},2,FALSE),1,0)</f>
        <v/>
      </c>
      <c r="AQ16" s="41">
        <f t="array" ref="AQ16">IF(O16=VLOOKUP(VALUE(O$1),{Questions[#],Questions[Answer]},2,FALSE),1,0)</f>
        <v/>
      </c>
      <c r="AR16" s="41">
        <f t="array" ref="AR16">IF(P16=VLOOKUP(VALUE(P$1),{Questions[#],Questions[Answer]},2,FALSE),1,0)</f>
        <v/>
      </c>
      <c r="AS16" s="41">
        <f t="array" ref="AS16">IF(Q16=VLOOKUP(VALUE(Q$1),{Questions[#],Questions[Answer]},2,FALSE),1,0)</f>
        <v/>
      </c>
      <c r="AT16" s="41">
        <f t="array" ref="AT16">IF(R16=VLOOKUP(VALUE(R$1),{Questions[#],Questions[Answer]},2,FALSE),1,0)</f>
        <v/>
      </c>
      <c r="AU16" s="41">
        <f t="array" ref="AU16">IF(S16=VLOOKUP(VALUE(S$1),{Questions[#],Questions[Answer]},2,FALSE),1,0)</f>
        <v/>
      </c>
      <c r="AV16" s="41">
        <f t="array" ref="AV16">IF(T16=VLOOKUP(VALUE(T$1),{Questions[#],Questions[Answer]},2,FALSE),1,0)</f>
        <v/>
      </c>
      <c r="AW16" s="41">
        <f t="array" ref="AW16">IF(U16=VLOOKUP(VALUE(U$1),{Questions[#],Questions[Answer]},2,FALSE),1,0)</f>
        <v/>
      </c>
      <c r="AX16" s="41">
        <f t="array" ref="AX16">IF(V16=VLOOKUP(VALUE(V$1),{Questions[#],Questions[Answer]},2,FALSE),1,0)</f>
        <v/>
      </c>
      <c r="AY16" s="41">
        <f t="array" ref="AY16">IF(W16=VLOOKUP(VALUE(W$1),{Questions[#],Questions[Answer]},2,FALSE),1,0)</f>
        <v/>
      </c>
      <c r="AZ16" s="41">
        <f t="array" ref="AZ16">IF(X16=VLOOKUP(VALUE(X$1),{Questions[#],Questions[Answer]},2,FALSE),1,0)</f>
        <v/>
      </c>
      <c r="BA16" s="41">
        <f t="array" ref="BA16">IF(Y16=VLOOKUP(VALUE(Y$1),{Questions[#],Questions[Answer]},2,FALSE),1,0)</f>
        <v/>
      </c>
      <c r="BB16" s="41">
        <f t="array" ref="BB16">IF(Z16=VLOOKUP(VALUE(Z$1),{Questions[#],Questions[Answer]},2,FALSE),1,0)</f>
        <v/>
      </c>
      <c r="BC16" s="41">
        <f t="array" ref="BC16">IF(AA16=VLOOKUP(VALUE(AA$1),{Questions[#],Questions[Answer]},2,FALSE),1,0)</f>
        <v/>
      </c>
      <c r="BD16" s="41">
        <f t="array" ref="BD16">IF(AB16=VLOOKUP(VALUE(AB$1),{Questions[#],Questions[Answer]},2,FALSE),1,0)</f>
        <v/>
      </c>
      <c r="BE16" s="41">
        <f t="array" ref="BE16">IF(AC16=VLOOKUP(VALUE(AC$1),{Questions[#],Questions[Answer]},2,FALSE),1,0)</f>
        <v/>
      </c>
      <c r="BF16" s="41">
        <f t="array" ref="BF16">IF(AD16=VLOOKUP(VALUE(AD$1),{Questions[#],Questions[Answer]},2,FALSE),1,0)</f>
        <v/>
      </c>
      <c r="BG16" s="41">
        <f t="array" ref="BG16">IF(AE16=VLOOKUP(VALUE(AE$1),{Questions[#],Questions[Answer]},2,FALSE),1,0)</f>
        <v/>
      </c>
      <c r="BH16" s="41">
        <f t="array" ref="BH16">IF(AF16=VLOOKUP(VALUE(AF$1),{Questions[#],Questions[Answer]},2,FALSE),1,0)</f>
        <v/>
      </c>
      <c r="BI16" s="41">
        <f t="array" ref="BI16">IF(AG16=VLOOKUP(VALUE(AG$1),{Questions[#],Questions[Answer]},2,FALSE),1,0)</f>
        <v/>
      </c>
      <c r="BJ16" s="41">
        <f t="array" ref="BJ16">IF(AH16=VLOOKUP(VALUE(AH$1),{Questions[#],Questions[Answer]},2,FALSE),1,0)</f>
        <v/>
      </c>
      <c r="BK16" s="41">
        <f t="array" ref="BK16">IF(AI16=VLOOKUP(VALUE(AI$1),{Questions[#],Questions[Answer]},2,FALSE),1,0)</f>
        <v/>
      </c>
      <c r="BL16" s="41">
        <f t="array" ref="BL16">IF(AJ16=VLOOKUP(VALUE(AJ$1),{Questions[#],Questions[Answer]},2,FALSE),1,0)</f>
        <v/>
      </c>
      <c r="BM16" s="41">
        <f t="array" ref="BM16">IF(AK16=VLOOKUP(VALUE(AK$1),{Questions[#],Questions[Answer]},2,FALSE),1,0)</f>
        <v/>
      </c>
      <c r="BN16" s="41">
        <f t="array" ref="BN16">IF(AL16=VLOOKUP(VALUE(AL$1),{Questions[#],Questions[Answer]},2,FALSE),1,0)</f>
        <v/>
      </c>
    </row>
    <row r="17" ht="22.5" customHeight="1" s="93">
      <c r="A17" s="42" t="inlineStr">
        <is>
          <t>Kovelsky</t>
        </is>
      </c>
      <c r="B17" s="41" t="n">
        <v>10</v>
      </c>
      <c r="C17" s="41" t="n">
        <v>4</v>
      </c>
      <c r="D17" s="44" t="n">
        <v>238292403</v>
      </c>
      <c r="E17" s="41" t="n"/>
      <c r="F17" s="41" t="n"/>
      <c r="G17" s="11">
        <f>SUM(AM17:BN17)</f>
        <v/>
      </c>
      <c r="H17" s="12">
        <f>G17/28</f>
        <v/>
      </c>
      <c r="I17" s="12">
        <f>0.5+(G17/54)</f>
        <v/>
      </c>
      <c r="J17" s="13">
        <f>COUNTIF(K17:AL17,"")</f>
        <v/>
      </c>
      <c r="K17" s="32" t="n">
        <v>4</v>
      </c>
      <c r="L17" s="26" t="n">
        <v>1</v>
      </c>
      <c r="M17" s="26" t="n">
        <v>3</v>
      </c>
      <c r="N17" s="23" t="n">
        <v>2</v>
      </c>
      <c r="O17" s="26" t="n">
        <v>1</v>
      </c>
      <c r="P17" s="26" t="n">
        <v>2</v>
      </c>
      <c r="Q17" s="23" t="n">
        <v>1</v>
      </c>
      <c r="R17" s="23" t="n">
        <v>4</v>
      </c>
      <c r="S17" s="23" t="n">
        <v>3</v>
      </c>
      <c r="T17" s="23" t="n">
        <v>4</v>
      </c>
      <c r="U17" s="23" t="n">
        <v>1</v>
      </c>
      <c r="V17" s="23" t="n">
        <v>1</v>
      </c>
      <c r="W17" s="23" t="n">
        <v>3</v>
      </c>
      <c r="X17" s="33" t="n">
        <v>2</v>
      </c>
      <c r="Y17" s="23" t="n">
        <v>3</v>
      </c>
      <c r="Z17" s="23" t="n">
        <v>3</v>
      </c>
      <c r="AA17" s="23" t="n">
        <v>1</v>
      </c>
      <c r="AB17" s="23" t="n">
        <v>3</v>
      </c>
      <c r="AC17" s="23" t="n">
        <v>1</v>
      </c>
      <c r="AD17" s="23" t="n">
        <v>2</v>
      </c>
      <c r="AE17" s="33" t="n">
        <v>3</v>
      </c>
      <c r="AF17" s="23" t="n">
        <v>2</v>
      </c>
      <c r="AG17" s="23" t="n">
        <v>4</v>
      </c>
      <c r="AH17" s="23" t="n">
        <v>3</v>
      </c>
      <c r="AI17" s="23" t="n">
        <v>1</v>
      </c>
      <c r="AJ17" s="23" t="n">
        <v>3</v>
      </c>
      <c r="AK17" s="23" t="n">
        <v>2</v>
      </c>
      <c r="AL17" s="29" t="n">
        <v>2</v>
      </c>
      <c r="AM17" s="19">
        <f t="array" ref="AM17">IF(K17=VLOOKUP(VALUE(K$1),{Questions[#],Questions[Answer]},2,FALSE),1,0)</f>
        <v/>
      </c>
      <c r="AN17" s="41">
        <f t="array" ref="AN17">IF(L17=VLOOKUP(VALUE(L$1),{Questions[#],Questions[Answer]},2,FALSE),1,0)</f>
        <v/>
      </c>
      <c r="AO17" s="41">
        <f t="array" ref="AO17">IF(M17=VLOOKUP(VALUE(M$1),{Questions[#],Questions[Answer]},2,FALSE),1,0)</f>
        <v/>
      </c>
      <c r="AP17" s="41">
        <f t="array" ref="AP17">IF(N17=VLOOKUP(VALUE(N$1),{Questions[#],Questions[Answer]},2,FALSE),1,0)</f>
        <v/>
      </c>
      <c r="AQ17" s="41">
        <f t="array" ref="AQ17">IF(O17=VLOOKUP(VALUE(O$1),{Questions[#],Questions[Answer]},2,FALSE),1,0)</f>
        <v/>
      </c>
      <c r="AR17" s="41">
        <f t="array" ref="AR17">IF(P17=VLOOKUP(VALUE(P$1),{Questions[#],Questions[Answer]},2,FALSE),1,0)</f>
        <v/>
      </c>
      <c r="AS17" s="41">
        <f t="array" ref="AS17">IF(Q17=VLOOKUP(VALUE(Q$1),{Questions[#],Questions[Answer]},2,FALSE),1,0)</f>
        <v/>
      </c>
      <c r="AT17" s="41">
        <f t="array" ref="AT17">IF(R17=VLOOKUP(VALUE(R$1),{Questions[#],Questions[Answer]},2,FALSE),1,0)</f>
        <v/>
      </c>
      <c r="AU17" s="41">
        <f t="array" ref="AU17">IF(S17=VLOOKUP(VALUE(S$1),{Questions[#],Questions[Answer]},2,FALSE),1,0)</f>
        <v/>
      </c>
      <c r="AV17" s="41">
        <f t="array" ref="AV17">IF(T17=VLOOKUP(VALUE(T$1),{Questions[#],Questions[Answer]},2,FALSE),1,0)</f>
        <v/>
      </c>
      <c r="AW17" s="41">
        <f t="array" ref="AW17">IF(U17=VLOOKUP(VALUE(U$1),{Questions[#],Questions[Answer]},2,FALSE),1,0)</f>
        <v/>
      </c>
      <c r="AX17" s="41">
        <f t="array" ref="AX17">IF(V17=VLOOKUP(VALUE(V$1),{Questions[#],Questions[Answer]},2,FALSE),1,0)</f>
        <v/>
      </c>
      <c r="AY17" s="41">
        <f t="array" ref="AY17">IF(W17=VLOOKUP(VALUE(W$1),{Questions[#],Questions[Answer]},2,FALSE),1,0)</f>
        <v/>
      </c>
      <c r="AZ17" s="41">
        <f t="array" ref="AZ17">IF(X17=VLOOKUP(VALUE(X$1),{Questions[#],Questions[Answer]},2,FALSE),1,0)</f>
        <v/>
      </c>
      <c r="BA17" s="41">
        <f t="array" ref="BA17">IF(Y17=VLOOKUP(VALUE(Y$1),{Questions[#],Questions[Answer]},2,FALSE),1,0)</f>
        <v/>
      </c>
      <c r="BB17" s="41">
        <f t="array" ref="BB17">IF(Z17=VLOOKUP(VALUE(Z$1),{Questions[#],Questions[Answer]},2,FALSE),1,0)</f>
        <v/>
      </c>
      <c r="BC17" s="41">
        <f t="array" ref="BC17">IF(AA17=VLOOKUP(VALUE(AA$1),{Questions[#],Questions[Answer]},2,FALSE),1,0)</f>
        <v/>
      </c>
      <c r="BD17" s="41">
        <f t="array" ref="BD17">IF(AB17=VLOOKUP(VALUE(AB$1),{Questions[#],Questions[Answer]},2,FALSE),1,0)</f>
        <v/>
      </c>
      <c r="BE17" s="41">
        <f t="array" ref="BE17">IF(AC17=VLOOKUP(VALUE(AC$1),{Questions[#],Questions[Answer]},2,FALSE),1,0)</f>
        <v/>
      </c>
      <c r="BF17" s="41">
        <f t="array" ref="BF17">IF(AD17=VLOOKUP(VALUE(AD$1),{Questions[#],Questions[Answer]},2,FALSE),1,0)</f>
        <v/>
      </c>
      <c r="BG17" s="41">
        <f t="array" ref="BG17">IF(AE17=VLOOKUP(VALUE(AE$1),{Questions[#],Questions[Answer]},2,FALSE),1,0)</f>
        <v/>
      </c>
      <c r="BH17" s="41">
        <f t="array" ref="BH17">IF(AF17=VLOOKUP(VALUE(AF$1),{Questions[#],Questions[Answer]},2,FALSE),1,0)</f>
        <v/>
      </c>
      <c r="BI17" s="41">
        <f t="array" ref="BI17">IF(AG17=VLOOKUP(VALUE(AG$1),{Questions[#],Questions[Answer]},2,FALSE),1,0)</f>
        <v/>
      </c>
      <c r="BJ17" s="41">
        <f t="array" ref="BJ17">IF(AH17=VLOOKUP(VALUE(AH$1),{Questions[#],Questions[Answer]},2,FALSE),1,0)</f>
        <v/>
      </c>
      <c r="BK17" s="41">
        <f t="array" ref="BK17">IF(AI17=VLOOKUP(VALUE(AI$1),{Questions[#],Questions[Answer]},2,FALSE),1,0)</f>
        <v/>
      </c>
      <c r="BL17" s="41">
        <f t="array" ref="BL17">IF(AJ17=VLOOKUP(VALUE(AJ$1),{Questions[#],Questions[Answer]},2,FALSE),1,0)</f>
        <v/>
      </c>
      <c r="BM17" s="41">
        <f t="array" ref="BM17">IF(AK17=VLOOKUP(VALUE(AK$1),{Questions[#],Questions[Answer]},2,FALSE),1,0)</f>
        <v/>
      </c>
      <c r="BN17" s="41">
        <f t="array" ref="BN17">IF(AL17=VLOOKUP(VALUE(AL$1),{Questions[#],Questions[Answer]},2,FALSE),1,0)</f>
        <v/>
      </c>
    </row>
    <row r="18" ht="22.5" customHeight="1" s="93">
      <c r="A18" s="42" t="inlineStr">
        <is>
          <t>Kovelsky</t>
        </is>
      </c>
      <c r="B18" s="41" t="n">
        <v>10</v>
      </c>
      <c r="C18" s="41" t="n">
        <v>4</v>
      </c>
      <c r="D18" s="44" t="n">
        <v>220934814</v>
      </c>
      <c r="E18" s="41" t="n"/>
      <c r="F18" s="41" t="n"/>
      <c r="G18" s="11">
        <f>SUM(AM18:BN18)</f>
        <v/>
      </c>
      <c r="H18" s="12">
        <f>G18/28</f>
        <v/>
      </c>
      <c r="I18" s="12">
        <f>0.5+(G18/54)</f>
        <v/>
      </c>
      <c r="J18" s="13">
        <f>COUNTIF(K18:AL18,"")</f>
        <v/>
      </c>
      <c r="K18" s="32" t="n"/>
      <c r="L18" s="23" t="n"/>
      <c r="M18" s="26" t="n"/>
      <c r="N18" s="23" t="n"/>
      <c r="O18" s="23" t="n"/>
      <c r="P18" s="23" t="n"/>
      <c r="Q18" s="23" t="n"/>
      <c r="R18" s="23" t="n"/>
      <c r="S18" s="23" t="n"/>
      <c r="T18" s="23" t="n"/>
      <c r="U18" s="23" t="n"/>
      <c r="V18" s="23" t="n"/>
      <c r="W18" s="23" t="n"/>
      <c r="X18" s="33" t="n"/>
      <c r="Y18" s="23" t="n"/>
      <c r="Z18" s="23" t="n"/>
      <c r="AA18" s="23" t="n"/>
      <c r="AB18" s="23" t="n"/>
      <c r="AC18" s="23" t="n"/>
      <c r="AD18" s="23" t="n"/>
      <c r="AE18" s="33" t="n"/>
      <c r="AF18" s="23" t="n"/>
      <c r="AG18" s="23" t="n"/>
      <c r="AH18" s="23" t="n"/>
      <c r="AI18" s="23" t="n"/>
      <c r="AJ18" s="23" t="n"/>
      <c r="AK18" s="23" t="n"/>
      <c r="AL18" s="29" t="n"/>
      <c r="AM18" s="19">
        <f t="array" ref="AM18">IF(K18=VLOOKUP(VALUE(K$1),{Questions[#],Questions[Answer]},2,FALSE),1,0)</f>
        <v/>
      </c>
      <c r="AN18" s="41">
        <f t="array" ref="AN18">IF(L18=VLOOKUP(VALUE(L$1),{Questions[#],Questions[Answer]},2,FALSE),1,0)</f>
        <v/>
      </c>
      <c r="AO18" s="41">
        <f t="array" ref="AO18">IF(M18=VLOOKUP(VALUE(M$1),{Questions[#],Questions[Answer]},2,FALSE),1,0)</f>
        <v/>
      </c>
      <c r="AP18" s="41">
        <f t="array" ref="AP18">IF(N18=VLOOKUP(VALUE(N$1),{Questions[#],Questions[Answer]},2,FALSE),1,0)</f>
        <v/>
      </c>
      <c r="AQ18" s="41">
        <f t="array" ref="AQ18">IF(O18=VLOOKUP(VALUE(O$1),{Questions[#],Questions[Answer]},2,FALSE),1,0)</f>
        <v/>
      </c>
      <c r="AR18" s="41">
        <f t="array" ref="AR18">IF(P18=VLOOKUP(VALUE(P$1),{Questions[#],Questions[Answer]},2,FALSE),1,0)</f>
        <v/>
      </c>
      <c r="AS18" s="41">
        <f t="array" ref="AS18">IF(Q18=VLOOKUP(VALUE(Q$1),{Questions[#],Questions[Answer]},2,FALSE),1,0)</f>
        <v/>
      </c>
      <c r="AT18" s="41">
        <f t="array" ref="AT18">IF(R18=VLOOKUP(VALUE(R$1),{Questions[#],Questions[Answer]},2,FALSE),1,0)</f>
        <v/>
      </c>
      <c r="AU18" s="41">
        <f t="array" ref="AU18">IF(S18=VLOOKUP(VALUE(S$1),{Questions[#],Questions[Answer]},2,FALSE),1,0)</f>
        <v/>
      </c>
      <c r="AV18" s="41">
        <f t="array" ref="AV18">IF(T18=VLOOKUP(VALUE(T$1),{Questions[#],Questions[Answer]},2,FALSE),1,0)</f>
        <v/>
      </c>
      <c r="AW18" s="41">
        <f t="array" ref="AW18">IF(U18=VLOOKUP(VALUE(U$1),{Questions[#],Questions[Answer]},2,FALSE),1,0)</f>
        <v/>
      </c>
      <c r="AX18" s="41">
        <f t="array" ref="AX18">IF(V18=VLOOKUP(VALUE(V$1),{Questions[#],Questions[Answer]},2,FALSE),1,0)</f>
        <v/>
      </c>
      <c r="AY18" s="41">
        <f t="array" ref="AY18">IF(W18=VLOOKUP(VALUE(W$1),{Questions[#],Questions[Answer]},2,FALSE),1,0)</f>
        <v/>
      </c>
      <c r="AZ18" s="41">
        <f t="array" ref="AZ18">IF(X18=VLOOKUP(VALUE(X$1),{Questions[#],Questions[Answer]},2,FALSE),1,0)</f>
        <v/>
      </c>
      <c r="BA18" s="41">
        <f t="array" ref="BA18">IF(Y18=VLOOKUP(VALUE(Y$1),{Questions[#],Questions[Answer]},2,FALSE),1,0)</f>
        <v/>
      </c>
      <c r="BB18" s="41">
        <f t="array" ref="BB18">IF(Z18=VLOOKUP(VALUE(Z$1),{Questions[#],Questions[Answer]},2,FALSE),1,0)</f>
        <v/>
      </c>
      <c r="BC18" s="41">
        <f t="array" ref="BC18">IF(AA18=VLOOKUP(VALUE(AA$1),{Questions[#],Questions[Answer]},2,FALSE),1,0)</f>
        <v/>
      </c>
      <c r="BD18" s="41">
        <f t="array" ref="BD18">IF(AB18=VLOOKUP(VALUE(AB$1),{Questions[#],Questions[Answer]},2,FALSE),1,0)</f>
        <v/>
      </c>
      <c r="BE18" s="41">
        <f t="array" ref="BE18">IF(AC18=VLOOKUP(VALUE(AC$1),{Questions[#],Questions[Answer]},2,FALSE),1,0)</f>
        <v/>
      </c>
      <c r="BF18" s="41">
        <f t="array" ref="BF18">IF(AD18=VLOOKUP(VALUE(AD$1),{Questions[#],Questions[Answer]},2,FALSE),1,0)</f>
        <v/>
      </c>
      <c r="BG18" s="41">
        <f t="array" ref="BG18">IF(AE18=VLOOKUP(VALUE(AE$1),{Questions[#],Questions[Answer]},2,FALSE),1,0)</f>
        <v/>
      </c>
      <c r="BH18" s="41">
        <f t="array" ref="BH18">IF(AF18=VLOOKUP(VALUE(AF$1),{Questions[#],Questions[Answer]},2,FALSE),1,0)</f>
        <v/>
      </c>
      <c r="BI18" s="41">
        <f t="array" ref="BI18">IF(AG18=VLOOKUP(VALUE(AG$1),{Questions[#],Questions[Answer]},2,FALSE),1,0)</f>
        <v/>
      </c>
      <c r="BJ18" s="41">
        <f t="array" ref="BJ18">IF(AH18=VLOOKUP(VALUE(AH$1),{Questions[#],Questions[Answer]},2,FALSE),1,0)</f>
        <v/>
      </c>
      <c r="BK18" s="41">
        <f t="array" ref="BK18">IF(AI18=VLOOKUP(VALUE(AI$1),{Questions[#],Questions[Answer]},2,FALSE),1,0)</f>
        <v/>
      </c>
      <c r="BL18" s="41">
        <f t="array" ref="BL18">IF(AJ18=VLOOKUP(VALUE(AJ$1),{Questions[#],Questions[Answer]},2,FALSE),1,0)</f>
        <v/>
      </c>
      <c r="BM18" s="41">
        <f t="array" ref="BM18">IF(AK18=VLOOKUP(VALUE(AK$1),{Questions[#],Questions[Answer]},2,FALSE),1,0)</f>
        <v/>
      </c>
      <c r="BN18" s="41">
        <f t="array" ref="BN18">IF(AL18=VLOOKUP(VALUE(AL$1),{Questions[#],Questions[Answer]},2,FALSE),1,0)</f>
        <v/>
      </c>
    </row>
    <row r="19" ht="22.5" customHeight="1" s="93">
      <c r="A19" s="42" t="inlineStr">
        <is>
          <t>Kovelsky</t>
        </is>
      </c>
      <c r="B19" s="41" t="n">
        <v>10</v>
      </c>
      <c r="C19" s="41" t="n">
        <v>4</v>
      </c>
      <c r="D19" s="44" t="n">
        <v>223182015</v>
      </c>
      <c r="E19" s="41" t="n"/>
      <c r="F19" s="41" t="n"/>
      <c r="G19" s="11">
        <f>SUM(AM19:BN19)</f>
        <v/>
      </c>
      <c r="H19" s="12">
        <f>G19/28</f>
        <v/>
      </c>
      <c r="I19" s="12">
        <f>0.5+(G19/54)</f>
        <v/>
      </c>
      <c r="J19" s="13">
        <f>COUNTIF(K19:AL19,"")</f>
        <v/>
      </c>
      <c r="K19" s="32" t="n">
        <v>4</v>
      </c>
      <c r="L19" s="23" t="n">
        <v>1</v>
      </c>
      <c r="M19" s="26" t="n">
        <v>3</v>
      </c>
      <c r="N19" s="26" t="n">
        <v>1</v>
      </c>
      <c r="O19" s="23" t="n">
        <v>1</v>
      </c>
      <c r="P19" s="23" t="n">
        <v>4</v>
      </c>
      <c r="Q19" s="23" t="n">
        <v>2</v>
      </c>
      <c r="R19" s="26" t="n">
        <v>4</v>
      </c>
      <c r="S19" s="30" t="n">
        <v>3</v>
      </c>
      <c r="T19" s="30" t="n">
        <v>3</v>
      </c>
      <c r="U19" s="30" t="n">
        <v>1</v>
      </c>
      <c r="V19" s="30" t="n">
        <v>4</v>
      </c>
      <c r="W19" s="30" t="n">
        <v>2</v>
      </c>
      <c r="X19" s="31" t="n">
        <v>4</v>
      </c>
      <c r="Y19" s="30" t="n">
        <v>1</v>
      </c>
      <c r="Z19" s="30" t="n">
        <v>3</v>
      </c>
      <c r="AA19" s="30" t="n">
        <v>1</v>
      </c>
      <c r="AB19" s="30" t="n">
        <v>3</v>
      </c>
      <c r="AC19" s="30" t="n">
        <v>3</v>
      </c>
      <c r="AD19" s="30" t="n">
        <v>1</v>
      </c>
      <c r="AE19" s="31" t="n">
        <v>2</v>
      </c>
      <c r="AF19" s="30" t="n">
        <v>3</v>
      </c>
      <c r="AG19" s="30" t="n">
        <v>1</v>
      </c>
      <c r="AH19" s="30" t="n">
        <v>3</v>
      </c>
      <c r="AI19" s="30" t="n">
        <v>4</v>
      </c>
      <c r="AJ19" s="30" t="n">
        <v>2</v>
      </c>
      <c r="AK19" s="30" t="n">
        <v>1</v>
      </c>
      <c r="AL19" s="24" t="n">
        <v>3</v>
      </c>
      <c r="AM19" s="19">
        <f t="array" ref="AM19">IF(K19=VLOOKUP(VALUE(K$1),{Questions[#],Questions[Answer]},2,FALSE),1,0)</f>
        <v/>
      </c>
      <c r="AN19" s="41">
        <f t="array" ref="AN19">IF(L19=VLOOKUP(VALUE(L$1),{Questions[#],Questions[Answer]},2,FALSE),1,0)</f>
        <v/>
      </c>
      <c r="AO19" s="41">
        <f t="array" ref="AO19">IF(M19=VLOOKUP(VALUE(M$1),{Questions[#],Questions[Answer]},2,FALSE),1,0)</f>
        <v/>
      </c>
      <c r="AP19" s="41">
        <f t="array" ref="AP19">IF(N19=VLOOKUP(VALUE(N$1),{Questions[#],Questions[Answer]},2,FALSE),1,0)</f>
        <v/>
      </c>
      <c r="AQ19" s="41">
        <f t="array" ref="AQ19">IF(O19=VLOOKUP(VALUE(O$1),{Questions[#],Questions[Answer]},2,FALSE),1,0)</f>
        <v/>
      </c>
      <c r="AR19" s="41">
        <f t="array" ref="AR19">IF(P19=VLOOKUP(VALUE(P$1),{Questions[#],Questions[Answer]},2,FALSE),1,0)</f>
        <v/>
      </c>
      <c r="AS19" s="41">
        <f t="array" ref="AS19">IF(Q19=VLOOKUP(VALUE(Q$1),{Questions[#],Questions[Answer]},2,FALSE),1,0)</f>
        <v/>
      </c>
      <c r="AT19" s="41">
        <f t="array" ref="AT19">IF(R19=VLOOKUP(VALUE(R$1),{Questions[#],Questions[Answer]},2,FALSE),1,0)</f>
        <v/>
      </c>
      <c r="AU19" s="41">
        <f t="array" ref="AU19">IF(S19=VLOOKUP(VALUE(S$1),{Questions[#],Questions[Answer]},2,FALSE),1,0)</f>
        <v/>
      </c>
      <c r="AV19" s="41">
        <f t="array" ref="AV19">IF(T19=VLOOKUP(VALUE(T$1),{Questions[#],Questions[Answer]},2,FALSE),1,0)</f>
        <v/>
      </c>
      <c r="AW19" s="41">
        <f t="array" ref="AW19">IF(U19=VLOOKUP(VALUE(U$1),{Questions[#],Questions[Answer]},2,FALSE),1,0)</f>
        <v/>
      </c>
      <c r="AX19" s="41">
        <f t="array" ref="AX19">IF(V19=VLOOKUP(VALUE(V$1),{Questions[#],Questions[Answer]},2,FALSE),1,0)</f>
        <v/>
      </c>
      <c r="AY19" s="41">
        <f t="array" ref="AY19">IF(W19=VLOOKUP(VALUE(W$1),{Questions[#],Questions[Answer]},2,FALSE),1,0)</f>
        <v/>
      </c>
      <c r="AZ19" s="41">
        <f t="array" ref="AZ19">IF(X19=VLOOKUP(VALUE(X$1),{Questions[#],Questions[Answer]},2,FALSE),1,0)</f>
        <v/>
      </c>
      <c r="BA19" s="41">
        <f t="array" ref="BA19">IF(Y19=VLOOKUP(VALUE(Y$1),{Questions[#],Questions[Answer]},2,FALSE),1,0)</f>
        <v/>
      </c>
      <c r="BB19" s="41">
        <f t="array" ref="BB19">IF(Z19=VLOOKUP(VALUE(Z$1),{Questions[#],Questions[Answer]},2,FALSE),1,0)</f>
        <v/>
      </c>
      <c r="BC19" s="41">
        <f t="array" ref="BC19">IF(AA19=VLOOKUP(VALUE(AA$1),{Questions[#],Questions[Answer]},2,FALSE),1,0)</f>
        <v/>
      </c>
      <c r="BD19" s="41">
        <f t="array" ref="BD19">IF(AB19=VLOOKUP(VALUE(AB$1),{Questions[#],Questions[Answer]},2,FALSE),1,0)</f>
        <v/>
      </c>
      <c r="BE19" s="41">
        <f t="array" ref="BE19">IF(AC19=VLOOKUP(VALUE(AC$1),{Questions[#],Questions[Answer]},2,FALSE),1,0)</f>
        <v/>
      </c>
      <c r="BF19" s="41">
        <f t="array" ref="BF19">IF(AD19=VLOOKUP(VALUE(AD$1),{Questions[#],Questions[Answer]},2,FALSE),1,0)</f>
        <v/>
      </c>
      <c r="BG19" s="41">
        <f t="array" ref="BG19">IF(AE19=VLOOKUP(VALUE(AE$1),{Questions[#],Questions[Answer]},2,FALSE),1,0)</f>
        <v/>
      </c>
      <c r="BH19" s="41">
        <f t="array" ref="BH19">IF(AF19=VLOOKUP(VALUE(AF$1),{Questions[#],Questions[Answer]},2,FALSE),1,0)</f>
        <v/>
      </c>
      <c r="BI19" s="41">
        <f t="array" ref="BI19">IF(AG19=VLOOKUP(VALUE(AG$1),{Questions[#],Questions[Answer]},2,FALSE),1,0)</f>
        <v/>
      </c>
      <c r="BJ19" s="41">
        <f t="array" ref="BJ19">IF(AH19=VLOOKUP(VALUE(AH$1),{Questions[#],Questions[Answer]},2,FALSE),1,0)</f>
        <v/>
      </c>
      <c r="BK19" s="41">
        <f t="array" ref="BK19">IF(AI19=VLOOKUP(VALUE(AI$1),{Questions[#],Questions[Answer]},2,FALSE),1,0)</f>
        <v/>
      </c>
      <c r="BL19" s="41">
        <f t="array" ref="BL19">IF(AJ19=VLOOKUP(VALUE(AJ$1),{Questions[#],Questions[Answer]},2,FALSE),1,0)</f>
        <v/>
      </c>
      <c r="BM19" s="41">
        <f t="array" ref="BM19">IF(AK19=VLOOKUP(VALUE(AK$1),{Questions[#],Questions[Answer]},2,FALSE),1,0)</f>
        <v/>
      </c>
      <c r="BN19" s="41">
        <f t="array" ref="BN19">IF(AL19=VLOOKUP(VALUE(AL$1),{Questions[#],Questions[Answer]},2,FALSE),1,0)</f>
        <v/>
      </c>
    </row>
    <row r="20" ht="22.5" customHeight="1" s="93">
      <c r="A20" s="42" t="inlineStr">
        <is>
          <t>Kovelsky</t>
        </is>
      </c>
      <c r="B20" s="41" t="n">
        <v>10</v>
      </c>
      <c r="C20" s="41" t="n">
        <v>4</v>
      </c>
      <c r="D20" s="44" t="n">
        <v>259851814</v>
      </c>
      <c r="E20" s="41" t="n"/>
      <c r="F20" s="41" t="n"/>
      <c r="G20" s="11">
        <f>SUM(AM20:BN20)</f>
        <v/>
      </c>
      <c r="H20" s="12">
        <f>G20/28</f>
        <v/>
      </c>
      <c r="I20" s="12">
        <f>0.5+(G20/54)</f>
        <v/>
      </c>
      <c r="J20" s="13">
        <f>COUNTIF(K20:AL20,"")</f>
        <v/>
      </c>
      <c r="K20" s="32" t="n">
        <v>4</v>
      </c>
      <c r="L20" s="23" t="n">
        <v>1</v>
      </c>
      <c r="M20" s="26" t="n">
        <v>3</v>
      </c>
      <c r="N20" s="23" t="n">
        <v>2</v>
      </c>
      <c r="O20" s="23" t="n">
        <v>1</v>
      </c>
      <c r="P20" s="23" t="n">
        <v>2</v>
      </c>
      <c r="Q20" s="23" t="n">
        <v>2</v>
      </c>
      <c r="R20" s="26" t="n">
        <v>3</v>
      </c>
      <c r="S20" s="23" t="n">
        <v>1</v>
      </c>
      <c r="T20" s="23" t="n">
        <v>2</v>
      </c>
      <c r="U20" s="23" t="n">
        <v>1</v>
      </c>
      <c r="V20" s="23" t="n">
        <v>4</v>
      </c>
      <c r="W20" s="23" t="n">
        <v>3</v>
      </c>
      <c r="X20" s="33" t="n">
        <v>2</v>
      </c>
      <c r="Y20" s="23" t="n">
        <v>4</v>
      </c>
      <c r="Z20" s="23" t="n">
        <v>3</v>
      </c>
      <c r="AA20" s="23" t="n">
        <v>4</v>
      </c>
      <c r="AB20" s="23" t="n">
        <v>3</v>
      </c>
      <c r="AC20" s="23" t="n">
        <v>1</v>
      </c>
      <c r="AD20" s="23" t="n">
        <v>3</v>
      </c>
      <c r="AE20" s="33" t="n">
        <v>3</v>
      </c>
      <c r="AF20" s="23" t="n">
        <v>2</v>
      </c>
      <c r="AG20" s="23" t="n">
        <v>3</v>
      </c>
      <c r="AH20" s="23" t="n">
        <v>3</v>
      </c>
      <c r="AI20" s="23" t="n">
        <v>3</v>
      </c>
      <c r="AJ20" s="23" t="n">
        <v>4</v>
      </c>
      <c r="AK20" s="23" t="n">
        <v>2</v>
      </c>
      <c r="AL20" s="29" t="n">
        <v>3</v>
      </c>
      <c r="AM20" s="19">
        <f t="array" ref="AM20">IF(K20=VLOOKUP(VALUE(K$1),{Questions[#],Questions[Answer]},2,FALSE),1,0)</f>
        <v/>
      </c>
      <c r="AN20" s="41">
        <f t="array" ref="AN20">IF(L20=VLOOKUP(VALUE(L$1),{Questions[#],Questions[Answer]},2,FALSE),1,0)</f>
        <v/>
      </c>
      <c r="AO20" s="41">
        <f t="array" ref="AO20">IF(M20=VLOOKUP(VALUE(M$1),{Questions[#],Questions[Answer]},2,FALSE),1,0)</f>
        <v/>
      </c>
      <c r="AP20" s="41">
        <f t="array" ref="AP20">IF(N20=VLOOKUP(VALUE(N$1),{Questions[#],Questions[Answer]},2,FALSE),1,0)</f>
        <v/>
      </c>
      <c r="AQ20" s="41">
        <f t="array" ref="AQ20">IF(O20=VLOOKUP(VALUE(O$1),{Questions[#],Questions[Answer]},2,FALSE),1,0)</f>
        <v/>
      </c>
      <c r="AR20" s="41">
        <f t="array" ref="AR20">IF(P20=VLOOKUP(VALUE(P$1),{Questions[#],Questions[Answer]},2,FALSE),1,0)</f>
        <v/>
      </c>
      <c r="AS20" s="41">
        <f t="array" ref="AS20">IF(Q20=VLOOKUP(VALUE(Q$1),{Questions[#],Questions[Answer]},2,FALSE),1,0)</f>
        <v/>
      </c>
      <c r="AT20" s="41">
        <f t="array" ref="AT20">IF(R20=VLOOKUP(VALUE(R$1),{Questions[#],Questions[Answer]},2,FALSE),1,0)</f>
        <v/>
      </c>
      <c r="AU20" s="41">
        <f t="array" ref="AU20">IF(S20=VLOOKUP(VALUE(S$1),{Questions[#],Questions[Answer]},2,FALSE),1,0)</f>
        <v/>
      </c>
      <c r="AV20" s="41">
        <f t="array" ref="AV20">IF(T20=VLOOKUP(VALUE(T$1),{Questions[#],Questions[Answer]},2,FALSE),1,0)</f>
        <v/>
      </c>
      <c r="AW20" s="41">
        <f t="array" ref="AW20">IF(U20=VLOOKUP(VALUE(U$1),{Questions[#],Questions[Answer]},2,FALSE),1,0)</f>
        <v/>
      </c>
      <c r="AX20" s="41">
        <f t="array" ref="AX20">IF(V20=VLOOKUP(VALUE(V$1),{Questions[#],Questions[Answer]},2,FALSE),1,0)</f>
        <v/>
      </c>
      <c r="AY20" s="41">
        <f t="array" ref="AY20">IF(W20=VLOOKUP(VALUE(W$1),{Questions[#],Questions[Answer]},2,FALSE),1,0)</f>
        <v/>
      </c>
      <c r="AZ20" s="41">
        <f t="array" ref="AZ20">IF(X20=VLOOKUP(VALUE(X$1),{Questions[#],Questions[Answer]},2,FALSE),1,0)</f>
        <v/>
      </c>
      <c r="BA20" s="41">
        <f t="array" ref="BA20">IF(Y20=VLOOKUP(VALUE(Y$1),{Questions[#],Questions[Answer]},2,FALSE),1,0)</f>
        <v/>
      </c>
      <c r="BB20" s="41">
        <f t="array" ref="BB20">IF(Z20=VLOOKUP(VALUE(Z$1),{Questions[#],Questions[Answer]},2,FALSE),1,0)</f>
        <v/>
      </c>
      <c r="BC20" s="41">
        <f t="array" ref="BC20">IF(AA20=VLOOKUP(VALUE(AA$1),{Questions[#],Questions[Answer]},2,FALSE),1,0)</f>
        <v/>
      </c>
      <c r="BD20" s="41">
        <f t="array" ref="BD20">IF(AB20=VLOOKUP(VALUE(AB$1),{Questions[#],Questions[Answer]},2,FALSE),1,0)</f>
        <v/>
      </c>
      <c r="BE20" s="41">
        <f t="array" ref="BE20">IF(AC20=VLOOKUP(VALUE(AC$1),{Questions[#],Questions[Answer]},2,FALSE),1,0)</f>
        <v/>
      </c>
      <c r="BF20" s="41">
        <f t="array" ref="BF20">IF(AD20=VLOOKUP(VALUE(AD$1),{Questions[#],Questions[Answer]},2,FALSE),1,0)</f>
        <v/>
      </c>
      <c r="BG20" s="41">
        <f t="array" ref="BG20">IF(AE20=VLOOKUP(VALUE(AE$1),{Questions[#],Questions[Answer]},2,FALSE),1,0)</f>
        <v/>
      </c>
      <c r="BH20" s="41">
        <f t="array" ref="BH20">IF(AF20=VLOOKUP(VALUE(AF$1),{Questions[#],Questions[Answer]},2,FALSE),1,0)</f>
        <v/>
      </c>
      <c r="BI20" s="41">
        <f t="array" ref="BI20">IF(AG20=VLOOKUP(VALUE(AG$1),{Questions[#],Questions[Answer]},2,FALSE),1,0)</f>
        <v/>
      </c>
      <c r="BJ20" s="41">
        <f t="array" ref="BJ20">IF(AH20=VLOOKUP(VALUE(AH$1),{Questions[#],Questions[Answer]},2,FALSE),1,0)</f>
        <v/>
      </c>
      <c r="BK20" s="41">
        <f t="array" ref="BK20">IF(AI20=VLOOKUP(VALUE(AI$1),{Questions[#],Questions[Answer]},2,FALSE),1,0)</f>
        <v/>
      </c>
      <c r="BL20" s="41">
        <f t="array" ref="BL20">IF(AJ20=VLOOKUP(VALUE(AJ$1),{Questions[#],Questions[Answer]},2,FALSE),1,0)</f>
        <v/>
      </c>
      <c r="BM20" s="41">
        <f t="array" ref="BM20">IF(AK20=VLOOKUP(VALUE(AK$1),{Questions[#],Questions[Answer]},2,FALSE),1,0)</f>
        <v/>
      </c>
      <c r="BN20" s="41">
        <f t="array" ref="BN20">IF(AL20=VLOOKUP(VALUE(AL$1),{Questions[#],Questions[Answer]},2,FALSE),1,0)</f>
        <v/>
      </c>
    </row>
    <row r="21" ht="22.5" customHeight="1" s="93">
      <c r="A21" s="42" t="inlineStr">
        <is>
          <t>Kovelsky</t>
        </is>
      </c>
      <c r="B21" s="41" t="n">
        <v>10</v>
      </c>
      <c r="C21" s="41" t="n">
        <v>4</v>
      </c>
      <c r="D21" s="44" t="n">
        <v>236418349</v>
      </c>
      <c r="E21" s="41" t="n"/>
      <c r="F21" s="41" t="n"/>
      <c r="G21" s="11">
        <f>SUM(AM21:BN21)</f>
        <v/>
      </c>
      <c r="H21" s="12">
        <f>G21/28</f>
        <v/>
      </c>
      <c r="I21" s="12">
        <f>0.5+(G21/54)</f>
        <v/>
      </c>
      <c r="J21" s="13">
        <f>COUNTIF(K21:AL21,"")</f>
        <v/>
      </c>
      <c r="K21" s="32" t="n">
        <v>3</v>
      </c>
      <c r="L21" s="23" t="n">
        <v>3</v>
      </c>
      <c r="M21" s="26" t="n">
        <v>1</v>
      </c>
      <c r="N21" s="23" t="n">
        <v>2</v>
      </c>
      <c r="O21" s="23" t="n">
        <v>3</v>
      </c>
      <c r="P21" s="26" t="n">
        <v>2</v>
      </c>
      <c r="Q21" s="23" t="n">
        <v>2</v>
      </c>
      <c r="R21" s="26" t="n">
        <v>4</v>
      </c>
      <c r="S21" s="23" t="n">
        <v>1</v>
      </c>
      <c r="T21" s="23" t="n">
        <v>4</v>
      </c>
      <c r="U21" s="23" t="n">
        <v>1</v>
      </c>
      <c r="V21" s="23" t="n">
        <v>2</v>
      </c>
      <c r="W21" s="23" t="n">
        <v>3</v>
      </c>
      <c r="X21" s="33" t="n">
        <v>1</v>
      </c>
      <c r="Y21" s="23" t="n">
        <v>1</v>
      </c>
      <c r="Z21" s="23" t="n">
        <v>4</v>
      </c>
      <c r="AA21" s="23" t="n">
        <v>2</v>
      </c>
      <c r="AB21" s="23" t="n">
        <v>1</v>
      </c>
      <c r="AC21" s="23" t="n">
        <v>1</v>
      </c>
      <c r="AD21" s="23" t="n">
        <v>3</v>
      </c>
      <c r="AE21" s="33" t="n">
        <v>4</v>
      </c>
      <c r="AF21" s="23" t="n">
        <v>3</v>
      </c>
      <c r="AG21" s="23" t="n">
        <v>3</v>
      </c>
      <c r="AH21" s="23" t="n">
        <v>1</v>
      </c>
      <c r="AI21" s="23" t="n">
        <v>1</v>
      </c>
      <c r="AJ21" s="23" t="n">
        <v>4</v>
      </c>
      <c r="AK21" s="23" t="n">
        <v>2</v>
      </c>
      <c r="AL21" s="29" t="n">
        <v>3</v>
      </c>
      <c r="AM21" s="19">
        <f t="array" ref="AM21">IF(K21=VLOOKUP(VALUE(K$1),{Questions[#],Questions[Answer]},2,FALSE),1,0)</f>
        <v/>
      </c>
      <c r="AN21" s="41">
        <f t="array" ref="AN21">IF(L21=VLOOKUP(VALUE(L$1),{Questions[#],Questions[Answer]},2,FALSE),1,0)</f>
        <v/>
      </c>
      <c r="AO21" s="41">
        <f t="array" ref="AO21">IF(M21=VLOOKUP(VALUE(M$1),{Questions[#],Questions[Answer]},2,FALSE),1,0)</f>
        <v/>
      </c>
      <c r="AP21" s="41">
        <f t="array" ref="AP21">IF(N21=VLOOKUP(VALUE(N$1),{Questions[#],Questions[Answer]},2,FALSE),1,0)</f>
        <v/>
      </c>
      <c r="AQ21" s="41">
        <f t="array" ref="AQ21">IF(O21=VLOOKUP(VALUE(O$1),{Questions[#],Questions[Answer]},2,FALSE),1,0)</f>
        <v/>
      </c>
      <c r="AR21" s="41">
        <f t="array" ref="AR21">IF(P21=VLOOKUP(VALUE(P$1),{Questions[#],Questions[Answer]},2,FALSE),1,0)</f>
        <v/>
      </c>
      <c r="AS21" s="41">
        <f t="array" ref="AS21">IF(Q21=VLOOKUP(VALUE(Q$1),{Questions[#],Questions[Answer]},2,FALSE),1,0)</f>
        <v/>
      </c>
      <c r="AT21" s="41">
        <f t="array" ref="AT21">IF(R21=VLOOKUP(VALUE(R$1),{Questions[#],Questions[Answer]},2,FALSE),1,0)</f>
        <v/>
      </c>
      <c r="AU21" s="41">
        <f t="array" ref="AU21">IF(S21=VLOOKUP(VALUE(S$1),{Questions[#],Questions[Answer]},2,FALSE),1,0)</f>
        <v/>
      </c>
      <c r="AV21" s="41">
        <f t="array" ref="AV21">IF(T21=VLOOKUP(VALUE(T$1),{Questions[#],Questions[Answer]},2,FALSE),1,0)</f>
        <v/>
      </c>
      <c r="AW21" s="41">
        <f t="array" ref="AW21">IF(U21=VLOOKUP(VALUE(U$1),{Questions[#],Questions[Answer]},2,FALSE),1,0)</f>
        <v/>
      </c>
      <c r="AX21" s="41">
        <f t="array" ref="AX21">IF(V21=VLOOKUP(VALUE(V$1),{Questions[#],Questions[Answer]},2,FALSE),1,0)</f>
        <v/>
      </c>
      <c r="AY21" s="41">
        <f t="array" ref="AY21">IF(W21=VLOOKUP(VALUE(W$1),{Questions[#],Questions[Answer]},2,FALSE),1,0)</f>
        <v/>
      </c>
      <c r="AZ21" s="41">
        <f t="array" ref="AZ21">IF(X21=VLOOKUP(VALUE(X$1),{Questions[#],Questions[Answer]},2,FALSE),1,0)</f>
        <v/>
      </c>
      <c r="BA21" s="41">
        <f t="array" ref="BA21">IF(Y21=VLOOKUP(VALUE(Y$1),{Questions[#],Questions[Answer]},2,FALSE),1,0)</f>
        <v/>
      </c>
      <c r="BB21" s="41">
        <f t="array" ref="BB21">IF(Z21=VLOOKUP(VALUE(Z$1),{Questions[#],Questions[Answer]},2,FALSE),1,0)</f>
        <v/>
      </c>
      <c r="BC21" s="41">
        <f t="array" ref="BC21">IF(AA21=VLOOKUP(VALUE(AA$1),{Questions[#],Questions[Answer]},2,FALSE),1,0)</f>
        <v/>
      </c>
      <c r="BD21" s="41">
        <f t="array" ref="BD21">IF(AB21=VLOOKUP(VALUE(AB$1),{Questions[#],Questions[Answer]},2,FALSE),1,0)</f>
        <v/>
      </c>
      <c r="BE21" s="41">
        <f t="array" ref="BE21">IF(AC21=VLOOKUP(VALUE(AC$1),{Questions[#],Questions[Answer]},2,FALSE),1,0)</f>
        <v/>
      </c>
      <c r="BF21" s="41">
        <f t="array" ref="BF21">IF(AD21=VLOOKUP(VALUE(AD$1),{Questions[#],Questions[Answer]},2,FALSE),1,0)</f>
        <v/>
      </c>
      <c r="BG21" s="41">
        <f t="array" ref="BG21">IF(AE21=VLOOKUP(VALUE(AE$1),{Questions[#],Questions[Answer]},2,FALSE),1,0)</f>
        <v/>
      </c>
      <c r="BH21" s="41">
        <f t="array" ref="BH21">IF(AF21=VLOOKUP(VALUE(AF$1),{Questions[#],Questions[Answer]},2,FALSE),1,0)</f>
        <v/>
      </c>
      <c r="BI21" s="41">
        <f t="array" ref="BI21">IF(AG21=VLOOKUP(VALUE(AG$1),{Questions[#],Questions[Answer]},2,FALSE),1,0)</f>
        <v/>
      </c>
      <c r="BJ21" s="41">
        <f t="array" ref="BJ21">IF(AH21=VLOOKUP(VALUE(AH$1),{Questions[#],Questions[Answer]},2,FALSE),1,0)</f>
        <v/>
      </c>
      <c r="BK21" s="41">
        <f t="array" ref="BK21">IF(AI21=VLOOKUP(VALUE(AI$1),{Questions[#],Questions[Answer]},2,FALSE),1,0)</f>
        <v/>
      </c>
      <c r="BL21" s="41">
        <f t="array" ref="BL21">IF(AJ21=VLOOKUP(VALUE(AJ$1),{Questions[#],Questions[Answer]},2,FALSE),1,0)</f>
        <v/>
      </c>
      <c r="BM21" s="41">
        <f t="array" ref="BM21">IF(AK21=VLOOKUP(VALUE(AK$1),{Questions[#],Questions[Answer]},2,FALSE),1,0)</f>
        <v/>
      </c>
      <c r="BN21" s="41">
        <f t="array" ref="BN21">IF(AL21=VLOOKUP(VALUE(AL$1),{Questions[#],Questions[Answer]},2,FALSE),1,0)</f>
        <v/>
      </c>
    </row>
    <row r="22" ht="22.5" customHeight="1" s="93">
      <c r="A22" s="42" t="inlineStr">
        <is>
          <t>Kovelsky</t>
        </is>
      </c>
      <c r="B22" s="41" t="n">
        <v>10</v>
      </c>
      <c r="C22" s="41" t="n">
        <v>4</v>
      </c>
      <c r="D22" s="44" t="n">
        <v>238347850</v>
      </c>
      <c r="E22" s="41" t="n"/>
      <c r="F22" s="41" t="n"/>
      <c r="G22" s="11">
        <f>SUM(AM22:BN22)</f>
        <v/>
      </c>
      <c r="H22" s="12">
        <f>G22/28</f>
        <v/>
      </c>
      <c r="I22" s="12">
        <f>0.5+(G22/54)</f>
        <v/>
      </c>
      <c r="J22" s="13">
        <f>COUNTIF(K22:AL22,"")</f>
        <v/>
      </c>
      <c r="K22" s="32" t="n">
        <v>4</v>
      </c>
      <c r="L22" s="23" t="n">
        <v>1</v>
      </c>
      <c r="M22" s="23" t="n">
        <v>3</v>
      </c>
      <c r="N22" s="26" t="n">
        <v>2</v>
      </c>
      <c r="O22" s="26" t="n">
        <v>3</v>
      </c>
      <c r="P22" s="23" t="n">
        <v>1</v>
      </c>
      <c r="Q22" s="23" t="n">
        <v>2</v>
      </c>
      <c r="R22" s="26" t="n">
        <v>1</v>
      </c>
      <c r="S22" s="23" t="n">
        <v>1</v>
      </c>
      <c r="T22" s="23" t="n">
        <v>3</v>
      </c>
      <c r="U22" s="23" t="n">
        <v>1</v>
      </c>
      <c r="V22" s="23" t="n">
        <v>4</v>
      </c>
      <c r="W22" s="23" t="n">
        <v>2</v>
      </c>
      <c r="X22" s="33" t="n">
        <v>2</v>
      </c>
      <c r="Y22" s="23" t="n">
        <v>3</v>
      </c>
      <c r="Z22" s="23" t="n">
        <v>1</v>
      </c>
      <c r="AA22" s="23" t="n">
        <v>2</v>
      </c>
      <c r="AB22" s="23" t="n">
        <v>4</v>
      </c>
      <c r="AC22" s="23" t="n">
        <v>1</v>
      </c>
      <c r="AD22" s="23" t="n">
        <v>3</v>
      </c>
      <c r="AE22" s="33" t="n">
        <v>4</v>
      </c>
      <c r="AF22" s="23" t="n">
        <v>2</v>
      </c>
      <c r="AG22" s="23" t="n">
        <v>2</v>
      </c>
      <c r="AH22" s="23" t="n">
        <v>3</v>
      </c>
      <c r="AI22" s="23" t="n">
        <v>4</v>
      </c>
      <c r="AJ22" s="23" t="n">
        <v>4</v>
      </c>
      <c r="AK22" s="23" t="n">
        <v>3</v>
      </c>
      <c r="AL22" s="29" t="n">
        <v>2</v>
      </c>
      <c r="AM22" s="19">
        <f t="array" ref="AM22">IF(K22=VLOOKUP(VALUE(K$1),{Questions[#],Questions[Answer]},2,FALSE),1,0)</f>
        <v/>
      </c>
      <c r="AN22" s="41">
        <f t="array" ref="AN22">IF(L22=VLOOKUP(VALUE(L$1),{Questions[#],Questions[Answer]},2,FALSE),1,0)</f>
        <v/>
      </c>
      <c r="AO22" s="41">
        <f t="array" ref="AO22">IF(M22=VLOOKUP(VALUE(M$1),{Questions[#],Questions[Answer]},2,FALSE),1,0)</f>
        <v/>
      </c>
      <c r="AP22" s="41">
        <f t="array" ref="AP22">IF(N22=VLOOKUP(VALUE(N$1),{Questions[#],Questions[Answer]},2,FALSE),1,0)</f>
        <v/>
      </c>
      <c r="AQ22" s="41">
        <f t="array" ref="AQ22">IF(O22=VLOOKUP(VALUE(O$1),{Questions[#],Questions[Answer]},2,FALSE),1,0)</f>
        <v/>
      </c>
      <c r="AR22" s="41">
        <f t="array" ref="AR22">IF(P22=VLOOKUP(VALUE(P$1),{Questions[#],Questions[Answer]},2,FALSE),1,0)</f>
        <v/>
      </c>
      <c r="AS22" s="41">
        <f t="array" ref="AS22">IF(Q22=VLOOKUP(VALUE(Q$1),{Questions[#],Questions[Answer]},2,FALSE),1,0)</f>
        <v/>
      </c>
      <c r="AT22" s="41">
        <f t="array" ref="AT22">IF(R22=VLOOKUP(VALUE(R$1),{Questions[#],Questions[Answer]},2,FALSE),1,0)</f>
        <v/>
      </c>
      <c r="AU22" s="41">
        <f t="array" ref="AU22">IF(S22=VLOOKUP(VALUE(S$1),{Questions[#],Questions[Answer]},2,FALSE),1,0)</f>
        <v/>
      </c>
      <c r="AV22" s="41">
        <f t="array" ref="AV22">IF(T22=VLOOKUP(VALUE(T$1),{Questions[#],Questions[Answer]},2,FALSE),1,0)</f>
        <v/>
      </c>
      <c r="AW22" s="41">
        <f t="array" ref="AW22">IF(U22=VLOOKUP(VALUE(U$1),{Questions[#],Questions[Answer]},2,FALSE),1,0)</f>
        <v/>
      </c>
      <c r="AX22" s="41">
        <f t="array" ref="AX22">IF(V22=VLOOKUP(VALUE(V$1),{Questions[#],Questions[Answer]},2,FALSE),1,0)</f>
        <v/>
      </c>
      <c r="AY22" s="41">
        <f t="array" ref="AY22">IF(W22=VLOOKUP(VALUE(W$1),{Questions[#],Questions[Answer]},2,FALSE),1,0)</f>
        <v/>
      </c>
      <c r="AZ22" s="41">
        <f t="array" ref="AZ22">IF(X22=VLOOKUP(VALUE(X$1),{Questions[#],Questions[Answer]},2,FALSE),1,0)</f>
        <v/>
      </c>
      <c r="BA22" s="41">
        <f t="array" ref="BA22">IF(Y22=VLOOKUP(VALUE(Y$1),{Questions[#],Questions[Answer]},2,FALSE),1,0)</f>
        <v/>
      </c>
      <c r="BB22" s="41">
        <f t="array" ref="BB22">IF(Z22=VLOOKUP(VALUE(Z$1),{Questions[#],Questions[Answer]},2,FALSE),1,0)</f>
        <v/>
      </c>
      <c r="BC22" s="41">
        <f t="array" ref="BC22">IF(AA22=VLOOKUP(VALUE(AA$1),{Questions[#],Questions[Answer]},2,FALSE),1,0)</f>
        <v/>
      </c>
      <c r="BD22" s="41">
        <f t="array" ref="BD22">IF(AB22=VLOOKUP(VALUE(AB$1),{Questions[#],Questions[Answer]},2,FALSE),1,0)</f>
        <v/>
      </c>
      <c r="BE22" s="41">
        <f t="array" ref="BE22">IF(AC22=VLOOKUP(VALUE(AC$1),{Questions[#],Questions[Answer]},2,FALSE),1,0)</f>
        <v/>
      </c>
      <c r="BF22" s="41">
        <f t="array" ref="BF22">IF(AD22=VLOOKUP(VALUE(AD$1),{Questions[#],Questions[Answer]},2,FALSE),1,0)</f>
        <v/>
      </c>
      <c r="BG22" s="41">
        <f t="array" ref="BG22">IF(AE22=VLOOKUP(VALUE(AE$1),{Questions[#],Questions[Answer]},2,FALSE),1,0)</f>
        <v/>
      </c>
      <c r="BH22" s="41">
        <f t="array" ref="BH22">IF(AF22=VLOOKUP(VALUE(AF$1),{Questions[#],Questions[Answer]},2,FALSE),1,0)</f>
        <v/>
      </c>
      <c r="BI22" s="41">
        <f t="array" ref="BI22">IF(AG22=VLOOKUP(VALUE(AG$1),{Questions[#],Questions[Answer]},2,FALSE),1,0)</f>
        <v/>
      </c>
      <c r="BJ22" s="41">
        <f t="array" ref="BJ22">IF(AH22=VLOOKUP(VALUE(AH$1),{Questions[#],Questions[Answer]},2,FALSE),1,0)</f>
        <v/>
      </c>
      <c r="BK22" s="41">
        <f t="array" ref="BK22">IF(AI22=VLOOKUP(VALUE(AI$1),{Questions[#],Questions[Answer]},2,FALSE),1,0)</f>
        <v/>
      </c>
      <c r="BL22" s="41">
        <f t="array" ref="BL22">IF(AJ22=VLOOKUP(VALUE(AJ$1),{Questions[#],Questions[Answer]},2,FALSE),1,0)</f>
        <v/>
      </c>
      <c r="BM22" s="41">
        <f t="array" ref="BM22">IF(AK22=VLOOKUP(VALUE(AK$1),{Questions[#],Questions[Answer]},2,FALSE),1,0)</f>
        <v/>
      </c>
      <c r="BN22" s="41">
        <f t="array" ref="BN22">IF(AL22=VLOOKUP(VALUE(AL$1),{Questions[#],Questions[Answer]},2,FALSE),1,0)</f>
        <v/>
      </c>
    </row>
    <row r="23" ht="22.5" customHeight="1" s="93">
      <c r="A23" s="42" t="inlineStr">
        <is>
          <t>Kovelsky</t>
        </is>
      </c>
      <c r="B23" s="41" t="n">
        <v>10</v>
      </c>
      <c r="C23" s="41" t="n">
        <v>4</v>
      </c>
      <c r="D23" s="44" t="n">
        <v>236579504</v>
      </c>
      <c r="E23" s="41" t="n"/>
      <c r="F23" s="41" t="n"/>
      <c r="G23" s="11">
        <f>SUM(AM23:BN23)</f>
        <v/>
      </c>
      <c r="H23" s="12">
        <f>G23/28</f>
        <v/>
      </c>
      <c r="I23" s="12">
        <f>0.5+(G23/54)</f>
        <v/>
      </c>
      <c r="J23" s="13">
        <f>COUNTIF(K23:AL23,"")</f>
        <v/>
      </c>
      <c r="K23" s="32" t="n">
        <v>4</v>
      </c>
      <c r="L23" s="23" t="n">
        <v>1</v>
      </c>
      <c r="M23" s="23" t="n">
        <v>3</v>
      </c>
      <c r="N23" s="23" t="n">
        <v>2</v>
      </c>
      <c r="O23" s="26" t="n">
        <v>3</v>
      </c>
      <c r="P23" s="23" t="n">
        <v>1</v>
      </c>
      <c r="Q23" s="23" t="n">
        <v>2</v>
      </c>
      <c r="R23" s="26" t="n">
        <v>1</v>
      </c>
      <c r="S23" s="23" t="n">
        <v>1</v>
      </c>
      <c r="T23" s="23" t="n">
        <v>3</v>
      </c>
      <c r="U23" s="23" t="n">
        <v>1</v>
      </c>
      <c r="V23" s="23" t="n">
        <v>4</v>
      </c>
      <c r="W23" s="23" t="n">
        <v>2</v>
      </c>
      <c r="X23" s="33" t="n">
        <v>2</v>
      </c>
      <c r="Y23" s="23" t="n">
        <v>3</v>
      </c>
      <c r="Z23" s="23" t="n">
        <v>1</v>
      </c>
      <c r="AA23" s="23" t="n">
        <v>2</v>
      </c>
      <c r="AB23" s="23" t="n">
        <v>4</v>
      </c>
      <c r="AC23" s="23" t="n">
        <v>1</v>
      </c>
      <c r="AD23" s="23" t="n">
        <v>3</v>
      </c>
      <c r="AE23" s="33" t="n">
        <v>4</v>
      </c>
      <c r="AF23" s="23" t="n">
        <v>2</v>
      </c>
      <c r="AG23" s="23" t="n">
        <v>2</v>
      </c>
      <c r="AH23" s="23" t="n">
        <v>3</v>
      </c>
      <c r="AI23" s="23" t="n">
        <v>4</v>
      </c>
      <c r="AJ23" s="23" t="n">
        <v>4</v>
      </c>
      <c r="AK23" s="23" t="n">
        <v>3</v>
      </c>
      <c r="AL23" s="29" t="n">
        <v>2</v>
      </c>
      <c r="AM23" s="19">
        <f t="array" ref="AM23">IF(K23=VLOOKUP(VALUE(K$1),{Questions[#],Questions[Answer]},2,FALSE),1,0)</f>
        <v/>
      </c>
      <c r="AN23" s="41">
        <f t="array" ref="AN23">IF(L23=VLOOKUP(VALUE(L$1),{Questions[#],Questions[Answer]},2,FALSE),1,0)</f>
        <v/>
      </c>
      <c r="AO23" s="41">
        <f t="array" ref="AO23">IF(M23=VLOOKUP(VALUE(M$1),{Questions[#],Questions[Answer]},2,FALSE),1,0)</f>
        <v/>
      </c>
      <c r="AP23" s="41">
        <f t="array" ref="AP23">IF(N23=VLOOKUP(VALUE(N$1),{Questions[#],Questions[Answer]},2,FALSE),1,0)</f>
        <v/>
      </c>
      <c r="AQ23" s="41">
        <f t="array" ref="AQ23">IF(O23=VLOOKUP(VALUE(O$1),{Questions[#],Questions[Answer]},2,FALSE),1,0)</f>
        <v/>
      </c>
      <c r="AR23" s="41">
        <f t="array" ref="AR23">IF(P23=VLOOKUP(VALUE(P$1),{Questions[#],Questions[Answer]},2,FALSE),1,0)</f>
        <v/>
      </c>
      <c r="AS23" s="41">
        <f t="array" ref="AS23">IF(Q23=VLOOKUP(VALUE(Q$1),{Questions[#],Questions[Answer]},2,FALSE),1,0)</f>
        <v/>
      </c>
      <c r="AT23" s="41">
        <f t="array" ref="AT23">IF(R23=VLOOKUP(VALUE(R$1),{Questions[#],Questions[Answer]},2,FALSE),1,0)</f>
        <v/>
      </c>
      <c r="AU23" s="41">
        <f t="array" ref="AU23">IF(S23=VLOOKUP(VALUE(S$1),{Questions[#],Questions[Answer]},2,FALSE),1,0)</f>
        <v/>
      </c>
      <c r="AV23" s="41">
        <f t="array" ref="AV23">IF(T23=VLOOKUP(VALUE(T$1),{Questions[#],Questions[Answer]},2,FALSE),1,0)</f>
        <v/>
      </c>
      <c r="AW23" s="41">
        <f t="array" ref="AW23">IF(U23=VLOOKUP(VALUE(U$1),{Questions[#],Questions[Answer]},2,FALSE),1,0)</f>
        <v/>
      </c>
      <c r="AX23" s="41">
        <f t="array" ref="AX23">IF(V23=VLOOKUP(VALUE(V$1),{Questions[#],Questions[Answer]},2,FALSE),1,0)</f>
        <v/>
      </c>
      <c r="AY23" s="41">
        <f t="array" ref="AY23">IF(W23=VLOOKUP(VALUE(W$1),{Questions[#],Questions[Answer]},2,FALSE),1,0)</f>
        <v/>
      </c>
      <c r="AZ23" s="41">
        <f t="array" ref="AZ23">IF(X23=VLOOKUP(VALUE(X$1),{Questions[#],Questions[Answer]},2,FALSE),1,0)</f>
        <v/>
      </c>
      <c r="BA23" s="41">
        <f t="array" ref="BA23">IF(Y23=VLOOKUP(VALUE(Y$1),{Questions[#],Questions[Answer]},2,FALSE),1,0)</f>
        <v/>
      </c>
      <c r="BB23" s="41">
        <f t="array" ref="BB23">IF(Z23=VLOOKUP(VALUE(Z$1),{Questions[#],Questions[Answer]},2,FALSE),1,0)</f>
        <v/>
      </c>
      <c r="BC23" s="41">
        <f t="array" ref="BC23">IF(AA23=VLOOKUP(VALUE(AA$1),{Questions[#],Questions[Answer]},2,FALSE),1,0)</f>
        <v/>
      </c>
      <c r="BD23" s="41">
        <f t="array" ref="BD23">IF(AB23=VLOOKUP(VALUE(AB$1),{Questions[#],Questions[Answer]},2,FALSE),1,0)</f>
        <v/>
      </c>
      <c r="BE23" s="41">
        <f t="array" ref="BE23">IF(AC23=VLOOKUP(VALUE(AC$1),{Questions[#],Questions[Answer]},2,FALSE),1,0)</f>
        <v/>
      </c>
      <c r="BF23" s="41">
        <f t="array" ref="BF23">IF(AD23=VLOOKUP(VALUE(AD$1),{Questions[#],Questions[Answer]},2,FALSE),1,0)</f>
        <v/>
      </c>
      <c r="BG23" s="41">
        <f t="array" ref="BG23">IF(AE23=VLOOKUP(VALUE(AE$1),{Questions[#],Questions[Answer]},2,FALSE),1,0)</f>
        <v/>
      </c>
      <c r="BH23" s="41">
        <f t="array" ref="BH23">IF(AF23=VLOOKUP(VALUE(AF$1),{Questions[#],Questions[Answer]},2,FALSE),1,0)</f>
        <v/>
      </c>
      <c r="BI23" s="41">
        <f t="array" ref="BI23">IF(AG23=VLOOKUP(VALUE(AG$1),{Questions[#],Questions[Answer]},2,FALSE),1,0)</f>
        <v/>
      </c>
      <c r="BJ23" s="41">
        <f t="array" ref="BJ23">IF(AH23=VLOOKUP(VALUE(AH$1),{Questions[#],Questions[Answer]},2,FALSE),1,0)</f>
        <v/>
      </c>
      <c r="BK23" s="41">
        <f t="array" ref="BK23">IF(AI23=VLOOKUP(VALUE(AI$1),{Questions[#],Questions[Answer]},2,FALSE),1,0)</f>
        <v/>
      </c>
      <c r="BL23" s="41">
        <f t="array" ref="BL23">IF(AJ23=VLOOKUP(VALUE(AJ$1),{Questions[#],Questions[Answer]},2,FALSE),1,0)</f>
        <v/>
      </c>
      <c r="BM23" s="41">
        <f t="array" ref="BM23">IF(AK23=VLOOKUP(VALUE(AK$1),{Questions[#],Questions[Answer]},2,FALSE),1,0)</f>
        <v/>
      </c>
      <c r="BN23" s="41">
        <f t="array" ref="BN23">IF(AL23=VLOOKUP(VALUE(AL$1),{Questions[#],Questions[Answer]},2,FALSE),1,0)</f>
        <v/>
      </c>
    </row>
    <row r="24" ht="22.5" customHeight="1" s="93">
      <c r="A24" s="42" t="inlineStr">
        <is>
          <t>Kovelsky</t>
        </is>
      </c>
      <c r="B24" s="41" t="n">
        <v>10</v>
      </c>
      <c r="C24" s="41" t="n">
        <v>4</v>
      </c>
      <c r="D24" s="44" t="n">
        <v>207181348</v>
      </c>
      <c r="E24" s="41" t="n"/>
      <c r="F24" s="41" t="n"/>
      <c r="G24" s="11">
        <f>SUM(AM24:BN24)</f>
        <v/>
      </c>
      <c r="H24" s="12">
        <f>G24/28</f>
        <v/>
      </c>
      <c r="I24" s="12">
        <f>0.5+(G24/54)</f>
        <v/>
      </c>
      <c r="J24" s="13">
        <f>COUNTIF(K24:AL24,"")</f>
        <v/>
      </c>
      <c r="K24" s="32" t="n"/>
      <c r="L24" s="23" t="n"/>
      <c r="M24" s="26" t="n"/>
      <c r="N24" s="23" t="n"/>
      <c r="O24" s="26" t="n"/>
      <c r="P24" s="26" t="n"/>
      <c r="Q24" s="23" t="n"/>
      <c r="R24" s="26" t="n"/>
      <c r="S24" s="23" t="n"/>
      <c r="T24" s="23" t="n"/>
      <c r="U24" s="23" t="n"/>
      <c r="V24" s="23" t="n"/>
      <c r="W24" s="23" t="n"/>
      <c r="X24" s="33" t="n"/>
      <c r="Y24" s="23" t="n"/>
      <c r="Z24" s="23" t="n"/>
      <c r="AA24" s="23" t="n"/>
      <c r="AB24" s="23" t="n"/>
      <c r="AC24" s="23" t="n"/>
      <c r="AD24" s="23" t="n"/>
      <c r="AE24" s="33" t="n"/>
      <c r="AF24" s="23" t="n"/>
      <c r="AG24" s="23" t="n"/>
      <c r="AH24" s="23" t="n"/>
      <c r="AI24" s="23" t="n"/>
      <c r="AJ24" s="23" t="n"/>
      <c r="AK24" s="23" t="n"/>
      <c r="AL24" s="29" t="n"/>
      <c r="AM24" s="19">
        <f t="array" ref="AM24">IF(K24=VLOOKUP(VALUE(K$1),{Questions[#],Questions[Answer]},2,FALSE),1,0)</f>
        <v/>
      </c>
      <c r="AN24" s="41">
        <f t="array" ref="AN24">IF(L24=VLOOKUP(VALUE(L$1),{Questions[#],Questions[Answer]},2,FALSE),1,0)</f>
        <v/>
      </c>
      <c r="AO24" s="41">
        <f t="array" ref="AO24">IF(M24=VLOOKUP(VALUE(M$1),{Questions[#],Questions[Answer]},2,FALSE),1,0)</f>
        <v/>
      </c>
      <c r="AP24" s="41">
        <f t="array" ref="AP24">IF(N24=VLOOKUP(VALUE(N$1),{Questions[#],Questions[Answer]},2,FALSE),1,0)</f>
        <v/>
      </c>
      <c r="AQ24" s="41">
        <f t="array" ref="AQ24">IF(O24=VLOOKUP(VALUE(O$1),{Questions[#],Questions[Answer]},2,FALSE),1,0)</f>
        <v/>
      </c>
      <c r="AR24" s="41">
        <f t="array" ref="AR24">IF(P24=VLOOKUP(VALUE(P$1),{Questions[#],Questions[Answer]},2,FALSE),1,0)</f>
        <v/>
      </c>
      <c r="AS24" s="41">
        <f t="array" ref="AS24">IF(Q24=VLOOKUP(VALUE(Q$1),{Questions[#],Questions[Answer]},2,FALSE),1,0)</f>
        <v/>
      </c>
      <c r="AT24" s="41">
        <f t="array" ref="AT24">IF(R24=VLOOKUP(VALUE(R$1),{Questions[#],Questions[Answer]},2,FALSE),1,0)</f>
        <v/>
      </c>
      <c r="AU24" s="41">
        <f t="array" ref="AU24">IF(S24=VLOOKUP(VALUE(S$1),{Questions[#],Questions[Answer]},2,FALSE),1,0)</f>
        <v/>
      </c>
      <c r="AV24" s="41">
        <f t="array" ref="AV24">IF(T24=VLOOKUP(VALUE(T$1),{Questions[#],Questions[Answer]},2,FALSE),1,0)</f>
        <v/>
      </c>
      <c r="AW24" s="41">
        <f t="array" ref="AW24">IF(U24=VLOOKUP(VALUE(U$1),{Questions[#],Questions[Answer]},2,FALSE),1,0)</f>
        <v/>
      </c>
      <c r="AX24" s="41">
        <f t="array" ref="AX24">IF(V24=VLOOKUP(VALUE(V$1),{Questions[#],Questions[Answer]},2,FALSE),1,0)</f>
        <v/>
      </c>
      <c r="AY24" s="41">
        <f t="array" ref="AY24">IF(W24=VLOOKUP(VALUE(W$1),{Questions[#],Questions[Answer]},2,FALSE),1,0)</f>
        <v/>
      </c>
      <c r="AZ24" s="41">
        <f t="array" ref="AZ24">IF(X24=VLOOKUP(VALUE(X$1),{Questions[#],Questions[Answer]},2,FALSE),1,0)</f>
        <v/>
      </c>
      <c r="BA24" s="41">
        <f t="array" ref="BA24">IF(Y24=VLOOKUP(VALUE(Y$1),{Questions[#],Questions[Answer]},2,FALSE),1,0)</f>
        <v/>
      </c>
      <c r="BB24" s="41">
        <f t="array" ref="BB24">IF(Z24=VLOOKUP(VALUE(Z$1),{Questions[#],Questions[Answer]},2,FALSE),1,0)</f>
        <v/>
      </c>
      <c r="BC24" s="41">
        <f t="array" ref="BC24">IF(AA24=VLOOKUP(VALUE(AA$1),{Questions[#],Questions[Answer]},2,FALSE),1,0)</f>
        <v/>
      </c>
      <c r="BD24" s="41">
        <f t="array" ref="BD24">IF(AB24=VLOOKUP(VALUE(AB$1),{Questions[#],Questions[Answer]},2,FALSE),1,0)</f>
        <v/>
      </c>
      <c r="BE24" s="41">
        <f t="array" ref="BE24">IF(AC24=VLOOKUP(VALUE(AC$1),{Questions[#],Questions[Answer]},2,FALSE),1,0)</f>
        <v/>
      </c>
      <c r="BF24" s="41">
        <f t="array" ref="BF24">IF(AD24=VLOOKUP(VALUE(AD$1),{Questions[#],Questions[Answer]},2,FALSE),1,0)</f>
        <v/>
      </c>
      <c r="BG24" s="41">
        <f t="array" ref="BG24">IF(AE24=VLOOKUP(VALUE(AE$1),{Questions[#],Questions[Answer]},2,FALSE),1,0)</f>
        <v/>
      </c>
      <c r="BH24" s="41">
        <f t="array" ref="BH24">IF(AF24=VLOOKUP(VALUE(AF$1),{Questions[#],Questions[Answer]},2,FALSE),1,0)</f>
        <v/>
      </c>
      <c r="BI24" s="41">
        <f t="array" ref="BI24">IF(AG24=VLOOKUP(VALUE(AG$1),{Questions[#],Questions[Answer]},2,FALSE),1,0)</f>
        <v/>
      </c>
      <c r="BJ24" s="41">
        <f t="array" ref="BJ24">IF(AH24=VLOOKUP(VALUE(AH$1),{Questions[#],Questions[Answer]},2,FALSE),1,0)</f>
        <v/>
      </c>
      <c r="BK24" s="41">
        <f t="array" ref="BK24">IF(AI24=VLOOKUP(VALUE(AI$1),{Questions[#],Questions[Answer]},2,FALSE),1,0)</f>
        <v/>
      </c>
      <c r="BL24" s="41">
        <f t="array" ref="BL24">IF(AJ24=VLOOKUP(VALUE(AJ$1),{Questions[#],Questions[Answer]},2,FALSE),1,0)</f>
        <v/>
      </c>
      <c r="BM24" s="41">
        <f t="array" ref="BM24">IF(AK24=VLOOKUP(VALUE(AK$1),{Questions[#],Questions[Answer]},2,FALSE),1,0)</f>
        <v/>
      </c>
      <c r="BN24" s="41">
        <f t="array" ref="BN24">IF(AL24=VLOOKUP(VALUE(AL$1),{Questions[#],Questions[Answer]},2,FALSE),1,0)</f>
        <v/>
      </c>
    </row>
    <row r="25" ht="22.5" customHeight="1" s="93">
      <c r="A25" s="42" t="inlineStr">
        <is>
          <t>Kovelsky</t>
        </is>
      </c>
      <c r="B25" s="41" t="n">
        <v>10</v>
      </c>
      <c r="C25" s="41" t="n">
        <v>4</v>
      </c>
      <c r="D25" s="44" t="n">
        <v>237289012</v>
      </c>
      <c r="E25" s="41" t="n"/>
      <c r="F25" s="41" t="n"/>
      <c r="G25" s="11">
        <f>SUM(AM25:BN25)</f>
        <v/>
      </c>
      <c r="H25" s="12">
        <f>G25/28</f>
        <v/>
      </c>
      <c r="I25" s="12">
        <f>0.5+(G25/54)</f>
        <v/>
      </c>
      <c r="J25" s="13">
        <f>COUNTIF(K25:AL25,"")</f>
        <v/>
      </c>
      <c r="K25" s="32" t="n">
        <v>4</v>
      </c>
      <c r="L25" s="23" t="n">
        <v>1</v>
      </c>
      <c r="M25" s="26" t="n">
        <v>3</v>
      </c>
      <c r="N25" s="23" t="n">
        <v>2</v>
      </c>
      <c r="O25" s="23" t="n">
        <v>4</v>
      </c>
      <c r="P25" s="26" t="n">
        <v>1</v>
      </c>
      <c r="Q25" s="23" t="n">
        <v>2</v>
      </c>
      <c r="R25" s="26" t="n">
        <v>1</v>
      </c>
      <c r="S25" s="23" t="n">
        <v>1</v>
      </c>
      <c r="T25" s="23" t="n">
        <v>4</v>
      </c>
      <c r="U25" s="23" t="n">
        <v>1</v>
      </c>
      <c r="V25" s="23" t="n">
        <v>4</v>
      </c>
      <c r="W25" s="23" t="n">
        <v>3</v>
      </c>
      <c r="X25" s="33" t="n">
        <v>2</v>
      </c>
      <c r="Y25" s="23" t="n">
        <v>4</v>
      </c>
      <c r="Z25" s="23" t="n">
        <v>3</v>
      </c>
      <c r="AA25" s="23" t="n">
        <v>4</v>
      </c>
      <c r="AB25" s="23" t="n">
        <v>4</v>
      </c>
      <c r="AC25" s="23" t="n">
        <v>1</v>
      </c>
      <c r="AD25" s="23" t="n">
        <v>3</v>
      </c>
      <c r="AE25" s="33" t="n">
        <v>4</v>
      </c>
      <c r="AF25" s="23" t="n">
        <v>2</v>
      </c>
      <c r="AG25" s="23" t="n">
        <v>4</v>
      </c>
      <c r="AH25" s="23" t="n">
        <v>3</v>
      </c>
      <c r="AI25" s="23" t="n">
        <v>2</v>
      </c>
      <c r="AJ25" s="23" t="n">
        <v>4</v>
      </c>
      <c r="AK25" s="23" t="n">
        <v>2</v>
      </c>
      <c r="AL25" s="29" t="n">
        <v>2</v>
      </c>
      <c r="AM25" s="19">
        <f t="array" ref="AM25">IF(K25=VLOOKUP(VALUE(K$1),{Questions[#],Questions[Answer]},2,FALSE),1,0)</f>
        <v/>
      </c>
      <c r="AN25" s="41">
        <f t="array" ref="AN25">IF(L25=VLOOKUP(VALUE(L$1),{Questions[#],Questions[Answer]},2,FALSE),1,0)</f>
        <v/>
      </c>
      <c r="AO25" s="41">
        <f t="array" ref="AO25">IF(M25=VLOOKUP(VALUE(M$1),{Questions[#],Questions[Answer]},2,FALSE),1,0)</f>
        <v/>
      </c>
      <c r="AP25" s="41">
        <f t="array" ref="AP25">IF(N25=VLOOKUP(VALUE(N$1),{Questions[#],Questions[Answer]},2,FALSE),1,0)</f>
        <v/>
      </c>
      <c r="AQ25" s="41">
        <f t="array" ref="AQ25">IF(O25=VLOOKUP(VALUE(O$1),{Questions[#],Questions[Answer]},2,FALSE),1,0)</f>
        <v/>
      </c>
      <c r="AR25" s="41">
        <f t="array" ref="AR25">IF(P25=VLOOKUP(VALUE(P$1),{Questions[#],Questions[Answer]},2,FALSE),1,0)</f>
        <v/>
      </c>
      <c r="AS25" s="41">
        <f t="array" ref="AS25">IF(Q25=VLOOKUP(VALUE(Q$1),{Questions[#],Questions[Answer]},2,FALSE),1,0)</f>
        <v/>
      </c>
      <c r="AT25" s="41">
        <f t="array" ref="AT25">IF(R25=VLOOKUP(VALUE(R$1),{Questions[#],Questions[Answer]},2,FALSE),1,0)</f>
        <v/>
      </c>
      <c r="AU25" s="41">
        <f t="array" ref="AU25">IF(S25=VLOOKUP(VALUE(S$1),{Questions[#],Questions[Answer]},2,FALSE),1,0)</f>
        <v/>
      </c>
      <c r="AV25" s="41">
        <f t="array" ref="AV25">IF(T25=VLOOKUP(VALUE(T$1),{Questions[#],Questions[Answer]},2,FALSE),1,0)</f>
        <v/>
      </c>
      <c r="AW25" s="41">
        <f t="array" ref="AW25">IF(U25=VLOOKUP(VALUE(U$1),{Questions[#],Questions[Answer]},2,FALSE),1,0)</f>
        <v/>
      </c>
      <c r="AX25" s="41">
        <f t="array" ref="AX25">IF(V25=VLOOKUP(VALUE(V$1),{Questions[#],Questions[Answer]},2,FALSE),1,0)</f>
        <v/>
      </c>
      <c r="AY25" s="41">
        <f t="array" ref="AY25">IF(W25=VLOOKUP(VALUE(W$1),{Questions[#],Questions[Answer]},2,FALSE),1,0)</f>
        <v/>
      </c>
      <c r="AZ25" s="41">
        <f t="array" ref="AZ25">IF(X25=VLOOKUP(VALUE(X$1),{Questions[#],Questions[Answer]},2,FALSE),1,0)</f>
        <v/>
      </c>
      <c r="BA25" s="41">
        <f t="array" ref="BA25">IF(Y25=VLOOKUP(VALUE(Y$1),{Questions[#],Questions[Answer]},2,FALSE),1,0)</f>
        <v/>
      </c>
      <c r="BB25" s="41">
        <f t="array" ref="BB25">IF(Z25=VLOOKUP(VALUE(Z$1),{Questions[#],Questions[Answer]},2,FALSE),1,0)</f>
        <v/>
      </c>
      <c r="BC25" s="41">
        <f t="array" ref="BC25">IF(AA25=VLOOKUP(VALUE(AA$1),{Questions[#],Questions[Answer]},2,FALSE),1,0)</f>
        <v/>
      </c>
      <c r="BD25" s="41">
        <f t="array" ref="BD25">IF(AB25=VLOOKUP(VALUE(AB$1),{Questions[#],Questions[Answer]},2,FALSE),1,0)</f>
        <v/>
      </c>
      <c r="BE25" s="41">
        <f t="array" ref="BE25">IF(AC25=VLOOKUP(VALUE(AC$1),{Questions[#],Questions[Answer]},2,FALSE),1,0)</f>
        <v/>
      </c>
      <c r="BF25" s="41">
        <f t="array" ref="BF25">IF(AD25=VLOOKUP(VALUE(AD$1),{Questions[#],Questions[Answer]},2,FALSE),1,0)</f>
        <v/>
      </c>
      <c r="BG25" s="41">
        <f t="array" ref="BG25">IF(AE25=VLOOKUP(VALUE(AE$1),{Questions[#],Questions[Answer]},2,FALSE),1,0)</f>
        <v/>
      </c>
      <c r="BH25" s="41">
        <f t="array" ref="BH25">IF(AF25=VLOOKUP(VALUE(AF$1),{Questions[#],Questions[Answer]},2,FALSE),1,0)</f>
        <v/>
      </c>
      <c r="BI25" s="41">
        <f t="array" ref="BI25">IF(AG25=VLOOKUP(VALUE(AG$1),{Questions[#],Questions[Answer]},2,FALSE),1,0)</f>
        <v/>
      </c>
      <c r="BJ25" s="41">
        <f t="array" ref="BJ25">IF(AH25=VLOOKUP(VALUE(AH$1),{Questions[#],Questions[Answer]},2,FALSE),1,0)</f>
        <v/>
      </c>
      <c r="BK25" s="41">
        <f t="array" ref="BK25">IF(AI25=VLOOKUP(VALUE(AI$1),{Questions[#],Questions[Answer]},2,FALSE),1,0)</f>
        <v/>
      </c>
      <c r="BL25" s="41">
        <f t="array" ref="BL25">IF(AJ25=VLOOKUP(VALUE(AJ$1),{Questions[#],Questions[Answer]},2,FALSE),1,0)</f>
        <v/>
      </c>
      <c r="BM25" s="41">
        <f t="array" ref="BM25">IF(AK25=VLOOKUP(VALUE(AK$1),{Questions[#],Questions[Answer]},2,FALSE),1,0)</f>
        <v/>
      </c>
      <c r="BN25" s="41">
        <f t="array" ref="BN25">IF(AL25=VLOOKUP(VALUE(AL$1),{Questions[#],Questions[Answer]},2,FALSE),1,0)</f>
        <v/>
      </c>
    </row>
    <row r="26" ht="22.5" customHeight="1" s="93">
      <c r="A26" s="42" t="inlineStr">
        <is>
          <t>Kovelsky</t>
        </is>
      </c>
      <c r="B26" s="41" t="n">
        <v>10</v>
      </c>
      <c r="C26" s="41" t="n">
        <v>4</v>
      </c>
      <c r="D26" s="44" t="n">
        <v>249469552</v>
      </c>
      <c r="E26" s="41" t="n"/>
      <c r="F26" s="41" t="n"/>
      <c r="G26" s="11">
        <f>SUM(AM26:BN26)</f>
        <v/>
      </c>
      <c r="H26" s="12">
        <f>G26/28</f>
        <v/>
      </c>
      <c r="I26" s="12">
        <f>0.5+(G26/54)</f>
        <v/>
      </c>
      <c r="J26" s="13">
        <f>COUNTIF(K26:AL26,"")</f>
        <v/>
      </c>
      <c r="K26" s="25" t="n">
        <v>4</v>
      </c>
      <c r="L26" s="26" t="n">
        <v>1</v>
      </c>
      <c r="M26" s="26" t="n">
        <v>3</v>
      </c>
      <c r="N26" s="26" t="n">
        <v>2</v>
      </c>
      <c r="O26" s="23" t="n">
        <v>1</v>
      </c>
      <c r="P26" s="26" t="n">
        <v>3</v>
      </c>
      <c r="Q26" s="23" t="n">
        <v>2</v>
      </c>
      <c r="R26" s="26" t="n">
        <v>2</v>
      </c>
      <c r="S26" s="23" t="n">
        <v>3</v>
      </c>
      <c r="T26" s="23" t="n">
        <v>3</v>
      </c>
      <c r="U26" s="23" t="n">
        <v>1</v>
      </c>
      <c r="V26" s="23" t="n">
        <v>4</v>
      </c>
      <c r="W26" s="23" t="n">
        <v>3</v>
      </c>
      <c r="X26" s="33" t="n">
        <v>3</v>
      </c>
      <c r="Y26" s="23" t="n">
        <v>4</v>
      </c>
      <c r="Z26" s="23" t="n">
        <v>3</v>
      </c>
      <c r="AA26" s="23" t="n">
        <v>4</v>
      </c>
      <c r="AB26" s="23" t="n">
        <v>3</v>
      </c>
      <c r="AC26" s="23" t="n">
        <v>1</v>
      </c>
      <c r="AD26" s="23" t="n">
        <v>3</v>
      </c>
      <c r="AE26" s="33" t="n">
        <v>1</v>
      </c>
      <c r="AF26" s="23" t="n">
        <v>3</v>
      </c>
      <c r="AG26" s="23" t="n">
        <v>4</v>
      </c>
      <c r="AH26" s="23" t="n">
        <v>4</v>
      </c>
      <c r="AI26" s="23" t="n">
        <v>1</v>
      </c>
      <c r="AJ26" s="23" t="n">
        <v>2</v>
      </c>
      <c r="AK26" s="23" t="n">
        <v>2</v>
      </c>
      <c r="AL26" s="29" t="n">
        <v>3</v>
      </c>
      <c r="AM26" s="19">
        <f t="array" ref="AM26">IF(K26=VLOOKUP(VALUE(K$1),{Questions[#],Questions[Answer]},2,FALSE),1,0)</f>
        <v/>
      </c>
      <c r="AN26" s="41">
        <f t="array" ref="AN26">IF(L26=VLOOKUP(VALUE(L$1),{Questions[#],Questions[Answer]},2,FALSE),1,0)</f>
        <v/>
      </c>
      <c r="AO26" s="41">
        <f t="array" ref="AO26">IF(M26=VLOOKUP(VALUE(M$1),{Questions[#],Questions[Answer]},2,FALSE),1,0)</f>
        <v/>
      </c>
      <c r="AP26" s="41">
        <f t="array" ref="AP26">IF(N26=VLOOKUP(VALUE(N$1),{Questions[#],Questions[Answer]},2,FALSE),1,0)</f>
        <v/>
      </c>
      <c r="AQ26" s="41">
        <f t="array" ref="AQ26">IF(O26=VLOOKUP(VALUE(O$1),{Questions[#],Questions[Answer]},2,FALSE),1,0)</f>
        <v/>
      </c>
      <c r="AR26" s="41">
        <f t="array" ref="AR26">IF(P26=VLOOKUP(VALUE(P$1),{Questions[#],Questions[Answer]},2,FALSE),1,0)</f>
        <v/>
      </c>
      <c r="AS26" s="41">
        <f t="array" ref="AS26">IF(Q26=VLOOKUP(VALUE(Q$1),{Questions[#],Questions[Answer]},2,FALSE),1,0)</f>
        <v/>
      </c>
      <c r="AT26" s="41">
        <f t="array" ref="AT26">IF(R26=VLOOKUP(VALUE(R$1),{Questions[#],Questions[Answer]},2,FALSE),1,0)</f>
        <v/>
      </c>
      <c r="AU26" s="41">
        <f t="array" ref="AU26">IF(S26=VLOOKUP(VALUE(S$1),{Questions[#],Questions[Answer]},2,FALSE),1,0)</f>
        <v/>
      </c>
      <c r="AV26" s="41">
        <f t="array" ref="AV26">IF(T26=VLOOKUP(VALUE(T$1),{Questions[#],Questions[Answer]},2,FALSE),1,0)</f>
        <v/>
      </c>
      <c r="AW26" s="41">
        <f t="array" ref="AW26">IF(U26=VLOOKUP(VALUE(U$1),{Questions[#],Questions[Answer]},2,FALSE),1,0)</f>
        <v/>
      </c>
      <c r="AX26" s="41">
        <f t="array" ref="AX26">IF(V26=VLOOKUP(VALUE(V$1),{Questions[#],Questions[Answer]},2,FALSE),1,0)</f>
        <v/>
      </c>
      <c r="AY26" s="41">
        <f t="array" ref="AY26">IF(W26=VLOOKUP(VALUE(W$1),{Questions[#],Questions[Answer]},2,FALSE),1,0)</f>
        <v/>
      </c>
      <c r="AZ26" s="41">
        <f t="array" ref="AZ26">IF(X26=VLOOKUP(VALUE(X$1),{Questions[#],Questions[Answer]},2,FALSE),1,0)</f>
        <v/>
      </c>
      <c r="BA26" s="41">
        <f t="array" ref="BA26">IF(Y26=VLOOKUP(VALUE(Y$1),{Questions[#],Questions[Answer]},2,FALSE),1,0)</f>
        <v/>
      </c>
      <c r="BB26" s="41">
        <f t="array" ref="BB26">IF(Z26=VLOOKUP(VALUE(Z$1),{Questions[#],Questions[Answer]},2,FALSE),1,0)</f>
        <v/>
      </c>
      <c r="BC26" s="41">
        <f t="array" ref="BC26">IF(AA26=VLOOKUP(VALUE(AA$1),{Questions[#],Questions[Answer]},2,FALSE),1,0)</f>
        <v/>
      </c>
      <c r="BD26" s="41">
        <f t="array" ref="BD26">IF(AB26=VLOOKUP(VALUE(AB$1),{Questions[#],Questions[Answer]},2,FALSE),1,0)</f>
        <v/>
      </c>
      <c r="BE26" s="41">
        <f t="array" ref="BE26">IF(AC26=VLOOKUP(VALUE(AC$1),{Questions[#],Questions[Answer]},2,FALSE),1,0)</f>
        <v/>
      </c>
      <c r="BF26" s="41">
        <f t="array" ref="BF26">IF(AD26=VLOOKUP(VALUE(AD$1),{Questions[#],Questions[Answer]},2,FALSE),1,0)</f>
        <v/>
      </c>
      <c r="BG26" s="41">
        <f t="array" ref="BG26">IF(AE26=VLOOKUP(VALUE(AE$1),{Questions[#],Questions[Answer]},2,FALSE),1,0)</f>
        <v/>
      </c>
      <c r="BH26" s="41">
        <f t="array" ref="BH26">IF(AF26=VLOOKUP(VALUE(AF$1),{Questions[#],Questions[Answer]},2,FALSE),1,0)</f>
        <v/>
      </c>
      <c r="BI26" s="41">
        <f t="array" ref="BI26">IF(AG26=VLOOKUP(VALUE(AG$1),{Questions[#],Questions[Answer]},2,FALSE),1,0)</f>
        <v/>
      </c>
      <c r="BJ26" s="41">
        <f t="array" ref="BJ26">IF(AH26=VLOOKUP(VALUE(AH$1),{Questions[#],Questions[Answer]},2,FALSE),1,0)</f>
        <v/>
      </c>
      <c r="BK26" s="41">
        <f t="array" ref="BK26">IF(AI26=VLOOKUP(VALUE(AI$1),{Questions[#],Questions[Answer]},2,FALSE),1,0)</f>
        <v/>
      </c>
      <c r="BL26" s="41">
        <f t="array" ref="BL26">IF(AJ26=VLOOKUP(VALUE(AJ$1),{Questions[#],Questions[Answer]},2,FALSE),1,0)</f>
        <v/>
      </c>
      <c r="BM26" s="41">
        <f t="array" ref="BM26">IF(AK26=VLOOKUP(VALUE(AK$1),{Questions[#],Questions[Answer]},2,FALSE),1,0)</f>
        <v/>
      </c>
      <c r="BN26" s="41">
        <f t="array" ref="BN26">IF(AL26=VLOOKUP(VALUE(AL$1),{Questions[#],Questions[Answer]},2,FALSE),1,0)</f>
        <v/>
      </c>
    </row>
    <row r="27" ht="22.5" customHeight="1" s="93">
      <c r="A27" s="42" t="inlineStr">
        <is>
          <t>Kovelsky</t>
        </is>
      </c>
      <c r="B27" s="41" t="n">
        <v>10</v>
      </c>
      <c r="C27" s="41" t="n">
        <v>4</v>
      </c>
      <c r="D27" s="44" t="n">
        <v>236964250</v>
      </c>
      <c r="E27" s="41" t="n"/>
      <c r="F27" s="41" t="n"/>
      <c r="G27" s="11">
        <f>SUM(AM27:BN27)</f>
        <v/>
      </c>
      <c r="H27" s="12">
        <f>G27/28</f>
        <v/>
      </c>
      <c r="I27" s="12">
        <f>0.5+(G27/54)</f>
        <v/>
      </c>
      <c r="J27" s="13">
        <f>COUNTIF(K27:AL27,"")</f>
        <v/>
      </c>
      <c r="K27" s="34" t="n">
        <v>4</v>
      </c>
      <c r="L27" s="35" t="n">
        <v>1</v>
      </c>
      <c r="M27" s="36" t="n">
        <v>3</v>
      </c>
      <c r="N27" s="35" t="n">
        <v>2</v>
      </c>
      <c r="O27" s="35" t="n">
        <v>1</v>
      </c>
      <c r="P27" s="35" t="n">
        <v>3</v>
      </c>
      <c r="Q27" s="35" t="n">
        <v>4</v>
      </c>
      <c r="R27" s="35" t="n">
        <v>4</v>
      </c>
      <c r="S27" s="35" t="n">
        <v>1</v>
      </c>
      <c r="T27" s="35" t="n">
        <v>3</v>
      </c>
      <c r="U27" s="35" t="n">
        <v>1</v>
      </c>
      <c r="V27" s="35" t="n">
        <v>4</v>
      </c>
      <c r="W27" s="35" t="n">
        <v>3</v>
      </c>
      <c r="X27" s="41" t="n">
        <v>2</v>
      </c>
      <c r="Y27" s="35" t="n">
        <v>4</v>
      </c>
      <c r="Z27" s="35" t="n">
        <v>3</v>
      </c>
      <c r="AA27" s="35" t="n">
        <v>4</v>
      </c>
      <c r="AB27" s="35" t="n">
        <v>3</v>
      </c>
      <c r="AC27" s="35" t="n">
        <v>1</v>
      </c>
      <c r="AD27" s="35" t="n">
        <v>3</v>
      </c>
      <c r="AE27" s="41" t="n">
        <v>4</v>
      </c>
      <c r="AF27" s="35" t="n">
        <v>2</v>
      </c>
      <c r="AG27" s="35" t="n">
        <v>2</v>
      </c>
      <c r="AH27" s="35" t="n">
        <v>3</v>
      </c>
      <c r="AI27" s="35" t="n">
        <v>1</v>
      </c>
      <c r="AJ27" s="35" t="n">
        <v>4</v>
      </c>
      <c r="AK27" s="35" t="n">
        <v>1</v>
      </c>
      <c r="AL27" s="38" t="n">
        <v>2</v>
      </c>
      <c r="AM27" s="19">
        <f t="array" ref="AM27">IF(K27=VLOOKUP(VALUE(K$1),{Questions[#],Questions[Answer]},2,FALSE),1,0)</f>
        <v/>
      </c>
      <c r="AN27" s="41">
        <f t="array" ref="AN27">IF(L27=VLOOKUP(VALUE(L$1),{Questions[#],Questions[Answer]},2,FALSE),1,0)</f>
        <v/>
      </c>
      <c r="AO27" s="41">
        <f t="array" ref="AO27">IF(M27=VLOOKUP(VALUE(M$1),{Questions[#],Questions[Answer]},2,FALSE),1,0)</f>
        <v/>
      </c>
      <c r="AP27" s="41">
        <f t="array" ref="AP27">IF(N27=VLOOKUP(VALUE(N$1),{Questions[#],Questions[Answer]},2,FALSE),1,0)</f>
        <v/>
      </c>
      <c r="AQ27" s="41">
        <f t="array" ref="AQ27">IF(O27=VLOOKUP(VALUE(O$1),{Questions[#],Questions[Answer]},2,FALSE),1,0)</f>
        <v/>
      </c>
      <c r="AR27" s="41">
        <f t="array" ref="AR27">IF(P27=VLOOKUP(VALUE(P$1),{Questions[#],Questions[Answer]},2,FALSE),1,0)</f>
        <v/>
      </c>
      <c r="AS27" s="41">
        <f t="array" ref="AS27">IF(Q27=VLOOKUP(VALUE(Q$1),{Questions[#],Questions[Answer]},2,FALSE),1,0)</f>
        <v/>
      </c>
      <c r="AT27" s="41">
        <f t="array" ref="AT27">IF(R27=VLOOKUP(VALUE(R$1),{Questions[#],Questions[Answer]},2,FALSE),1,0)</f>
        <v/>
      </c>
      <c r="AU27" s="41">
        <f t="array" ref="AU27">IF(S27=VLOOKUP(VALUE(S$1),{Questions[#],Questions[Answer]},2,FALSE),1,0)</f>
        <v/>
      </c>
      <c r="AV27" s="41">
        <f t="array" ref="AV27">IF(T27=VLOOKUP(VALUE(T$1),{Questions[#],Questions[Answer]},2,FALSE),1,0)</f>
        <v/>
      </c>
      <c r="AW27" s="41">
        <f t="array" ref="AW27">IF(U27=VLOOKUP(VALUE(U$1),{Questions[#],Questions[Answer]},2,FALSE),1,0)</f>
        <v/>
      </c>
      <c r="AX27" s="41">
        <f t="array" ref="AX27">IF(V27=VLOOKUP(VALUE(V$1),{Questions[#],Questions[Answer]},2,FALSE),1,0)</f>
        <v/>
      </c>
      <c r="AY27" s="41">
        <f t="array" ref="AY27">IF(W27=VLOOKUP(VALUE(W$1),{Questions[#],Questions[Answer]},2,FALSE),1,0)</f>
        <v/>
      </c>
      <c r="AZ27" s="41">
        <f t="array" ref="AZ27">IF(X27=VLOOKUP(VALUE(X$1),{Questions[#],Questions[Answer]},2,FALSE),1,0)</f>
        <v/>
      </c>
      <c r="BA27" s="41">
        <f t="array" ref="BA27">IF(Y27=VLOOKUP(VALUE(Y$1),{Questions[#],Questions[Answer]},2,FALSE),1,0)</f>
        <v/>
      </c>
      <c r="BB27" s="41">
        <f t="array" ref="BB27">IF(Z27=VLOOKUP(VALUE(Z$1),{Questions[#],Questions[Answer]},2,FALSE),1,0)</f>
        <v/>
      </c>
      <c r="BC27" s="41">
        <f t="array" ref="BC27">IF(AA27=VLOOKUP(VALUE(AA$1),{Questions[#],Questions[Answer]},2,FALSE),1,0)</f>
        <v/>
      </c>
      <c r="BD27" s="41">
        <f t="array" ref="BD27">IF(AB27=VLOOKUP(VALUE(AB$1),{Questions[#],Questions[Answer]},2,FALSE),1,0)</f>
        <v/>
      </c>
      <c r="BE27" s="41">
        <f t="array" ref="BE27">IF(AC27=VLOOKUP(VALUE(AC$1),{Questions[#],Questions[Answer]},2,FALSE),1,0)</f>
        <v/>
      </c>
      <c r="BF27" s="41">
        <f t="array" ref="BF27">IF(AD27=VLOOKUP(VALUE(AD$1),{Questions[#],Questions[Answer]},2,FALSE),1,0)</f>
        <v/>
      </c>
      <c r="BG27" s="41">
        <f t="array" ref="BG27">IF(AE27=VLOOKUP(VALUE(AE$1),{Questions[#],Questions[Answer]},2,FALSE),1,0)</f>
        <v/>
      </c>
      <c r="BH27" s="41">
        <f t="array" ref="BH27">IF(AF27=VLOOKUP(VALUE(AF$1),{Questions[#],Questions[Answer]},2,FALSE),1,0)</f>
        <v/>
      </c>
      <c r="BI27" s="41">
        <f t="array" ref="BI27">IF(AG27=VLOOKUP(VALUE(AG$1),{Questions[#],Questions[Answer]},2,FALSE),1,0)</f>
        <v/>
      </c>
      <c r="BJ27" s="41">
        <f t="array" ref="BJ27">IF(AH27=VLOOKUP(VALUE(AH$1),{Questions[#],Questions[Answer]},2,FALSE),1,0)</f>
        <v/>
      </c>
      <c r="BK27" s="41">
        <f t="array" ref="BK27">IF(AI27=VLOOKUP(VALUE(AI$1),{Questions[#],Questions[Answer]},2,FALSE),1,0)</f>
        <v/>
      </c>
      <c r="BL27" s="41">
        <f t="array" ref="BL27">IF(AJ27=VLOOKUP(VALUE(AJ$1),{Questions[#],Questions[Answer]},2,FALSE),1,0)</f>
        <v/>
      </c>
      <c r="BM27" s="41">
        <f t="array" ref="BM27">IF(AK27=VLOOKUP(VALUE(AK$1),{Questions[#],Questions[Answer]},2,FALSE),1,0)</f>
        <v/>
      </c>
      <c r="BN27" s="41">
        <f t="array" ref="BN27">IF(AL27=VLOOKUP(VALUE(AL$1),{Questions[#],Questions[Answer]},2,FALSE),1,0)</f>
        <v/>
      </c>
    </row>
    <row r="28" ht="22.5" customHeight="1" s="93">
      <c r="A28" s="42" t="inlineStr">
        <is>
          <t>Kovelsky</t>
        </is>
      </c>
      <c r="B28" s="41" t="n">
        <v>10</v>
      </c>
      <c r="C28" s="41" t="n">
        <v>4</v>
      </c>
      <c r="D28" s="44" t="n">
        <v>237079223</v>
      </c>
      <c r="E28" s="41" t="n"/>
      <c r="F28" s="41" t="n"/>
      <c r="G28" s="11">
        <f>SUM(AM28:BN28)</f>
        <v/>
      </c>
      <c r="H28" s="12">
        <f>G28/28</f>
        <v/>
      </c>
      <c r="I28" s="12">
        <f>0.5+(G28/54)</f>
        <v/>
      </c>
      <c r="J28" s="13">
        <f>COUNTIF(K28:AL28,"")</f>
        <v/>
      </c>
      <c r="K28" s="34" t="n"/>
      <c r="L28" s="35" t="n"/>
      <c r="M28" s="35" t="n"/>
      <c r="N28" s="35" t="n"/>
      <c r="O28" s="35" t="n"/>
      <c r="P28" s="35" t="n"/>
      <c r="Q28" s="35" t="n"/>
      <c r="R28" s="35" t="n"/>
      <c r="S28" s="35" t="n"/>
      <c r="T28" s="35" t="n"/>
      <c r="U28" s="35" t="n"/>
      <c r="V28" s="35" t="n"/>
      <c r="W28" s="35" t="n"/>
      <c r="X28" s="41" t="n"/>
      <c r="Y28" s="35" t="n"/>
      <c r="Z28" s="35" t="n"/>
      <c r="AA28" s="35" t="n"/>
      <c r="AB28" s="35" t="n"/>
      <c r="AC28" s="35" t="n"/>
      <c r="AD28" s="35" t="n"/>
      <c r="AE28" s="41" t="n"/>
      <c r="AF28" s="35" t="n"/>
      <c r="AG28" s="35" t="n"/>
      <c r="AH28" s="35" t="n"/>
      <c r="AI28" s="35" t="n"/>
      <c r="AJ28" s="35" t="n"/>
      <c r="AK28" s="35" t="n"/>
      <c r="AL28" s="38" t="n"/>
      <c r="AM28" s="19">
        <f t="array" ref="AM28">IF(K28=VLOOKUP(VALUE(K$1),{Questions[#],Questions[Answer]},2,FALSE),1,0)</f>
        <v/>
      </c>
      <c r="AN28" s="41">
        <f t="array" ref="AN28">IF(L28=VLOOKUP(VALUE(L$1),{Questions[#],Questions[Answer]},2,FALSE),1,0)</f>
        <v/>
      </c>
      <c r="AO28" s="41">
        <f t="array" ref="AO28">IF(M28=VLOOKUP(VALUE(M$1),{Questions[#],Questions[Answer]},2,FALSE),1,0)</f>
        <v/>
      </c>
      <c r="AP28" s="41">
        <f t="array" ref="AP28">IF(N28=VLOOKUP(VALUE(N$1),{Questions[#],Questions[Answer]},2,FALSE),1,0)</f>
        <v/>
      </c>
      <c r="AQ28" s="41">
        <f t="array" ref="AQ28">IF(O28=VLOOKUP(VALUE(O$1),{Questions[#],Questions[Answer]},2,FALSE),1,0)</f>
        <v/>
      </c>
      <c r="AR28" s="41">
        <f t="array" ref="AR28">IF(P28=VLOOKUP(VALUE(P$1),{Questions[#],Questions[Answer]},2,FALSE),1,0)</f>
        <v/>
      </c>
      <c r="AS28" s="41">
        <f t="array" ref="AS28">IF(Q28=VLOOKUP(VALUE(Q$1),{Questions[#],Questions[Answer]},2,FALSE),1,0)</f>
        <v/>
      </c>
      <c r="AT28" s="41">
        <f t="array" ref="AT28">IF(R28=VLOOKUP(VALUE(R$1),{Questions[#],Questions[Answer]},2,FALSE),1,0)</f>
        <v/>
      </c>
      <c r="AU28" s="41">
        <f t="array" ref="AU28">IF(S28=VLOOKUP(VALUE(S$1),{Questions[#],Questions[Answer]},2,FALSE),1,0)</f>
        <v/>
      </c>
      <c r="AV28" s="41">
        <f t="array" ref="AV28">IF(T28=VLOOKUP(VALUE(T$1),{Questions[#],Questions[Answer]},2,FALSE),1,0)</f>
        <v/>
      </c>
      <c r="AW28" s="41">
        <f t="array" ref="AW28">IF(U28=VLOOKUP(VALUE(U$1),{Questions[#],Questions[Answer]},2,FALSE),1,0)</f>
        <v/>
      </c>
      <c r="AX28" s="41">
        <f t="array" ref="AX28">IF(V28=VLOOKUP(VALUE(V$1),{Questions[#],Questions[Answer]},2,FALSE),1,0)</f>
        <v/>
      </c>
      <c r="AY28" s="41">
        <f t="array" ref="AY28">IF(W28=VLOOKUP(VALUE(W$1),{Questions[#],Questions[Answer]},2,FALSE),1,0)</f>
        <v/>
      </c>
      <c r="AZ28" s="41">
        <f t="array" ref="AZ28">IF(X28=VLOOKUP(VALUE(X$1),{Questions[#],Questions[Answer]},2,FALSE),1,0)</f>
        <v/>
      </c>
      <c r="BA28" s="41">
        <f t="array" ref="BA28">IF(Y28=VLOOKUP(VALUE(Y$1),{Questions[#],Questions[Answer]},2,FALSE),1,0)</f>
        <v/>
      </c>
      <c r="BB28" s="41">
        <f t="array" ref="BB28">IF(Z28=VLOOKUP(VALUE(Z$1),{Questions[#],Questions[Answer]},2,FALSE),1,0)</f>
        <v/>
      </c>
      <c r="BC28" s="41">
        <f t="array" ref="BC28">IF(AA28=VLOOKUP(VALUE(AA$1),{Questions[#],Questions[Answer]},2,FALSE),1,0)</f>
        <v/>
      </c>
      <c r="BD28" s="41">
        <f t="array" ref="BD28">IF(AB28=VLOOKUP(VALUE(AB$1),{Questions[#],Questions[Answer]},2,FALSE),1,0)</f>
        <v/>
      </c>
      <c r="BE28" s="41">
        <f t="array" ref="BE28">IF(AC28=VLOOKUP(VALUE(AC$1),{Questions[#],Questions[Answer]},2,FALSE),1,0)</f>
        <v/>
      </c>
      <c r="BF28" s="41">
        <f t="array" ref="BF28">IF(AD28=VLOOKUP(VALUE(AD$1),{Questions[#],Questions[Answer]},2,FALSE),1,0)</f>
        <v/>
      </c>
      <c r="BG28" s="41">
        <f t="array" ref="BG28">IF(AE28=VLOOKUP(VALUE(AE$1),{Questions[#],Questions[Answer]},2,FALSE),1,0)</f>
        <v/>
      </c>
      <c r="BH28" s="41">
        <f t="array" ref="BH28">IF(AF28=VLOOKUP(VALUE(AF$1),{Questions[#],Questions[Answer]},2,FALSE),1,0)</f>
        <v/>
      </c>
      <c r="BI28" s="41">
        <f t="array" ref="BI28">IF(AG28=VLOOKUP(VALUE(AG$1),{Questions[#],Questions[Answer]},2,FALSE),1,0)</f>
        <v/>
      </c>
      <c r="BJ28" s="41">
        <f t="array" ref="BJ28">IF(AH28=VLOOKUP(VALUE(AH$1),{Questions[#],Questions[Answer]},2,FALSE),1,0)</f>
        <v/>
      </c>
      <c r="BK28" s="41">
        <f t="array" ref="BK28">IF(AI28=VLOOKUP(VALUE(AI$1),{Questions[#],Questions[Answer]},2,FALSE),1,0)</f>
        <v/>
      </c>
      <c r="BL28" s="41">
        <f t="array" ref="BL28">IF(AJ28=VLOOKUP(VALUE(AJ$1),{Questions[#],Questions[Answer]},2,FALSE),1,0)</f>
        <v/>
      </c>
      <c r="BM28" s="41">
        <f t="array" ref="BM28">IF(AK28=VLOOKUP(VALUE(AK$1),{Questions[#],Questions[Answer]},2,FALSE),1,0)</f>
        <v/>
      </c>
      <c r="BN28" s="41">
        <f t="array" ref="BN28">IF(AL28=VLOOKUP(VALUE(AL$1),{Questions[#],Questions[Answer]},2,FALSE),1,0)</f>
        <v/>
      </c>
    </row>
    <row r="29" ht="22.5" customHeight="1" s="93">
      <c r="A29" s="42" t="inlineStr">
        <is>
          <t>Kovelsky</t>
        </is>
      </c>
      <c r="B29" s="41" t="n">
        <v>10</v>
      </c>
      <c r="C29" s="41" t="n">
        <v>4</v>
      </c>
      <c r="D29" s="44" t="n">
        <v>200781698</v>
      </c>
      <c r="E29" s="41" t="n"/>
      <c r="F29" s="41" t="n"/>
      <c r="G29" s="11">
        <f>SUM(AM29:BN29)</f>
        <v/>
      </c>
      <c r="H29" s="12">
        <f>G29/28</f>
        <v/>
      </c>
      <c r="I29" s="12">
        <f>0.5+(G29/54)</f>
        <v/>
      </c>
      <c r="J29" s="13">
        <f>COUNTIF(K29:AL29,"")</f>
        <v/>
      </c>
      <c r="K29" s="34" t="n">
        <v>4</v>
      </c>
      <c r="L29" s="35" t="n">
        <v>3</v>
      </c>
      <c r="M29" s="35" t="n">
        <v>4</v>
      </c>
      <c r="N29" s="35" t="n">
        <v>2</v>
      </c>
      <c r="O29" s="35" t="n">
        <v>3</v>
      </c>
      <c r="P29" s="35" t="n">
        <v>3</v>
      </c>
      <c r="Q29" s="35" t="n">
        <v>1</v>
      </c>
      <c r="R29" s="35" t="n">
        <v>3</v>
      </c>
      <c r="S29" s="35" t="n">
        <v>1</v>
      </c>
      <c r="T29" s="35" t="n">
        <v>4</v>
      </c>
      <c r="U29" s="35" t="n">
        <v>1</v>
      </c>
      <c r="V29" s="35" t="n">
        <v>4</v>
      </c>
      <c r="W29" s="35" t="n">
        <v>3</v>
      </c>
      <c r="X29" s="41" t="n">
        <v>2</v>
      </c>
      <c r="Y29" s="35" t="n">
        <v>3</v>
      </c>
      <c r="Z29" s="35" t="n">
        <v>3</v>
      </c>
      <c r="AA29" s="35" t="n">
        <v>4</v>
      </c>
      <c r="AB29" s="35" t="n">
        <v>3</v>
      </c>
      <c r="AC29" s="35" t="n">
        <v>1</v>
      </c>
      <c r="AD29" s="35" t="n">
        <v>3</v>
      </c>
      <c r="AE29" s="41" t="n">
        <v>4</v>
      </c>
      <c r="AF29" s="35" t="n">
        <v>2</v>
      </c>
      <c r="AG29" s="35" t="n">
        <v>4</v>
      </c>
      <c r="AH29" s="35" t="n">
        <v>3</v>
      </c>
      <c r="AI29" s="35" t="n">
        <v>1</v>
      </c>
      <c r="AJ29" s="35" t="n">
        <v>4</v>
      </c>
      <c r="AK29" s="35" t="n">
        <v>2</v>
      </c>
      <c r="AL29" s="38" t="n">
        <v>2</v>
      </c>
      <c r="AM29" s="19">
        <f t="array" ref="AM29">IF(K29=VLOOKUP(VALUE(K$1),{Questions[#],Questions[Answer]},2,FALSE),1,0)</f>
        <v/>
      </c>
      <c r="AN29" s="41">
        <f t="array" ref="AN29">IF(L29=VLOOKUP(VALUE(L$1),{Questions[#],Questions[Answer]},2,FALSE),1,0)</f>
        <v/>
      </c>
      <c r="AO29" s="41">
        <f t="array" ref="AO29">IF(M29=VLOOKUP(VALUE(M$1),{Questions[#],Questions[Answer]},2,FALSE),1,0)</f>
        <v/>
      </c>
      <c r="AP29" s="41">
        <f t="array" ref="AP29">IF(N29=VLOOKUP(VALUE(N$1),{Questions[#],Questions[Answer]},2,FALSE),1,0)</f>
        <v/>
      </c>
      <c r="AQ29" s="41">
        <f t="array" ref="AQ29">IF(O29=VLOOKUP(VALUE(O$1),{Questions[#],Questions[Answer]},2,FALSE),1,0)</f>
        <v/>
      </c>
      <c r="AR29" s="41">
        <f t="array" ref="AR29">IF(P29=VLOOKUP(VALUE(P$1),{Questions[#],Questions[Answer]},2,FALSE),1,0)</f>
        <v/>
      </c>
      <c r="AS29" s="41">
        <f t="array" ref="AS29">IF(Q29=VLOOKUP(VALUE(Q$1),{Questions[#],Questions[Answer]},2,FALSE),1,0)</f>
        <v/>
      </c>
      <c r="AT29" s="41">
        <f t="array" ref="AT29">IF(R29=VLOOKUP(VALUE(R$1),{Questions[#],Questions[Answer]},2,FALSE),1,0)</f>
        <v/>
      </c>
      <c r="AU29" s="41">
        <f t="array" ref="AU29">IF(S29=VLOOKUP(VALUE(S$1),{Questions[#],Questions[Answer]},2,FALSE),1,0)</f>
        <v/>
      </c>
      <c r="AV29" s="41">
        <f t="array" ref="AV29">IF(T29=VLOOKUP(VALUE(T$1),{Questions[#],Questions[Answer]},2,FALSE),1,0)</f>
        <v/>
      </c>
      <c r="AW29" s="41">
        <f t="array" ref="AW29">IF(U29=VLOOKUP(VALUE(U$1),{Questions[#],Questions[Answer]},2,FALSE),1,0)</f>
        <v/>
      </c>
      <c r="AX29" s="41">
        <f t="array" ref="AX29">IF(V29=VLOOKUP(VALUE(V$1),{Questions[#],Questions[Answer]},2,FALSE),1,0)</f>
        <v/>
      </c>
      <c r="AY29" s="41">
        <f t="array" ref="AY29">IF(W29=VLOOKUP(VALUE(W$1),{Questions[#],Questions[Answer]},2,FALSE),1,0)</f>
        <v/>
      </c>
      <c r="AZ29" s="41">
        <f t="array" ref="AZ29">IF(X29=VLOOKUP(VALUE(X$1),{Questions[#],Questions[Answer]},2,FALSE),1,0)</f>
        <v/>
      </c>
      <c r="BA29" s="41">
        <f t="array" ref="BA29">IF(Y29=VLOOKUP(VALUE(Y$1),{Questions[#],Questions[Answer]},2,FALSE),1,0)</f>
        <v/>
      </c>
      <c r="BB29" s="41">
        <f t="array" ref="BB29">IF(Z29=VLOOKUP(VALUE(Z$1),{Questions[#],Questions[Answer]},2,FALSE),1,0)</f>
        <v/>
      </c>
      <c r="BC29" s="41">
        <f t="array" ref="BC29">IF(AA29=VLOOKUP(VALUE(AA$1),{Questions[#],Questions[Answer]},2,FALSE),1,0)</f>
        <v/>
      </c>
      <c r="BD29" s="41">
        <f t="array" ref="BD29">IF(AB29=VLOOKUP(VALUE(AB$1),{Questions[#],Questions[Answer]},2,FALSE),1,0)</f>
        <v/>
      </c>
      <c r="BE29" s="41">
        <f t="array" ref="BE29">IF(AC29=VLOOKUP(VALUE(AC$1),{Questions[#],Questions[Answer]},2,FALSE),1,0)</f>
        <v/>
      </c>
      <c r="BF29" s="41">
        <f t="array" ref="BF29">IF(AD29=VLOOKUP(VALUE(AD$1),{Questions[#],Questions[Answer]},2,FALSE),1,0)</f>
        <v/>
      </c>
      <c r="BG29" s="41">
        <f t="array" ref="BG29">IF(AE29=VLOOKUP(VALUE(AE$1),{Questions[#],Questions[Answer]},2,FALSE),1,0)</f>
        <v/>
      </c>
      <c r="BH29" s="41">
        <f t="array" ref="BH29">IF(AF29=VLOOKUP(VALUE(AF$1),{Questions[#],Questions[Answer]},2,FALSE),1,0)</f>
        <v/>
      </c>
      <c r="BI29" s="41">
        <f t="array" ref="BI29">IF(AG29=VLOOKUP(VALUE(AG$1),{Questions[#],Questions[Answer]},2,FALSE),1,0)</f>
        <v/>
      </c>
      <c r="BJ29" s="41">
        <f t="array" ref="BJ29">IF(AH29=VLOOKUP(VALUE(AH$1),{Questions[#],Questions[Answer]},2,FALSE),1,0)</f>
        <v/>
      </c>
      <c r="BK29" s="41">
        <f t="array" ref="BK29">IF(AI29=VLOOKUP(VALUE(AI$1),{Questions[#],Questions[Answer]},2,FALSE),1,0)</f>
        <v/>
      </c>
      <c r="BL29" s="41">
        <f t="array" ref="BL29">IF(AJ29=VLOOKUP(VALUE(AJ$1),{Questions[#],Questions[Answer]},2,FALSE),1,0)</f>
        <v/>
      </c>
      <c r="BM29" s="41">
        <f t="array" ref="BM29">IF(AK29=VLOOKUP(VALUE(AK$1),{Questions[#],Questions[Answer]},2,FALSE),1,0)</f>
        <v/>
      </c>
      <c r="BN29" s="41">
        <f t="array" ref="BN29">IF(AL29=VLOOKUP(VALUE(AL$1),{Questions[#],Questions[Answer]},2,FALSE),1,0)</f>
        <v/>
      </c>
    </row>
    <row r="30" ht="22.5" customHeight="1" s="93">
      <c r="A30" s="42" t="inlineStr">
        <is>
          <t>Kovelsky</t>
        </is>
      </c>
      <c r="B30" s="41" t="n">
        <v>10</v>
      </c>
      <c r="C30" s="41" t="n">
        <v>4</v>
      </c>
      <c r="D30" s="44" t="n">
        <v>220651558</v>
      </c>
      <c r="E30" s="41" t="n"/>
      <c r="F30" s="41" t="n"/>
      <c r="G30" s="11">
        <f>SUM(AM30:BN30)</f>
        <v/>
      </c>
      <c r="H30" s="12">
        <f>G30/28</f>
        <v/>
      </c>
      <c r="I30" s="12">
        <f>0.5+(G30/54)</f>
        <v/>
      </c>
      <c r="J30" s="13">
        <f>COUNTIF(K30:AL30,"")</f>
        <v/>
      </c>
      <c r="K30" s="34" t="n">
        <v>4</v>
      </c>
      <c r="L30" s="35" t="n">
        <v>1</v>
      </c>
      <c r="M30" s="35" t="n">
        <v>2</v>
      </c>
      <c r="N30" s="35" t="n">
        <v>4</v>
      </c>
      <c r="O30" s="35" t="n">
        <v>4</v>
      </c>
      <c r="P30" s="35" t="n">
        <v>3</v>
      </c>
      <c r="Q30" s="35" t="n">
        <v>2</v>
      </c>
      <c r="R30" s="35" t="n">
        <v>3</v>
      </c>
      <c r="S30" s="35" t="n">
        <v>1</v>
      </c>
      <c r="T30" s="35" t="n">
        <v>3</v>
      </c>
      <c r="U30" s="35" t="n">
        <v>4</v>
      </c>
      <c r="V30" s="35" t="n">
        <v>2</v>
      </c>
      <c r="W30" s="35" t="n">
        <v>3</v>
      </c>
      <c r="X30" s="41" t="n">
        <v>1</v>
      </c>
      <c r="Y30" s="35" t="n">
        <v>2</v>
      </c>
      <c r="Z30" s="35" t="n">
        <v>2</v>
      </c>
      <c r="AA30" s="35" t="n">
        <v>1</v>
      </c>
      <c r="AB30" s="35" t="n">
        <v>3</v>
      </c>
      <c r="AC30" s="35" t="n">
        <v>1</v>
      </c>
      <c r="AD30" s="35" t="n">
        <v>4</v>
      </c>
      <c r="AE30" s="41" t="n">
        <v>1</v>
      </c>
      <c r="AF30" s="35" t="n">
        <v>4</v>
      </c>
      <c r="AG30" s="35" t="n">
        <v>4</v>
      </c>
      <c r="AH30" s="35" t="n">
        <v>3</v>
      </c>
      <c r="AI30" s="35" t="n">
        <v>3</v>
      </c>
      <c r="AJ30" s="35" t="n">
        <v>2</v>
      </c>
      <c r="AK30" s="35" t="n">
        <v>1</v>
      </c>
      <c r="AL30" s="38" t="n"/>
      <c r="AM30" s="19">
        <f t="array" ref="AM30">IF(K30=VLOOKUP(VALUE(K$1),{Questions[#],Questions[Answer]},2,FALSE),1,0)</f>
        <v/>
      </c>
      <c r="AN30" s="41">
        <f t="array" ref="AN30">IF(L30=VLOOKUP(VALUE(L$1),{Questions[#],Questions[Answer]},2,FALSE),1,0)</f>
        <v/>
      </c>
      <c r="AO30" s="41">
        <f t="array" ref="AO30">IF(M30=VLOOKUP(VALUE(M$1),{Questions[#],Questions[Answer]},2,FALSE),1,0)</f>
        <v/>
      </c>
      <c r="AP30" s="41">
        <f t="array" ref="AP30">IF(N30=VLOOKUP(VALUE(N$1),{Questions[#],Questions[Answer]},2,FALSE),1,0)</f>
        <v/>
      </c>
      <c r="AQ30" s="41">
        <f t="array" ref="AQ30">IF(O30=VLOOKUP(VALUE(O$1),{Questions[#],Questions[Answer]},2,FALSE),1,0)</f>
        <v/>
      </c>
      <c r="AR30" s="41">
        <f t="array" ref="AR30">IF(P30=VLOOKUP(VALUE(P$1),{Questions[#],Questions[Answer]},2,FALSE),1,0)</f>
        <v/>
      </c>
      <c r="AS30" s="41">
        <f t="array" ref="AS30">IF(Q30=VLOOKUP(VALUE(Q$1),{Questions[#],Questions[Answer]},2,FALSE),1,0)</f>
        <v/>
      </c>
      <c r="AT30" s="41">
        <f t="array" ref="AT30">IF(R30=VLOOKUP(VALUE(R$1),{Questions[#],Questions[Answer]},2,FALSE),1,0)</f>
        <v/>
      </c>
      <c r="AU30" s="41">
        <f t="array" ref="AU30">IF(S30=VLOOKUP(VALUE(S$1),{Questions[#],Questions[Answer]},2,FALSE),1,0)</f>
        <v/>
      </c>
      <c r="AV30" s="41">
        <f t="array" ref="AV30">IF(T30=VLOOKUP(VALUE(T$1),{Questions[#],Questions[Answer]},2,FALSE),1,0)</f>
        <v/>
      </c>
      <c r="AW30" s="41">
        <f t="array" ref="AW30">IF(U30=VLOOKUP(VALUE(U$1),{Questions[#],Questions[Answer]},2,FALSE),1,0)</f>
        <v/>
      </c>
      <c r="AX30" s="41">
        <f t="array" ref="AX30">IF(V30=VLOOKUP(VALUE(V$1),{Questions[#],Questions[Answer]},2,FALSE),1,0)</f>
        <v/>
      </c>
      <c r="AY30" s="41">
        <f t="array" ref="AY30">IF(W30=VLOOKUP(VALUE(W$1),{Questions[#],Questions[Answer]},2,FALSE),1,0)</f>
        <v/>
      </c>
      <c r="AZ30" s="41">
        <f t="array" ref="AZ30">IF(X30=VLOOKUP(VALUE(X$1),{Questions[#],Questions[Answer]},2,FALSE),1,0)</f>
        <v/>
      </c>
      <c r="BA30" s="41">
        <f t="array" ref="BA30">IF(Y30=VLOOKUP(VALUE(Y$1),{Questions[#],Questions[Answer]},2,FALSE),1,0)</f>
        <v/>
      </c>
      <c r="BB30" s="41">
        <f t="array" ref="BB30">IF(Z30=VLOOKUP(VALUE(Z$1),{Questions[#],Questions[Answer]},2,FALSE),1,0)</f>
        <v/>
      </c>
      <c r="BC30" s="41">
        <f t="array" ref="BC30">IF(AA30=VLOOKUP(VALUE(AA$1),{Questions[#],Questions[Answer]},2,FALSE),1,0)</f>
        <v/>
      </c>
      <c r="BD30" s="41">
        <f t="array" ref="BD30">IF(AB30=VLOOKUP(VALUE(AB$1),{Questions[#],Questions[Answer]},2,FALSE),1,0)</f>
        <v/>
      </c>
      <c r="BE30" s="41">
        <f t="array" ref="BE30">IF(AC30=VLOOKUP(VALUE(AC$1),{Questions[#],Questions[Answer]},2,FALSE),1,0)</f>
        <v/>
      </c>
      <c r="BF30" s="41">
        <f t="array" ref="BF30">IF(AD30=VLOOKUP(VALUE(AD$1),{Questions[#],Questions[Answer]},2,FALSE),1,0)</f>
        <v/>
      </c>
      <c r="BG30" s="41">
        <f t="array" ref="BG30">IF(AE30=VLOOKUP(VALUE(AE$1),{Questions[#],Questions[Answer]},2,FALSE),1,0)</f>
        <v/>
      </c>
      <c r="BH30" s="41">
        <f t="array" ref="BH30">IF(AF30=VLOOKUP(VALUE(AF$1),{Questions[#],Questions[Answer]},2,FALSE),1,0)</f>
        <v/>
      </c>
      <c r="BI30" s="41">
        <f t="array" ref="BI30">IF(AG30=VLOOKUP(VALUE(AG$1),{Questions[#],Questions[Answer]},2,FALSE),1,0)</f>
        <v/>
      </c>
      <c r="BJ30" s="41">
        <f t="array" ref="BJ30">IF(AH30=VLOOKUP(VALUE(AH$1),{Questions[#],Questions[Answer]},2,FALSE),1,0)</f>
        <v/>
      </c>
      <c r="BK30" s="41">
        <f t="array" ref="BK30">IF(AI30=VLOOKUP(VALUE(AI$1),{Questions[#],Questions[Answer]},2,FALSE),1,0)</f>
        <v/>
      </c>
      <c r="BL30" s="41">
        <f t="array" ref="BL30">IF(AJ30=VLOOKUP(VALUE(AJ$1),{Questions[#],Questions[Answer]},2,FALSE),1,0)</f>
        <v/>
      </c>
      <c r="BM30" s="41">
        <f t="array" ref="BM30">IF(AK30=VLOOKUP(VALUE(AK$1),{Questions[#],Questions[Answer]},2,FALSE),1,0)</f>
        <v/>
      </c>
      <c r="BN30" s="41">
        <f t="array" ref="BN30">IF(AL30=VLOOKUP(VALUE(AL$1),{Questions[#],Questions[Answer]},2,FALSE),1,0)</f>
        <v/>
      </c>
    </row>
    <row r="31" ht="22.5" customHeight="1" s="93">
      <c r="A31" s="42" t="inlineStr">
        <is>
          <t>Kovelsky</t>
        </is>
      </c>
      <c r="B31" s="41" t="n">
        <v>10</v>
      </c>
      <c r="C31" s="41" t="n">
        <v>4</v>
      </c>
      <c r="D31" s="44" t="n">
        <v>237323340</v>
      </c>
      <c r="E31" s="41" t="n"/>
      <c r="F31" s="41" t="n"/>
      <c r="G31" s="11">
        <f>SUM(AM31:BN31)</f>
        <v/>
      </c>
      <c r="H31" s="12">
        <f>G31/28</f>
        <v/>
      </c>
      <c r="I31" s="12">
        <f>0.5+(G31/54)</f>
        <v/>
      </c>
      <c r="J31" s="13">
        <f>COUNTIF(K31:AL31,"")</f>
        <v/>
      </c>
      <c r="K31" s="34" t="n">
        <v>1</v>
      </c>
      <c r="L31" s="35" t="n">
        <v>1</v>
      </c>
      <c r="M31" s="35" t="n">
        <v>3</v>
      </c>
      <c r="N31" s="35" t="n">
        <v>2</v>
      </c>
      <c r="O31" s="35" t="n">
        <v>3</v>
      </c>
      <c r="P31" s="35" t="n">
        <v>1</v>
      </c>
      <c r="Q31" s="35" t="n">
        <v>2</v>
      </c>
      <c r="R31" s="35" t="n">
        <v>4</v>
      </c>
      <c r="S31" s="35" t="n">
        <v>3</v>
      </c>
      <c r="T31" s="35" t="n">
        <v>4</v>
      </c>
      <c r="U31" s="35" t="n">
        <v>1</v>
      </c>
      <c r="V31" s="35" t="n">
        <v>1</v>
      </c>
      <c r="W31" s="35" t="n">
        <v>3</v>
      </c>
      <c r="X31" s="41" t="n">
        <v>4</v>
      </c>
      <c r="Y31" s="35" t="n">
        <v>1</v>
      </c>
      <c r="Z31" s="35" t="n">
        <v>2</v>
      </c>
      <c r="AA31" s="35" t="n">
        <v>1</v>
      </c>
      <c r="AB31" s="35" t="n">
        <v>3</v>
      </c>
      <c r="AC31" s="35" t="n">
        <v>3</v>
      </c>
      <c r="AD31" s="35" t="n">
        <v>4</v>
      </c>
      <c r="AE31" s="41" t="n">
        <v>4</v>
      </c>
      <c r="AF31" s="35" t="n">
        <v>2</v>
      </c>
      <c r="AG31" s="35" t="n">
        <v>3</v>
      </c>
      <c r="AH31" s="35" t="n">
        <v>3</v>
      </c>
      <c r="AI31" s="35" t="n">
        <v>2</v>
      </c>
      <c r="AJ31" s="35" t="n">
        <v>4</v>
      </c>
      <c r="AK31" s="35" t="n">
        <v>1</v>
      </c>
      <c r="AL31" s="38" t="n">
        <v>3</v>
      </c>
      <c r="AM31" s="19">
        <f t="array" ref="AM31">IF(K31=VLOOKUP(VALUE(K$1),{Questions[#],Questions[Answer]},2,FALSE),1,0)</f>
        <v/>
      </c>
      <c r="AN31" s="41">
        <f t="array" ref="AN31">IF(L31=VLOOKUP(VALUE(L$1),{Questions[#],Questions[Answer]},2,FALSE),1,0)</f>
        <v/>
      </c>
      <c r="AO31" s="41">
        <f t="array" ref="AO31">IF(M31=VLOOKUP(VALUE(M$1),{Questions[#],Questions[Answer]},2,FALSE),1,0)</f>
        <v/>
      </c>
      <c r="AP31" s="41">
        <f t="array" ref="AP31">IF(N31=VLOOKUP(VALUE(N$1),{Questions[#],Questions[Answer]},2,FALSE),1,0)</f>
        <v/>
      </c>
      <c r="AQ31" s="41">
        <f t="array" ref="AQ31">IF(O31=VLOOKUP(VALUE(O$1),{Questions[#],Questions[Answer]},2,FALSE),1,0)</f>
        <v/>
      </c>
      <c r="AR31" s="41">
        <f t="array" ref="AR31">IF(P31=VLOOKUP(VALUE(P$1),{Questions[#],Questions[Answer]},2,FALSE),1,0)</f>
        <v/>
      </c>
      <c r="AS31" s="41">
        <f t="array" ref="AS31">IF(Q31=VLOOKUP(VALUE(Q$1),{Questions[#],Questions[Answer]},2,FALSE),1,0)</f>
        <v/>
      </c>
      <c r="AT31" s="41">
        <f t="array" ref="AT31">IF(R31=VLOOKUP(VALUE(R$1),{Questions[#],Questions[Answer]},2,FALSE),1,0)</f>
        <v/>
      </c>
      <c r="AU31" s="41">
        <f t="array" ref="AU31">IF(S31=VLOOKUP(VALUE(S$1),{Questions[#],Questions[Answer]},2,FALSE),1,0)</f>
        <v/>
      </c>
      <c r="AV31" s="41">
        <f t="array" ref="AV31">IF(T31=VLOOKUP(VALUE(T$1),{Questions[#],Questions[Answer]},2,FALSE),1,0)</f>
        <v/>
      </c>
      <c r="AW31" s="41">
        <f t="array" ref="AW31">IF(U31=VLOOKUP(VALUE(U$1),{Questions[#],Questions[Answer]},2,FALSE),1,0)</f>
        <v/>
      </c>
      <c r="AX31" s="41">
        <f t="array" ref="AX31">IF(V31=VLOOKUP(VALUE(V$1),{Questions[#],Questions[Answer]},2,FALSE),1,0)</f>
        <v/>
      </c>
      <c r="AY31" s="41">
        <f t="array" ref="AY31">IF(W31=VLOOKUP(VALUE(W$1),{Questions[#],Questions[Answer]},2,FALSE),1,0)</f>
        <v/>
      </c>
      <c r="AZ31" s="41">
        <f t="array" ref="AZ31">IF(X31=VLOOKUP(VALUE(X$1),{Questions[#],Questions[Answer]},2,FALSE),1,0)</f>
        <v/>
      </c>
      <c r="BA31" s="41">
        <f t="array" ref="BA31">IF(Y31=VLOOKUP(VALUE(Y$1),{Questions[#],Questions[Answer]},2,FALSE),1,0)</f>
        <v/>
      </c>
      <c r="BB31" s="41">
        <f t="array" ref="BB31">IF(Z31=VLOOKUP(VALUE(Z$1),{Questions[#],Questions[Answer]},2,FALSE),1,0)</f>
        <v/>
      </c>
      <c r="BC31" s="41">
        <f t="array" ref="BC31">IF(AA31=VLOOKUP(VALUE(AA$1),{Questions[#],Questions[Answer]},2,FALSE),1,0)</f>
        <v/>
      </c>
      <c r="BD31" s="41">
        <f t="array" ref="BD31">IF(AB31=VLOOKUP(VALUE(AB$1),{Questions[#],Questions[Answer]},2,FALSE),1,0)</f>
        <v/>
      </c>
      <c r="BE31" s="41">
        <f t="array" ref="BE31">IF(AC31=VLOOKUP(VALUE(AC$1),{Questions[#],Questions[Answer]},2,FALSE),1,0)</f>
        <v/>
      </c>
      <c r="BF31" s="41">
        <f t="array" ref="BF31">IF(AD31=VLOOKUP(VALUE(AD$1),{Questions[#],Questions[Answer]},2,FALSE),1,0)</f>
        <v/>
      </c>
      <c r="BG31" s="41">
        <f t="array" ref="BG31">IF(AE31=VLOOKUP(VALUE(AE$1),{Questions[#],Questions[Answer]},2,FALSE),1,0)</f>
        <v/>
      </c>
      <c r="BH31" s="41">
        <f t="array" ref="BH31">IF(AF31=VLOOKUP(VALUE(AF$1),{Questions[#],Questions[Answer]},2,FALSE),1,0)</f>
        <v/>
      </c>
      <c r="BI31" s="41">
        <f t="array" ref="BI31">IF(AG31=VLOOKUP(VALUE(AG$1),{Questions[#],Questions[Answer]},2,FALSE),1,0)</f>
        <v/>
      </c>
      <c r="BJ31" s="41">
        <f t="array" ref="BJ31">IF(AH31=VLOOKUP(VALUE(AH$1),{Questions[#],Questions[Answer]},2,FALSE),1,0)</f>
        <v/>
      </c>
      <c r="BK31" s="41">
        <f t="array" ref="BK31">IF(AI31=VLOOKUP(VALUE(AI$1),{Questions[#],Questions[Answer]},2,FALSE),1,0)</f>
        <v/>
      </c>
      <c r="BL31" s="41">
        <f t="array" ref="BL31">IF(AJ31=VLOOKUP(VALUE(AJ$1),{Questions[#],Questions[Answer]},2,FALSE),1,0)</f>
        <v/>
      </c>
      <c r="BM31" s="41">
        <f t="array" ref="BM31">IF(AK31=VLOOKUP(VALUE(AK$1),{Questions[#],Questions[Answer]},2,FALSE),1,0)</f>
        <v/>
      </c>
      <c r="BN31" s="41">
        <f t="array" ref="BN31">IF(AL31=VLOOKUP(VALUE(AL$1),{Questions[#],Questions[Answer]},2,FALSE),1,0)</f>
        <v/>
      </c>
    </row>
    <row r="32" ht="22.5" customHeight="1" s="93">
      <c r="A32" s="42" t="inlineStr">
        <is>
          <t>Kovelsky</t>
        </is>
      </c>
      <c r="B32" s="41" t="n">
        <v>10</v>
      </c>
      <c r="C32" s="41" t="n">
        <v>4</v>
      </c>
      <c r="D32" s="44" t="n">
        <v>240464883</v>
      </c>
      <c r="E32" s="41" t="n"/>
      <c r="F32" s="41" t="n"/>
      <c r="G32" s="11">
        <f>SUM(AM32:BN32)</f>
        <v/>
      </c>
      <c r="H32" s="12">
        <f>G32/28</f>
        <v/>
      </c>
      <c r="I32" s="12">
        <f>0.5+(G32/54)</f>
        <v/>
      </c>
      <c r="J32" s="13">
        <f>COUNTIF(K32:AL32,"")</f>
        <v/>
      </c>
      <c r="K32" s="34" t="n">
        <v>4</v>
      </c>
      <c r="L32" s="35" t="n">
        <v>1</v>
      </c>
      <c r="M32" s="35" t="n">
        <v>3</v>
      </c>
      <c r="N32" s="35" t="n">
        <v>2</v>
      </c>
      <c r="O32" s="35" t="n">
        <v>1</v>
      </c>
      <c r="P32" s="35" t="n">
        <v>3</v>
      </c>
      <c r="Q32" s="35" t="n">
        <v>2</v>
      </c>
      <c r="R32" s="35" t="n">
        <v>1</v>
      </c>
      <c r="S32" s="35" t="n">
        <v>1</v>
      </c>
      <c r="T32" s="35" t="n">
        <v>3</v>
      </c>
      <c r="U32" s="35" t="n">
        <v>1</v>
      </c>
      <c r="V32" s="35" t="n">
        <v>4</v>
      </c>
      <c r="W32" s="35" t="n">
        <v>3</v>
      </c>
      <c r="X32" s="41" t="n">
        <v>4</v>
      </c>
      <c r="Y32" s="35" t="n">
        <v>4</v>
      </c>
      <c r="Z32" s="35" t="n">
        <v>3</v>
      </c>
      <c r="AA32" s="35" t="n">
        <v>4</v>
      </c>
      <c r="AB32" s="35" t="n">
        <v>3</v>
      </c>
      <c r="AC32" s="35" t="n">
        <v>1</v>
      </c>
      <c r="AD32" s="35" t="n">
        <v>3</v>
      </c>
      <c r="AE32" s="41" t="n">
        <v>4</v>
      </c>
      <c r="AF32" s="35" t="n">
        <v>2</v>
      </c>
      <c r="AG32" s="35" t="n">
        <v>3</v>
      </c>
      <c r="AH32" s="35" t="n">
        <v>3</v>
      </c>
      <c r="AI32" s="35" t="n">
        <v>2</v>
      </c>
      <c r="AJ32" s="35" t="n">
        <v>4</v>
      </c>
      <c r="AK32" s="35" t="n">
        <v>1</v>
      </c>
      <c r="AL32" s="38" t="n">
        <v>2</v>
      </c>
      <c r="AM32" s="19">
        <f t="array" ref="AM32">IF(K32=VLOOKUP(VALUE(K$1),{Questions[#],Questions[Answer]},2,FALSE),1,0)</f>
        <v/>
      </c>
      <c r="AN32" s="41">
        <f t="array" ref="AN32">IF(L32=VLOOKUP(VALUE(L$1),{Questions[#],Questions[Answer]},2,FALSE),1,0)</f>
        <v/>
      </c>
      <c r="AO32" s="41">
        <f t="array" ref="AO32">IF(M32=VLOOKUP(VALUE(M$1),{Questions[#],Questions[Answer]},2,FALSE),1,0)</f>
        <v/>
      </c>
      <c r="AP32" s="41">
        <f t="array" ref="AP32">IF(N32=VLOOKUP(VALUE(N$1),{Questions[#],Questions[Answer]},2,FALSE),1,0)</f>
        <v/>
      </c>
      <c r="AQ32" s="41">
        <f t="array" ref="AQ32">IF(O32=VLOOKUP(VALUE(O$1),{Questions[#],Questions[Answer]},2,FALSE),1,0)</f>
        <v/>
      </c>
      <c r="AR32" s="41">
        <f t="array" ref="AR32">IF(P32=VLOOKUP(VALUE(P$1),{Questions[#],Questions[Answer]},2,FALSE),1,0)</f>
        <v/>
      </c>
      <c r="AS32" s="41">
        <f t="array" ref="AS32">IF(Q32=VLOOKUP(VALUE(Q$1),{Questions[#],Questions[Answer]},2,FALSE),1,0)</f>
        <v/>
      </c>
      <c r="AT32" s="41">
        <f t="array" ref="AT32">IF(R32=VLOOKUP(VALUE(R$1),{Questions[#],Questions[Answer]},2,FALSE),1,0)</f>
        <v/>
      </c>
      <c r="AU32" s="41">
        <f t="array" ref="AU32">IF(S32=VLOOKUP(VALUE(S$1),{Questions[#],Questions[Answer]},2,FALSE),1,0)</f>
        <v/>
      </c>
      <c r="AV32" s="41">
        <f t="array" ref="AV32">IF(T32=VLOOKUP(VALUE(T$1),{Questions[#],Questions[Answer]},2,FALSE),1,0)</f>
        <v/>
      </c>
      <c r="AW32" s="41">
        <f t="array" ref="AW32">IF(U32=VLOOKUP(VALUE(U$1),{Questions[#],Questions[Answer]},2,FALSE),1,0)</f>
        <v/>
      </c>
      <c r="AX32" s="41">
        <f t="array" ref="AX32">IF(V32=VLOOKUP(VALUE(V$1),{Questions[#],Questions[Answer]},2,FALSE),1,0)</f>
        <v/>
      </c>
      <c r="AY32" s="41">
        <f t="array" ref="AY32">IF(W32=VLOOKUP(VALUE(W$1),{Questions[#],Questions[Answer]},2,FALSE),1,0)</f>
        <v/>
      </c>
      <c r="AZ32" s="41">
        <f t="array" ref="AZ32">IF(X32=VLOOKUP(VALUE(X$1),{Questions[#],Questions[Answer]},2,FALSE),1,0)</f>
        <v/>
      </c>
      <c r="BA32" s="41">
        <f t="array" ref="BA32">IF(Y32=VLOOKUP(VALUE(Y$1),{Questions[#],Questions[Answer]},2,FALSE),1,0)</f>
        <v/>
      </c>
      <c r="BB32" s="41">
        <f t="array" ref="BB32">IF(Z32=VLOOKUP(VALUE(Z$1),{Questions[#],Questions[Answer]},2,FALSE),1,0)</f>
        <v/>
      </c>
      <c r="BC32" s="41">
        <f t="array" ref="BC32">IF(AA32=VLOOKUP(VALUE(AA$1),{Questions[#],Questions[Answer]},2,FALSE),1,0)</f>
        <v/>
      </c>
      <c r="BD32" s="41">
        <f t="array" ref="BD32">IF(AB32=VLOOKUP(VALUE(AB$1),{Questions[#],Questions[Answer]},2,FALSE),1,0)</f>
        <v/>
      </c>
      <c r="BE32" s="41">
        <f t="array" ref="BE32">IF(AC32=VLOOKUP(VALUE(AC$1),{Questions[#],Questions[Answer]},2,FALSE),1,0)</f>
        <v/>
      </c>
      <c r="BF32" s="41">
        <f t="array" ref="BF32">IF(AD32=VLOOKUP(VALUE(AD$1),{Questions[#],Questions[Answer]},2,FALSE),1,0)</f>
        <v/>
      </c>
      <c r="BG32" s="41">
        <f t="array" ref="BG32">IF(AE32=VLOOKUP(VALUE(AE$1),{Questions[#],Questions[Answer]},2,FALSE),1,0)</f>
        <v/>
      </c>
      <c r="BH32" s="41">
        <f t="array" ref="BH32">IF(AF32=VLOOKUP(VALUE(AF$1),{Questions[#],Questions[Answer]},2,FALSE),1,0)</f>
        <v/>
      </c>
      <c r="BI32" s="41">
        <f t="array" ref="BI32">IF(AG32=VLOOKUP(VALUE(AG$1),{Questions[#],Questions[Answer]},2,FALSE),1,0)</f>
        <v/>
      </c>
      <c r="BJ32" s="41">
        <f t="array" ref="BJ32">IF(AH32=VLOOKUP(VALUE(AH$1),{Questions[#],Questions[Answer]},2,FALSE),1,0)</f>
        <v/>
      </c>
      <c r="BK32" s="41">
        <f t="array" ref="BK32">IF(AI32=VLOOKUP(VALUE(AI$1),{Questions[#],Questions[Answer]},2,FALSE),1,0)</f>
        <v/>
      </c>
      <c r="BL32" s="41">
        <f t="array" ref="BL32">IF(AJ32=VLOOKUP(VALUE(AJ$1),{Questions[#],Questions[Answer]},2,FALSE),1,0)</f>
        <v/>
      </c>
      <c r="BM32" s="41">
        <f t="array" ref="BM32">IF(AK32=VLOOKUP(VALUE(AK$1),{Questions[#],Questions[Answer]},2,FALSE),1,0)</f>
        <v/>
      </c>
      <c r="BN32" s="41">
        <f t="array" ref="BN32">IF(AL32=VLOOKUP(VALUE(AL$1),{Questions[#],Questions[Answer]},2,FALSE),1,0)</f>
        <v/>
      </c>
    </row>
    <row r="33" ht="22.5" customHeight="1" s="93">
      <c r="A33" s="42" t="inlineStr">
        <is>
          <t>Dushin</t>
        </is>
      </c>
      <c r="B33" s="41" t="n">
        <v>10</v>
      </c>
      <c r="C33" s="41" t="n">
        <v>1</v>
      </c>
      <c r="D33" s="43" t="inlineStr">
        <is>
          <t>ICHIRO AKINS</t>
        </is>
      </c>
      <c r="E33" s="41" t="n"/>
      <c r="F33" s="41" t="n"/>
      <c r="G33" s="11">
        <f>SUM(AM33:BN33)</f>
        <v/>
      </c>
      <c r="H33" s="12">
        <f>G33/28</f>
        <v/>
      </c>
      <c r="I33" s="12">
        <f>0.5+(G33/54)</f>
        <v/>
      </c>
      <c r="J33" s="13">
        <f>COUNTIF(K33:AL33,"")</f>
        <v/>
      </c>
      <c r="K33" s="34" t="n">
        <v>3</v>
      </c>
      <c r="L33" s="35" t="n">
        <v>3</v>
      </c>
      <c r="M33" s="35" t="n">
        <v>3</v>
      </c>
      <c r="N33" s="35" t="n">
        <v>2</v>
      </c>
      <c r="O33" s="35" t="n">
        <v>3</v>
      </c>
      <c r="P33" s="35" t="n">
        <v>3</v>
      </c>
      <c r="Q33" s="35" t="n">
        <v>2</v>
      </c>
      <c r="R33" s="35" t="n">
        <v>3</v>
      </c>
      <c r="S33" s="35" t="n">
        <v>1</v>
      </c>
      <c r="T33" s="35" t="n">
        <v>3</v>
      </c>
      <c r="U33" s="35" t="n">
        <v>1</v>
      </c>
      <c r="V33" s="35" t="n">
        <v>4</v>
      </c>
      <c r="W33" s="35" t="n">
        <v>2</v>
      </c>
      <c r="X33" s="41" t="n">
        <v>2</v>
      </c>
      <c r="Y33" s="35" t="n">
        <v>3</v>
      </c>
      <c r="Z33" s="35" t="n">
        <v>4</v>
      </c>
      <c r="AA33" s="35" t="n">
        <v>4</v>
      </c>
      <c r="AB33" s="35" t="n">
        <v>1</v>
      </c>
      <c r="AC33" s="35" t="n">
        <v>1</v>
      </c>
      <c r="AD33" s="35" t="n">
        <v>3</v>
      </c>
      <c r="AE33" s="41" t="n">
        <v>4</v>
      </c>
      <c r="AF33" s="35" t="n">
        <v>2</v>
      </c>
      <c r="AG33" s="35" t="n">
        <v>2</v>
      </c>
      <c r="AH33" s="35" t="n">
        <v>3</v>
      </c>
      <c r="AI33" s="35" t="n">
        <v>2</v>
      </c>
      <c r="AJ33" s="35" t="n">
        <v>4</v>
      </c>
      <c r="AK33" s="35" t="n">
        <v>1</v>
      </c>
      <c r="AL33" s="38" t="n">
        <v>3</v>
      </c>
      <c r="AM33" s="19">
        <f t="array" ref="AM33">IF(K33=VLOOKUP(VALUE(K$1),{Questions[#],Questions[Answer]},2,FALSE),1,0)</f>
        <v/>
      </c>
      <c r="AN33" s="41">
        <f t="array" ref="AN33">IF(L33=VLOOKUP(VALUE(L$1),{Questions[#],Questions[Answer]},2,FALSE),1,0)</f>
        <v/>
      </c>
      <c r="AO33" s="41">
        <f t="array" ref="AO33">IF(M33=VLOOKUP(VALUE(M$1),{Questions[#],Questions[Answer]},2,FALSE),1,0)</f>
        <v/>
      </c>
      <c r="AP33" s="41">
        <f t="array" ref="AP33">IF(N33=VLOOKUP(VALUE(N$1),{Questions[#],Questions[Answer]},2,FALSE),1,0)</f>
        <v/>
      </c>
      <c r="AQ33" s="41">
        <f t="array" ref="AQ33">IF(O33=VLOOKUP(VALUE(O$1),{Questions[#],Questions[Answer]},2,FALSE),1,0)</f>
        <v/>
      </c>
      <c r="AR33" s="41">
        <f t="array" ref="AR33">IF(P33=VLOOKUP(VALUE(P$1),{Questions[#],Questions[Answer]},2,FALSE),1,0)</f>
        <v/>
      </c>
      <c r="AS33" s="41">
        <f t="array" ref="AS33">IF(Q33=VLOOKUP(VALUE(Q$1),{Questions[#],Questions[Answer]},2,FALSE),1,0)</f>
        <v/>
      </c>
      <c r="AT33" s="41">
        <f t="array" ref="AT33">IF(R33=VLOOKUP(VALUE(R$1),{Questions[#],Questions[Answer]},2,FALSE),1,0)</f>
        <v/>
      </c>
      <c r="AU33" s="41">
        <f t="array" ref="AU33">IF(S33=VLOOKUP(VALUE(S$1),{Questions[#],Questions[Answer]},2,FALSE),1,0)</f>
        <v/>
      </c>
      <c r="AV33" s="41">
        <f t="array" ref="AV33">IF(T33=VLOOKUP(VALUE(T$1),{Questions[#],Questions[Answer]},2,FALSE),1,0)</f>
        <v/>
      </c>
      <c r="AW33" s="41">
        <f t="array" ref="AW33">IF(U33=VLOOKUP(VALUE(U$1),{Questions[#],Questions[Answer]},2,FALSE),1,0)</f>
        <v/>
      </c>
      <c r="AX33" s="41">
        <f t="array" ref="AX33">IF(V33=VLOOKUP(VALUE(V$1),{Questions[#],Questions[Answer]},2,FALSE),1,0)</f>
        <v/>
      </c>
      <c r="AY33" s="41">
        <f t="array" ref="AY33">IF(W33=VLOOKUP(VALUE(W$1),{Questions[#],Questions[Answer]},2,FALSE),1,0)</f>
        <v/>
      </c>
      <c r="AZ33" s="41">
        <f t="array" ref="AZ33">IF(X33=VLOOKUP(VALUE(X$1),{Questions[#],Questions[Answer]},2,FALSE),1,0)</f>
        <v/>
      </c>
      <c r="BA33" s="41">
        <f t="array" ref="BA33">IF(Y33=VLOOKUP(VALUE(Y$1),{Questions[#],Questions[Answer]},2,FALSE),1,0)</f>
        <v/>
      </c>
      <c r="BB33" s="41">
        <f t="array" ref="BB33">IF(Z33=VLOOKUP(VALUE(Z$1),{Questions[#],Questions[Answer]},2,FALSE),1,0)</f>
        <v/>
      </c>
      <c r="BC33" s="41">
        <f t="array" ref="BC33">IF(AA33=VLOOKUP(VALUE(AA$1),{Questions[#],Questions[Answer]},2,FALSE),1,0)</f>
        <v/>
      </c>
      <c r="BD33" s="41">
        <f t="array" ref="BD33">IF(AB33=VLOOKUP(VALUE(AB$1),{Questions[#],Questions[Answer]},2,FALSE),1,0)</f>
        <v/>
      </c>
      <c r="BE33" s="41">
        <f t="array" ref="BE33">IF(AC33=VLOOKUP(VALUE(AC$1),{Questions[#],Questions[Answer]},2,FALSE),1,0)</f>
        <v/>
      </c>
      <c r="BF33" s="41">
        <f t="array" ref="BF33">IF(AD33=VLOOKUP(VALUE(AD$1),{Questions[#],Questions[Answer]},2,FALSE),1,0)</f>
        <v/>
      </c>
      <c r="BG33" s="41">
        <f t="array" ref="BG33">IF(AE33=VLOOKUP(VALUE(AE$1),{Questions[#],Questions[Answer]},2,FALSE),1,0)</f>
        <v/>
      </c>
      <c r="BH33" s="41">
        <f t="array" ref="BH33">IF(AF33=VLOOKUP(VALUE(AF$1),{Questions[#],Questions[Answer]},2,FALSE),1,0)</f>
        <v/>
      </c>
      <c r="BI33" s="41">
        <f t="array" ref="BI33">IF(AG33=VLOOKUP(VALUE(AG$1),{Questions[#],Questions[Answer]},2,FALSE),1,0)</f>
        <v/>
      </c>
      <c r="BJ33" s="41">
        <f t="array" ref="BJ33">IF(AH33=VLOOKUP(VALUE(AH$1),{Questions[#],Questions[Answer]},2,FALSE),1,0)</f>
        <v/>
      </c>
      <c r="BK33" s="41">
        <f t="array" ref="BK33">IF(AI33=VLOOKUP(VALUE(AI$1),{Questions[#],Questions[Answer]},2,FALSE),1,0)</f>
        <v/>
      </c>
      <c r="BL33" s="41">
        <f t="array" ref="BL33">IF(AJ33=VLOOKUP(VALUE(AJ$1),{Questions[#],Questions[Answer]},2,FALSE),1,0)</f>
        <v/>
      </c>
      <c r="BM33" s="41">
        <f t="array" ref="BM33">IF(AK33=VLOOKUP(VALUE(AK$1),{Questions[#],Questions[Answer]},2,FALSE),1,0)</f>
        <v/>
      </c>
      <c r="BN33" s="41">
        <f t="array" ref="BN33">IF(AL33=VLOOKUP(VALUE(AL$1),{Questions[#],Questions[Answer]},2,FALSE),1,0)</f>
        <v/>
      </c>
    </row>
    <row r="34" ht="22.5" customHeight="1" s="93">
      <c r="A34" s="42" t="inlineStr">
        <is>
          <t>Dushin</t>
        </is>
      </c>
      <c r="B34" s="41" t="n">
        <v>10</v>
      </c>
      <c r="C34" s="41" t="n">
        <v>1</v>
      </c>
      <c r="D34" s="43" t="inlineStr">
        <is>
          <t>CHARISMA ANTON</t>
        </is>
      </c>
      <c r="E34" s="41" t="n"/>
      <c r="F34" s="41" t="n"/>
      <c r="G34" s="11">
        <f>SUM(AM34:BN34)</f>
        <v/>
      </c>
      <c r="H34" s="12">
        <f>G34/9</f>
        <v/>
      </c>
      <c r="I34" s="12">
        <f>0.5+(G34/54)</f>
        <v/>
      </c>
      <c r="J34" s="13">
        <f>COUNTIF(K34:AL34,"")</f>
        <v/>
      </c>
      <c r="K34" s="34" t="n">
        <v>4</v>
      </c>
      <c r="L34" s="35" t="n">
        <v>1</v>
      </c>
      <c r="M34" s="35" t="n">
        <v>3</v>
      </c>
      <c r="N34" s="35" t="n">
        <v>2</v>
      </c>
      <c r="O34" s="35" t="n">
        <v>4</v>
      </c>
      <c r="P34" s="35" t="n">
        <v>2</v>
      </c>
      <c r="Q34" s="35" t="n">
        <v>2</v>
      </c>
      <c r="R34" s="35" t="n">
        <v>3</v>
      </c>
      <c r="S34" s="35" t="n">
        <v>3</v>
      </c>
      <c r="T34" s="35" t="n">
        <v>4</v>
      </c>
      <c r="U34" s="35" t="n">
        <v>1</v>
      </c>
      <c r="V34" s="35" t="n">
        <v>4</v>
      </c>
      <c r="W34" s="35" t="n">
        <v>4</v>
      </c>
      <c r="X34" s="41" t="n">
        <v>2</v>
      </c>
      <c r="Y34" s="35" t="n">
        <v>4</v>
      </c>
      <c r="Z34" s="35" t="n">
        <v>3</v>
      </c>
      <c r="AA34" s="35" t="n">
        <v>4</v>
      </c>
      <c r="AB34" s="35" t="n">
        <v>3</v>
      </c>
      <c r="AC34" s="35" t="n">
        <v>1</v>
      </c>
      <c r="AD34" s="35" t="n">
        <v>3</v>
      </c>
      <c r="AE34" s="41" t="n">
        <v>4</v>
      </c>
      <c r="AF34" s="35" t="n">
        <v>2</v>
      </c>
      <c r="AG34" s="35" t="n">
        <v>4</v>
      </c>
      <c r="AH34" s="35" t="n">
        <v>3</v>
      </c>
      <c r="AI34" s="35" t="n">
        <v>2</v>
      </c>
      <c r="AJ34" s="35" t="n">
        <v>4</v>
      </c>
      <c r="AK34" s="35" t="n">
        <v>1</v>
      </c>
      <c r="AL34" s="38" t="n">
        <v>3</v>
      </c>
      <c r="AM34" s="19">
        <f t="array" ref="AM34">IF(K34=VLOOKUP(VALUE(K$1),{Questions[#],Questions[Answer]},2,FALSE),1,0)</f>
        <v/>
      </c>
      <c r="AN34" s="41">
        <f t="array" ref="AN34">IF(L34=VLOOKUP(VALUE(L$1),{Questions[#],Questions[Answer]},2,FALSE),1,0)</f>
        <v/>
      </c>
      <c r="AO34" s="41">
        <f t="array" ref="AO34">IF(M34=VLOOKUP(VALUE(M$1),{Questions[#],Questions[Answer]},2,FALSE),1,0)</f>
        <v/>
      </c>
      <c r="AP34" s="41">
        <f t="array" ref="AP34">IF(N34=VLOOKUP(VALUE(N$1),{Questions[#],Questions[Answer]},2,FALSE),1,0)</f>
        <v/>
      </c>
      <c r="AQ34" s="41">
        <f t="array" ref="AQ34">IF(O34=VLOOKUP(VALUE(O$1),{Questions[#],Questions[Answer]},2,FALSE),1,0)</f>
        <v/>
      </c>
      <c r="AR34" s="41">
        <f t="array" ref="AR34">IF(P34=VLOOKUP(VALUE(P$1),{Questions[#],Questions[Answer]},2,FALSE),1,0)</f>
        <v/>
      </c>
      <c r="AS34" s="41">
        <f t="array" ref="AS34">IF(Q34=VLOOKUP(VALUE(Q$1),{Questions[#],Questions[Answer]},2,FALSE),1,0)</f>
        <v/>
      </c>
      <c r="AT34" s="41">
        <f t="array" ref="AT34">IF(R34=VLOOKUP(VALUE(R$1),{Questions[#],Questions[Answer]},2,FALSE),1,0)</f>
        <v/>
      </c>
      <c r="AU34" s="41">
        <f t="array" ref="AU34">IF(S34=VLOOKUP(VALUE(S$1),{Questions[#],Questions[Answer]},2,FALSE),1,0)</f>
        <v/>
      </c>
      <c r="AV34" s="41">
        <f t="array" ref="AV34">IF(T34=VLOOKUP(VALUE(T$1),{Questions[#],Questions[Answer]},2,FALSE),1,0)</f>
        <v/>
      </c>
      <c r="AW34" s="41">
        <f t="array" ref="AW34">IF(U34=VLOOKUP(VALUE(U$1),{Questions[#],Questions[Answer]},2,FALSE),1,0)</f>
        <v/>
      </c>
      <c r="AX34" s="41">
        <f t="array" ref="AX34">IF(V34=VLOOKUP(VALUE(V$1),{Questions[#],Questions[Answer]},2,FALSE),1,0)</f>
        <v/>
      </c>
      <c r="AY34" s="41">
        <f t="array" ref="AY34">IF(W34=VLOOKUP(VALUE(W$1),{Questions[#],Questions[Answer]},2,FALSE),1,0)</f>
        <v/>
      </c>
      <c r="AZ34" s="41">
        <f t="array" ref="AZ34">IF(X34=VLOOKUP(VALUE(X$1),{Questions[#],Questions[Answer]},2,FALSE),1,0)</f>
        <v/>
      </c>
      <c r="BA34" s="41">
        <f t="array" ref="BA34">IF(Y34=VLOOKUP(VALUE(Y$1),{Questions[#],Questions[Answer]},2,FALSE),1,0)</f>
        <v/>
      </c>
      <c r="BB34" s="41">
        <f t="array" ref="BB34">IF(Z34=VLOOKUP(VALUE(Z$1),{Questions[#],Questions[Answer]},2,FALSE),1,0)</f>
        <v/>
      </c>
      <c r="BC34" s="41">
        <f t="array" ref="BC34">IF(AA34=VLOOKUP(VALUE(AA$1),{Questions[#],Questions[Answer]},2,FALSE),1,0)</f>
        <v/>
      </c>
      <c r="BD34" s="41">
        <f t="array" ref="BD34">IF(AB34=VLOOKUP(VALUE(AB$1),{Questions[#],Questions[Answer]},2,FALSE),1,0)</f>
        <v/>
      </c>
      <c r="BE34" s="41">
        <f t="array" ref="BE34">IF(AC34=VLOOKUP(VALUE(AC$1),{Questions[#],Questions[Answer]},2,FALSE),1,0)</f>
        <v/>
      </c>
      <c r="BF34" s="41">
        <f t="array" ref="BF34">IF(AD34=VLOOKUP(VALUE(AD$1),{Questions[#],Questions[Answer]},2,FALSE),1,0)</f>
        <v/>
      </c>
      <c r="BG34" s="41">
        <f t="array" ref="BG34">IF(AE34=VLOOKUP(VALUE(AE$1),{Questions[#],Questions[Answer]},2,FALSE),1,0)</f>
        <v/>
      </c>
      <c r="BH34" s="41">
        <f t="array" ref="BH34">IF(AF34=VLOOKUP(VALUE(AF$1),{Questions[#],Questions[Answer]},2,FALSE),1,0)</f>
        <v/>
      </c>
      <c r="BI34" s="41">
        <f t="array" ref="BI34">IF(AG34=VLOOKUP(VALUE(AG$1),{Questions[#],Questions[Answer]},2,FALSE),1,0)</f>
        <v/>
      </c>
      <c r="BJ34" s="41">
        <f t="array" ref="BJ34">IF(AH34=VLOOKUP(VALUE(AH$1),{Questions[#],Questions[Answer]},2,FALSE),1,0)</f>
        <v/>
      </c>
      <c r="BK34" s="41">
        <f t="array" ref="BK34">IF(AI34=VLOOKUP(VALUE(AI$1),{Questions[#],Questions[Answer]},2,FALSE),1,0)</f>
        <v/>
      </c>
      <c r="BL34" s="41">
        <f t="array" ref="BL34">IF(AJ34=VLOOKUP(VALUE(AJ$1),{Questions[#],Questions[Answer]},2,FALSE),1,0)</f>
        <v/>
      </c>
      <c r="BM34" s="41">
        <f t="array" ref="BM34">IF(AK34=VLOOKUP(VALUE(AK$1),{Questions[#],Questions[Answer]},2,FALSE),1,0)</f>
        <v/>
      </c>
      <c r="BN34" s="41">
        <f t="array" ref="BN34">IF(AL34=VLOOKUP(VALUE(AL$1),{Questions[#],Questions[Answer]},2,FALSE),1,0)</f>
        <v/>
      </c>
    </row>
    <row r="35" ht="22.5" customHeight="1" s="93">
      <c r="A35" s="42" t="inlineStr">
        <is>
          <t>Dushin</t>
        </is>
      </c>
      <c r="B35" s="41" t="n">
        <v>10</v>
      </c>
      <c r="C35" s="41" t="n">
        <v>1</v>
      </c>
      <c r="D35" s="43" t="inlineStr">
        <is>
          <t>SHERESE CABRESE</t>
        </is>
      </c>
      <c r="E35" s="41" t="n"/>
      <c r="F35" s="41" t="n"/>
      <c r="G35" s="11">
        <f>SUM(AM35:BN35)</f>
        <v/>
      </c>
      <c r="H35" s="12">
        <f>G35/9</f>
        <v/>
      </c>
      <c r="I35" s="12">
        <f>0.5+(G35/54)</f>
        <v/>
      </c>
      <c r="J35" s="13">
        <f>COUNTIF(K35:AL35,"")</f>
        <v/>
      </c>
      <c r="K35" s="34" t="n">
        <v>4</v>
      </c>
      <c r="L35" s="35" t="n">
        <v>4</v>
      </c>
      <c r="M35" s="35" t="n">
        <v>1</v>
      </c>
      <c r="N35" s="35" t="n">
        <v>1</v>
      </c>
      <c r="O35" s="35" t="n">
        <v>2</v>
      </c>
      <c r="P35" s="35" t="n"/>
      <c r="Q35" s="35" t="n">
        <v>2</v>
      </c>
      <c r="R35" s="35" t="n">
        <v>3</v>
      </c>
      <c r="S35" s="35" t="n">
        <v>3</v>
      </c>
      <c r="T35" s="35" t="n">
        <v>4</v>
      </c>
      <c r="U35" s="35" t="n">
        <v>1</v>
      </c>
      <c r="V35" s="35" t="n">
        <v>2</v>
      </c>
      <c r="W35" s="35" t="n">
        <v>1</v>
      </c>
      <c r="X35" s="41" t="n">
        <v>2</v>
      </c>
      <c r="Y35" s="35" t="n"/>
      <c r="Z35" s="35" t="n">
        <v>4</v>
      </c>
      <c r="AA35" s="35" t="n"/>
      <c r="AB35" s="35" t="n"/>
      <c r="AC35" s="35" t="n"/>
      <c r="AD35" s="35" t="n"/>
      <c r="AE35" s="41" t="n"/>
      <c r="AF35" s="35" t="n"/>
      <c r="AG35" s="35" t="n"/>
      <c r="AH35" s="35" t="n"/>
      <c r="AI35" s="35" t="n"/>
      <c r="AJ35" s="35" t="n"/>
      <c r="AK35" s="35" t="n"/>
      <c r="AL35" s="38" t="n"/>
      <c r="AM35" s="19">
        <f t="array" ref="AM35">IF(K35=VLOOKUP(VALUE(K$1),{Questions[#],Questions[Answer]},2,FALSE),1,0)</f>
        <v/>
      </c>
      <c r="AN35" s="41">
        <f t="array" ref="AN35">IF(L35=VLOOKUP(VALUE(L$1),{Questions[#],Questions[Answer]},2,FALSE),1,0)</f>
        <v/>
      </c>
      <c r="AO35" s="41">
        <f t="array" ref="AO35">IF(M35=VLOOKUP(VALUE(M$1),{Questions[#],Questions[Answer]},2,FALSE),1,0)</f>
        <v/>
      </c>
      <c r="AP35" s="41">
        <f t="array" ref="AP35">IF(N35=VLOOKUP(VALUE(N$1),{Questions[#],Questions[Answer]},2,FALSE),1,0)</f>
        <v/>
      </c>
      <c r="AQ35" s="41">
        <f t="array" ref="AQ35">IF(O35=VLOOKUP(VALUE(O$1),{Questions[#],Questions[Answer]},2,FALSE),1,0)</f>
        <v/>
      </c>
      <c r="AR35" s="41">
        <f t="array" ref="AR35">IF(P35=VLOOKUP(VALUE(P$1),{Questions[#],Questions[Answer]},2,FALSE),1,0)</f>
        <v/>
      </c>
      <c r="AS35" s="41">
        <f t="array" ref="AS35">IF(Q35=VLOOKUP(VALUE(Q$1),{Questions[#],Questions[Answer]},2,FALSE),1,0)</f>
        <v/>
      </c>
      <c r="AT35" s="41">
        <f t="array" ref="AT35">IF(R35=VLOOKUP(VALUE(R$1),{Questions[#],Questions[Answer]},2,FALSE),1,0)</f>
        <v/>
      </c>
      <c r="AU35" s="41">
        <f t="array" ref="AU35">IF(S35=VLOOKUP(VALUE(S$1),{Questions[#],Questions[Answer]},2,FALSE),1,0)</f>
        <v/>
      </c>
      <c r="AV35" s="41">
        <f t="array" ref="AV35">IF(T35=VLOOKUP(VALUE(T$1),{Questions[#],Questions[Answer]},2,FALSE),1,0)</f>
        <v/>
      </c>
      <c r="AW35" s="41">
        <f t="array" ref="AW35">IF(U35=VLOOKUP(VALUE(U$1),{Questions[#],Questions[Answer]},2,FALSE),1,0)</f>
        <v/>
      </c>
      <c r="AX35" s="41">
        <f t="array" ref="AX35">IF(V35=VLOOKUP(VALUE(V$1),{Questions[#],Questions[Answer]},2,FALSE),1,0)</f>
        <v/>
      </c>
      <c r="AY35" s="41">
        <f t="array" ref="AY35">IF(W35=VLOOKUP(VALUE(W$1),{Questions[#],Questions[Answer]},2,FALSE),1,0)</f>
        <v/>
      </c>
      <c r="AZ35" s="41">
        <f t="array" ref="AZ35">IF(X35=VLOOKUP(VALUE(X$1),{Questions[#],Questions[Answer]},2,FALSE),1,0)</f>
        <v/>
      </c>
      <c r="BA35" s="41">
        <f t="array" ref="BA35">IF(Y35=VLOOKUP(VALUE(Y$1),{Questions[#],Questions[Answer]},2,FALSE),1,0)</f>
        <v/>
      </c>
      <c r="BB35" s="41">
        <f t="array" ref="BB35">IF(Z35=VLOOKUP(VALUE(Z$1),{Questions[#],Questions[Answer]},2,FALSE),1,0)</f>
        <v/>
      </c>
      <c r="BC35" s="41">
        <f t="array" ref="BC35">IF(AA35=VLOOKUP(VALUE(AA$1),{Questions[#],Questions[Answer]},2,FALSE),1,0)</f>
        <v/>
      </c>
      <c r="BD35" s="41">
        <f t="array" ref="BD35">IF(AB35=VLOOKUP(VALUE(AB$1),{Questions[#],Questions[Answer]},2,FALSE),1,0)</f>
        <v/>
      </c>
      <c r="BE35" s="41">
        <f t="array" ref="BE35">IF(AC35=VLOOKUP(VALUE(AC$1),{Questions[#],Questions[Answer]},2,FALSE),1,0)</f>
        <v/>
      </c>
      <c r="BF35" s="41">
        <f t="array" ref="BF35">IF(AD35=VLOOKUP(VALUE(AD$1),{Questions[#],Questions[Answer]},2,FALSE),1,0)</f>
        <v/>
      </c>
      <c r="BG35" s="41">
        <f t="array" ref="BG35">IF(AE35=VLOOKUP(VALUE(AE$1),{Questions[#],Questions[Answer]},2,FALSE),1,0)</f>
        <v/>
      </c>
      <c r="BH35" s="41">
        <f t="array" ref="BH35">IF(AF35=VLOOKUP(VALUE(AF$1),{Questions[#],Questions[Answer]},2,FALSE),1,0)</f>
        <v/>
      </c>
      <c r="BI35" s="41">
        <f t="array" ref="BI35">IF(AG35=VLOOKUP(VALUE(AG$1),{Questions[#],Questions[Answer]},2,FALSE),1,0)</f>
        <v/>
      </c>
      <c r="BJ35" s="41">
        <f t="array" ref="BJ35">IF(AH35=VLOOKUP(VALUE(AH$1),{Questions[#],Questions[Answer]},2,FALSE),1,0)</f>
        <v/>
      </c>
      <c r="BK35" s="41">
        <f t="array" ref="BK35">IF(AI35=VLOOKUP(VALUE(AI$1),{Questions[#],Questions[Answer]},2,FALSE),1,0)</f>
        <v/>
      </c>
      <c r="BL35" s="41">
        <f t="array" ref="BL35">IF(AJ35=VLOOKUP(VALUE(AJ$1),{Questions[#],Questions[Answer]},2,FALSE),1,0)</f>
        <v/>
      </c>
      <c r="BM35" s="41">
        <f t="array" ref="BM35">IF(AK35=VLOOKUP(VALUE(AK$1),{Questions[#],Questions[Answer]},2,FALSE),1,0)</f>
        <v/>
      </c>
      <c r="BN35" s="41">
        <f t="array" ref="BN35">IF(AL35=VLOOKUP(VALUE(AL$1),{Questions[#],Questions[Answer]},2,FALSE),1,0)</f>
        <v/>
      </c>
    </row>
    <row r="36" ht="22.5" customHeight="1" s="93">
      <c r="A36" s="42" t="inlineStr">
        <is>
          <t>Dushin</t>
        </is>
      </c>
      <c r="B36" s="41" t="n">
        <v>10</v>
      </c>
      <c r="C36" s="41" t="n">
        <v>1</v>
      </c>
      <c r="D36" s="43" t="inlineStr">
        <is>
          <t>NIKO CHANDLER</t>
        </is>
      </c>
      <c r="E36" s="41" t="n"/>
      <c r="F36" s="41" t="n"/>
      <c r="G36" s="11">
        <f>SUM(AM36:BN36)</f>
        <v/>
      </c>
      <c r="H36" s="12">
        <f>G36/9</f>
        <v/>
      </c>
      <c r="I36" s="12">
        <f>0.5+(G36/54)</f>
        <v/>
      </c>
      <c r="J36" s="13">
        <f>COUNTIF(K36:AL36,"")</f>
        <v/>
      </c>
      <c r="K36" s="34" t="n">
        <v>4</v>
      </c>
      <c r="L36" s="35" t="n">
        <v>3</v>
      </c>
      <c r="M36" s="35" t="n">
        <v>3</v>
      </c>
      <c r="N36" s="35" t="n">
        <v>2</v>
      </c>
      <c r="O36" s="35" t="n">
        <v>1</v>
      </c>
      <c r="P36" s="35" t="n">
        <v>2</v>
      </c>
      <c r="Q36" s="35" t="n">
        <v>4</v>
      </c>
      <c r="R36" s="35" t="n">
        <v>3</v>
      </c>
      <c r="S36" s="35" t="n">
        <v>1</v>
      </c>
      <c r="T36" s="35" t="n">
        <v>4</v>
      </c>
      <c r="U36" s="35" t="n">
        <v>1</v>
      </c>
      <c r="V36" s="35" t="n">
        <v>4</v>
      </c>
      <c r="W36" s="35" t="n">
        <v>3</v>
      </c>
      <c r="X36" s="41" t="n">
        <v>2</v>
      </c>
      <c r="Y36" s="35" t="n">
        <v>4</v>
      </c>
      <c r="Z36" s="35" t="n">
        <v>3</v>
      </c>
      <c r="AA36" s="35" t="n">
        <v>4</v>
      </c>
      <c r="AB36" s="35" t="n">
        <v>3</v>
      </c>
      <c r="AC36" s="35" t="n">
        <v>1</v>
      </c>
      <c r="AD36" s="35" t="n">
        <v>3</v>
      </c>
      <c r="AE36" s="41" t="n">
        <v>2</v>
      </c>
      <c r="AF36" s="35" t="n">
        <v>1</v>
      </c>
      <c r="AG36" s="35" t="n">
        <v>2</v>
      </c>
      <c r="AH36" s="35" t="n">
        <v>1</v>
      </c>
      <c r="AI36" s="35" t="n">
        <v>2</v>
      </c>
      <c r="AJ36" s="35" t="n">
        <v>4</v>
      </c>
      <c r="AK36" s="35" t="n">
        <v>2</v>
      </c>
      <c r="AL36" s="38" t="n">
        <v>3</v>
      </c>
      <c r="AM36" s="19">
        <f t="array" ref="AM36">IF(K36=VLOOKUP(VALUE(K$1),{Questions[#],Questions[Answer]},2,FALSE),1,0)</f>
        <v/>
      </c>
      <c r="AN36" s="41">
        <f t="array" ref="AN36">IF(L36=VLOOKUP(VALUE(L$1),{Questions[#],Questions[Answer]},2,FALSE),1,0)</f>
        <v/>
      </c>
      <c r="AO36" s="41">
        <f t="array" ref="AO36">IF(M36=VLOOKUP(VALUE(M$1),{Questions[#],Questions[Answer]},2,FALSE),1,0)</f>
        <v/>
      </c>
      <c r="AP36" s="41">
        <f t="array" ref="AP36">IF(N36=VLOOKUP(VALUE(N$1),{Questions[#],Questions[Answer]},2,FALSE),1,0)</f>
        <v/>
      </c>
      <c r="AQ36" s="41">
        <f t="array" ref="AQ36">IF(O36=VLOOKUP(VALUE(O$1),{Questions[#],Questions[Answer]},2,FALSE),1,0)</f>
        <v/>
      </c>
      <c r="AR36" s="41">
        <f t="array" ref="AR36">IF(P36=VLOOKUP(VALUE(P$1),{Questions[#],Questions[Answer]},2,FALSE),1,0)</f>
        <v/>
      </c>
      <c r="AS36" s="41">
        <f t="array" ref="AS36">IF(Q36=VLOOKUP(VALUE(Q$1),{Questions[#],Questions[Answer]},2,FALSE),1,0)</f>
        <v/>
      </c>
      <c r="AT36" s="41">
        <f t="array" ref="AT36">IF(R36=VLOOKUP(VALUE(R$1),{Questions[#],Questions[Answer]},2,FALSE),1,0)</f>
        <v/>
      </c>
      <c r="AU36" s="41">
        <f t="array" ref="AU36">IF(S36=VLOOKUP(VALUE(S$1),{Questions[#],Questions[Answer]},2,FALSE),1,0)</f>
        <v/>
      </c>
      <c r="AV36" s="41">
        <f t="array" ref="AV36">IF(T36=VLOOKUP(VALUE(T$1),{Questions[#],Questions[Answer]},2,FALSE),1,0)</f>
        <v/>
      </c>
      <c r="AW36" s="41">
        <f t="array" ref="AW36">IF(U36=VLOOKUP(VALUE(U$1),{Questions[#],Questions[Answer]},2,FALSE),1,0)</f>
        <v/>
      </c>
      <c r="AX36" s="41">
        <f t="array" ref="AX36">IF(V36=VLOOKUP(VALUE(V$1),{Questions[#],Questions[Answer]},2,FALSE),1,0)</f>
        <v/>
      </c>
      <c r="AY36" s="41">
        <f t="array" ref="AY36">IF(W36=VLOOKUP(VALUE(W$1),{Questions[#],Questions[Answer]},2,FALSE),1,0)</f>
        <v/>
      </c>
      <c r="AZ36" s="41">
        <f t="array" ref="AZ36">IF(X36=VLOOKUP(VALUE(X$1),{Questions[#],Questions[Answer]},2,FALSE),1,0)</f>
        <v/>
      </c>
      <c r="BA36" s="41">
        <f t="array" ref="BA36">IF(Y36=VLOOKUP(VALUE(Y$1),{Questions[#],Questions[Answer]},2,FALSE),1,0)</f>
        <v/>
      </c>
      <c r="BB36" s="41">
        <f t="array" ref="BB36">IF(Z36=VLOOKUP(VALUE(Z$1),{Questions[#],Questions[Answer]},2,FALSE),1,0)</f>
        <v/>
      </c>
      <c r="BC36" s="41">
        <f t="array" ref="BC36">IF(AA36=VLOOKUP(VALUE(AA$1),{Questions[#],Questions[Answer]},2,FALSE),1,0)</f>
        <v/>
      </c>
      <c r="BD36" s="41">
        <f t="array" ref="BD36">IF(AB36=VLOOKUP(VALUE(AB$1),{Questions[#],Questions[Answer]},2,FALSE),1,0)</f>
        <v/>
      </c>
      <c r="BE36" s="41">
        <f t="array" ref="BE36">IF(AC36=VLOOKUP(VALUE(AC$1),{Questions[#],Questions[Answer]},2,FALSE),1,0)</f>
        <v/>
      </c>
      <c r="BF36" s="41">
        <f t="array" ref="BF36">IF(AD36=VLOOKUP(VALUE(AD$1),{Questions[#],Questions[Answer]},2,FALSE),1,0)</f>
        <v/>
      </c>
      <c r="BG36" s="41">
        <f t="array" ref="BG36">IF(AE36=VLOOKUP(VALUE(AE$1),{Questions[#],Questions[Answer]},2,FALSE),1,0)</f>
        <v/>
      </c>
      <c r="BH36" s="41">
        <f t="array" ref="BH36">IF(AF36=VLOOKUP(VALUE(AF$1),{Questions[#],Questions[Answer]},2,FALSE),1,0)</f>
        <v/>
      </c>
      <c r="BI36" s="41">
        <f t="array" ref="BI36">IF(AG36=VLOOKUP(VALUE(AG$1),{Questions[#],Questions[Answer]},2,FALSE),1,0)</f>
        <v/>
      </c>
      <c r="BJ36" s="41">
        <f t="array" ref="BJ36">IF(AH36=VLOOKUP(VALUE(AH$1),{Questions[#],Questions[Answer]},2,FALSE),1,0)</f>
        <v/>
      </c>
      <c r="BK36" s="41">
        <f t="array" ref="BK36">IF(AI36=VLOOKUP(VALUE(AI$1),{Questions[#],Questions[Answer]},2,FALSE),1,0)</f>
        <v/>
      </c>
      <c r="BL36" s="41">
        <f t="array" ref="BL36">IF(AJ36=VLOOKUP(VALUE(AJ$1),{Questions[#],Questions[Answer]},2,FALSE),1,0)</f>
        <v/>
      </c>
      <c r="BM36" s="41">
        <f t="array" ref="BM36">IF(AK36=VLOOKUP(VALUE(AK$1),{Questions[#],Questions[Answer]},2,FALSE),1,0)</f>
        <v/>
      </c>
      <c r="BN36" s="41">
        <f t="array" ref="BN36">IF(AL36=VLOOKUP(VALUE(AL$1),{Questions[#],Questions[Answer]},2,FALSE),1,0)</f>
        <v/>
      </c>
    </row>
    <row r="37" ht="22.5" customHeight="1" s="93">
      <c r="A37" s="42" t="inlineStr">
        <is>
          <t>Dushin</t>
        </is>
      </c>
      <c r="B37" s="41" t="n">
        <v>10</v>
      </c>
      <c r="C37" s="41" t="n">
        <v>1</v>
      </c>
      <c r="D37" s="43" t="inlineStr">
        <is>
          <t>KENDEL DALTON</t>
        </is>
      </c>
      <c r="E37" s="41" t="n"/>
      <c r="F37" s="41" t="n"/>
      <c r="G37" s="11">
        <f>SUM(AM37:BN37)</f>
        <v/>
      </c>
      <c r="H37" s="12">
        <f>G37/9</f>
        <v/>
      </c>
      <c r="I37" s="12">
        <f>0.5+(G37/54)</f>
        <v/>
      </c>
      <c r="J37" s="13">
        <f>COUNTIF(K37:AL37,"")</f>
        <v/>
      </c>
      <c r="K37" s="34" t="n">
        <v>4</v>
      </c>
      <c r="L37" s="35" t="n">
        <v>1</v>
      </c>
      <c r="M37" s="35" t="n">
        <v>3</v>
      </c>
      <c r="N37" s="35" t="n">
        <v>1</v>
      </c>
      <c r="O37" s="35" t="n">
        <v>2</v>
      </c>
      <c r="P37" s="35" t="n">
        <v>1</v>
      </c>
      <c r="Q37" s="35" t="n">
        <v>2</v>
      </c>
      <c r="R37" s="35" t="n">
        <v>3</v>
      </c>
      <c r="S37" s="35" t="n">
        <v>1</v>
      </c>
      <c r="T37" s="35" t="n">
        <v>4</v>
      </c>
      <c r="U37" s="35" t="n">
        <v>1</v>
      </c>
      <c r="V37" s="35" t="n">
        <v>4</v>
      </c>
      <c r="W37" s="35" t="n">
        <v>2</v>
      </c>
      <c r="X37" s="41" t="n">
        <v>2</v>
      </c>
      <c r="Y37" s="35" t="n">
        <v>4</v>
      </c>
      <c r="Z37" s="35" t="n">
        <v>3</v>
      </c>
      <c r="AA37" s="35" t="n"/>
      <c r="AB37" s="35" t="n"/>
      <c r="AC37" s="35" t="n">
        <v>1</v>
      </c>
      <c r="AD37" s="35" t="n">
        <v>3</v>
      </c>
      <c r="AE37" s="41" t="n"/>
      <c r="AF37" s="35" t="n"/>
      <c r="AG37" s="35" t="n"/>
      <c r="AH37" s="35" t="n"/>
      <c r="AI37" s="35" t="n"/>
      <c r="AJ37" s="35" t="n"/>
      <c r="AK37" s="35" t="n"/>
      <c r="AL37" s="38" t="n"/>
      <c r="AM37" s="19">
        <f t="array" ref="AM37">IF(K37=VLOOKUP(VALUE(K$1),{Questions[#],Questions[Answer]},2,FALSE),1,0)</f>
        <v/>
      </c>
      <c r="AN37" s="41">
        <f t="array" ref="AN37">IF(L37=VLOOKUP(VALUE(L$1),{Questions[#],Questions[Answer]},2,FALSE),1,0)</f>
        <v/>
      </c>
      <c r="AO37" s="41">
        <f t="array" ref="AO37">IF(M37=VLOOKUP(VALUE(M$1),{Questions[#],Questions[Answer]},2,FALSE),1,0)</f>
        <v/>
      </c>
      <c r="AP37" s="41">
        <f t="array" ref="AP37">IF(N37=VLOOKUP(VALUE(N$1),{Questions[#],Questions[Answer]},2,FALSE),1,0)</f>
        <v/>
      </c>
      <c r="AQ37" s="41">
        <f t="array" ref="AQ37">IF(O37=VLOOKUP(VALUE(O$1),{Questions[#],Questions[Answer]},2,FALSE),1,0)</f>
        <v/>
      </c>
      <c r="AR37" s="41">
        <f t="array" ref="AR37">IF(P37=VLOOKUP(VALUE(P$1),{Questions[#],Questions[Answer]},2,FALSE),1,0)</f>
        <v/>
      </c>
      <c r="AS37" s="41">
        <f t="array" ref="AS37">IF(Q37=VLOOKUP(VALUE(Q$1),{Questions[#],Questions[Answer]},2,FALSE),1,0)</f>
        <v/>
      </c>
      <c r="AT37" s="41">
        <f t="array" ref="AT37">IF(R37=VLOOKUP(VALUE(R$1),{Questions[#],Questions[Answer]},2,FALSE),1,0)</f>
        <v/>
      </c>
      <c r="AU37" s="41">
        <f t="array" ref="AU37">IF(S37=VLOOKUP(VALUE(S$1),{Questions[#],Questions[Answer]},2,FALSE),1,0)</f>
        <v/>
      </c>
      <c r="AV37" s="41">
        <f t="array" ref="AV37">IF(T37=VLOOKUP(VALUE(T$1),{Questions[#],Questions[Answer]},2,FALSE),1,0)</f>
        <v/>
      </c>
      <c r="AW37" s="41">
        <f t="array" ref="AW37">IF(U37=VLOOKUP(VALUE(U$1),{Questions[#],Questions[Answer]},2,FALSE),1,0)</f>
        <v/>
      </c>
      <c r="AX37" s="41">
        <f t="array" ref="AX37">IF(V37=VLOOKUP(VALUE(V$1),{Questions[#],Questions[Answer]},2,FALSE),1,0)</f>
        <v/>
      </c>
      <c r="AY37" s="41">
        <f t="array" ref="AY37">IF(W37=VLOOKUP(VALUE(W$1),{Questions[#],Questions[Answer]},2,FALSE),1,0)</f>
        <v/>
      </c>
      <c r="AZ37" s="41">
        <f t="array" ref="AZ37">IF(X37=VLOOKUP(VALUE(X$1),{Questions[#],Questions[Answer]},2,FALSE),1,0)</f>
        <v/>
      </c>
      <c r="BA37" s="41">
        <f t="array" ref="BA37">IF(Y37=VLOOKUP(VALUE(Y$1),{Questions[#],Questions[Answer]},2,FALSE),1,0)</f>
        <v/>
      </c>
      <c r="BB37" s="41">
        <f t="array" ref="BB37">IF(Z37=VLOOKUP(VALUE(Z$1),{Questions[#],Questions[Answer]},2,FALSE),1,0)</f>
        <v/>
      </c>
      <c r="BC37" s="41">
        <f t="array" ref="BC37">IF(AA37=VLOOKUP(VALUE(AA$1),{Questions[#],Questions[Answer]},2,FALSE),1,0)</f>
        <v/>
      </c>
      <c r="BD37" s="41">
        <f t="array" ref="BD37">IF(AB37=VLOOKUP(VALUE(AB$1),{Questions[#],Questions[Answer]},2,FALSE),1,0)</f>
        <v/>
      </c>
      <c r="BE37" s="41">
        <f t="array" ref="BE37">IF(AC37=VLOOKUP(VALUE(AC$1),{Questions[#],Questions[Answer]},2,FALSE),1,0)</f>
        <v/>
      </c>
      <c r="BF37" s="41">
        <f t="array" ref="BF37">IF(AD37=VLOOKUP(VALUE(AD$1),{Questions[#],Questions[Answer]},2,FALSE),1,0)</f>
        <v/>
      </c>
      <c r="BG37" s="41">
        <f t="array" ref="BG37">IF(AE37=VLOOKUP(VALUE(AE$1),{Questions[#],Questions[Answer]},2,FALSE),1,0)</f>
        <v/>
      </c>
      <c r="BH37" s="41">
        <f t="array" ref="BH37">IF(AF37=VLOOKUP(VALUE(AF$1),{Questions[#],Questions[Answer]},2,FALSE),1,0)</f>
        <v/>
      </c>
      <c r="BI37" s="41">
        <f t="array" ref="BI37">IF(AG37=VLOOKUP(VALUE(AG$1),{Questions[#],Questions[Answer]},2,FALSE),1,0)</f>
        <v/>
      </c>
      <c r="BJ37" s="41">
        <f t="array" ref="BJ37">IF(AH37=VLOOKUP(VALUE(AH$1),{Questions[#],Questions[Answer]},2,FALSE),1,0)</f>
        <v/>
      </c>
      <c r="BK37" s="41">
        <f t="array" ref="BK37">IF(AI37=VLOOKUP(VALUE(AI$1),{Questions[#],Questions[Answer]},2,FALSE),1,0)</f>
        <v/>
      </c>
      <c r="BL37" s="41">
        <f t="array" ref="BL37">IF(AJ37=VLOOKUP(VALUE(AJ$1),{Questions[#],Questions[Answer]},2,FALSE),1,0)</f>
        <v/>
      </c>
      <c r="BM37" s="41">
        <f t="array" ref="BM37">IF(AK37=VLOOKUP(VALUE(AK$1),{Questions[#],Questions[Answer]},2,FALSE),1,0)</f>
        <v/>
      </c>
      <c r="BN37" s="41">
        <f t="array" ref="BN37">IF(AL37=VLOOKUP(VALUE(AL$1),{Questions[#],Questions[Answer]},2,FALSE),1,0)</f>
        <v/>
      </c>
    </row>
    <row r="38" ht="22.5" customHeight="1" s="93">
      <c r="A38" s="42" t="inlineStr">
        <is>
          <t>Dushin</t>
        </is>
      </c>
      <c r="B38" s="41" t="n">
        <v>10</v>
      </c>
      <c r="C38" s="41" t="n">
        <v>1</v>
      </c>
      <c r="D38" s="43" t="inlineStr">
        <is>
          <t>RYAN DOUZE</t>
        </is>
      </c>
      <c r="E38" s="41" t="n"/>
      <c r="F38" s="41" t="n"/>
      <c r="G38" s="11">
        <f>SUM(AM38:BN38)</f>
        <v/>
      </c>
      <c r="H38" s="12">
        <f>G38/9</f>
        <v/>
      </c>
      <c r="I38" s="12">
        <f>0.5+(G38/54)</f>
        <v/>
      </c>
      <c r="J38" s="13">
        <f>COUNTIF(K38:AL38,"")</f>
        <v/>
      </c>
      <c r="K38" s="34" t="n">
        <v>4</v>
      </c>
      <c r="L38" s="35" t="n">
        <v>1</v>
      </c>
      <c r="M38" s="35" t="n">
        <v>3</v>
      </c>
      <c r="N38" s="35" t="n">
        <v>2</v>
      </c>
      <c r="O38" s="35" t="n">
        <v>1</v>
      </c>
      <c r="P38" s="35" t="n">
        <v>1</v>
      </c>
      <c r="Q38" s="35" t="n">
        <v>4</v>
      </c>
      <c r="R38" s="35" t="n">
        <v>3</v>
      </c>
      <c r="S38" s="35" t="n">
        <v>1</v>
      </c>
      <c r="T38" s="35" t="n">
        <v>3</v>
      </c>
      <c r="U38" s="35" t="n">
        <v>1</v>
      </c>
      <c r="V38" s="35" t="n">
        <v>4</v>
      </c>
      <c r="W38" s="35" t="n">
        <v>3</v>
      </c>
      <c r="X38" s="41" t="n">
        <v>4</v>
      </c>
      <c r="Y38" s="35" t="n">
        <v>4</v>
      </c>
      <c r="Z38" s="35" t="n">
        <v>3</v>
      </c>
      <c r="AA38" s="35" t="n">
        <v>4</v>
      </c>
      <c r="AB38" s="35" t="n">
        <v>3</v>
      </c>
      <c r="AC38" s="35" t="n">
        <v>1</v>
      </c>
      <c r="AD38" s="35" t="n">
        <v>3</v>
      </c>
      <c r="AE38" s="41" t="n">
        <v>4</v>
      </c>
      <c r="AF38" s="35" t="n">
        <v>2</v>
      </c>
      <c r="AG38" s="35" t="n">
        <v>4</v>
      </c>
      <c r="AH38" s="35" t="n">
        <v>1</v>
      </c>
      <c r="AI38" s="35" t="n">
        <v>3</v>
      </c>
      <c r="AJ38" s="35" t="n">
        <v>4</v>
      </c>
      <c r="AK38" s="35" t="n">
        <v>1</v>
      </c>
      <c r="AL38" s="38" t="n">
        <v>2</v>
      </c>
      <c r="AM38" s="19">
        <f t="array" ref="AM38">IF(K38=VLOOKUP(VALUE(K$1),{Questions[#],Questions[Answer]},2,FALSE),1,0)</f>
        <v/>
      </c>
      <c r="AN38" s="41">
        <f t="array" ref="AN38">IF(L38=VLOOKUP(VALUE(L$1),{Questions[#],Questions[Answer]},2,FALSE),1,0)</f>
        <v/>
      </c>
      <c r="AO38" s="41">
        <f t="array" ref="AO38">IF(M38=VLOOKUP(VALUE(M$1),{Questions[#],Questions[Answer]},2,FALSE),1,0)</f>
        <v/>
      </c>
      <c r="AP38" s="41">
        <f t="array" ref="AP38">IF(N38=VLOOKUP(VALUE(N$1),{Questions[#],Questions[Answer]},2,FALSE),1,0)</f>
        <v/>
      </c>
      <c r="AQ38" s="41">
        <f t="array" ref="AQ38">IF(O38=VLOOKUP(VALUE(O$1),{Questions[#],Questions[Answer]},2,FALSE),1,0)</f>
        <v/>
      </c>
      <c r="AR38" s="41">
        <f t="array" ref="AR38">IF(P38=VLOOKUP(VALUE(P$1),{Questions[#],Questions[Answer]},2,FALSE),1,0)</f>
        <v/>
      </c>
      <c r="AS38" s="41">
        <f t="array" ref="AS38">IF(Q38=VLOOKUP(VALUE(Q$1),{Questions[#],Questions[Answer]},2,FALSE),1,0)</f>
        <v/>
      </c>
      <c r="AT38" s="41">
        <f t="array" ref="AT38">IF(R38=VLOOKUP(VALUE(R$1),{Questions[#],Questions[Answer]},2,FALSE),1,0)</f>
        <v/>
      </c>
      <c r="AU38" s="41">
        <f t="array" ref="AU38">IF(S38=VLOOKUP(VALUE(S$1),{Questions[#],Questions[Answer]},2,FALSE),1,0)</f>
        <v/>
      </c>
      <c r="AV38" s="41">
        <f t="array" ref="AV38">IF(T38=VLOOKUP(VALUE(T$1),{Questions[#],Questions[Answer]},2,FALSE),1,0)</f>
        <v/>
      </c>
      <c r="AW38" s="41">
        <f t="array" ref="AW38">IF(U38=VLOOKUP(VALUE(U$1),{Questions[#],Questions[Answer]},2,FALSE),1,0)</f>
        <v/>
      </c>
      <c r="AX38" s="41">
        <f t="array" ref="AX38">IF(V38=VLOOKUP(VALUE(V$1),{Questions[#],Questions[Answer]},2,FALSE),1,0)</f>
        <v/>
      </c>
      <c r="AY38" s="41">
        <f t="array" ref="AY38">IF(W38=VLOOKUP(VALUE(W$1),{Questions[#],Questions[Answer]},2,FALSE),1,0)</f>
        <v/>
      </c>
      <c r="AZ38" s="41">
        <f t="array" ref="AZ38">IF(X38=VLOOKUP(VALUE(X$1),{Questions[#],Questions[Answer]},2,FALSE),1,0)</f>
        <v/>
      </c>
      <c r="BA38" s="41">
        <f t="array" ref="BA38">IF(Y38=VLOOKUP(VALUE(Y$1),{Questions[#],Questions[Answer]},2,FALSE),1,0)</f>
        <v/>
      </c>
      <c r="BB38" s="41">
        <f t="array" ref="BB38">IF(Z38=VLOOKUP(VALUE(Z$1),{Questions[#],Questions[Answer]},2,FALSE),1,0)</f>
        <v/>
      </c>
      <c r="BC38" s="41">
        <f t="array" ref="BC38">IF(AA38=VLOOKUP(VALUE(AA$1),{Questions[#],Questions[Answer]},2,FALSE),1,0)</f>
        <v/>
      </c>
      <c r="BD38" s="41">
        <f t="array" ref="BD38">IF(AB38=VLOOKUP(VALUE(AB$1),{Questions[#],Questions[Answer]},2,FALSE),1,0)</f>
        <v/>
      </c>
      <c r="BE38" s="41">
        <f t="array" ref="BE38">IF(AC38=VLOOKUP(VALUE(AC$1),{Questions[#],Questions[Answer]},2,FALSE),1,0)</f>
        <v/>
      </c>
      <c r="BF38" s="41">
        <f t="array" ref="BF38">IF(AD38=VLOOKUP(VALUE(AD$1),{Questions[#],Questions[Answer]},2,FALSE),1,0)</f>
        <v/>
      </c>
      <c r="BG38" s="41">
        <f t="array" ref="BG38">IF(AE38=VLOOKUP(VALUE(AE$1),{Questions[#],Questions[Answer]},2,FALSE),1,0)</f>
        <v/>
      </c>
      <c r="BH38" s="41">
        <f t="array" ref="BH38">IF(AF38=VLOOKUP(VALUE(AF$1),{Questions[#],Questions[Answer]},2,FALSE),1,0)</f>
        <v/>
      </c>
      <c r="BI38" s="41">
        <f t="array" ref="BI38">IF(AG38=VLOOKUP(VALUE(AG$1),{Questions[#],Questions[Answer]},2,FALSE),1,0)</f>
        <v/>
      </c>
      <c r="BJ38" s="41">
        <f t="array" ref="BJ38">IF(AH38=VLOOKUP(VALUE(AH$1),{Questions[#],Questions[Answer]},2,FALSE),1,0)</f>
        <v/>
      </c>
      <c r="BK38" s="41">
        <f t="array" ref="BK38">IF(AI38=VLOOKUP(VALUE(AI$1),{Questions[#],Questions[Answer]},2,FALSE),1,0)</f>
        <v/>
      </c>
      <c r="BL38" s="41">
        <f t="array" ref="BL38">IF(AJ38=VLOOKUP(VALUE(AJ$1),{Questions[#],Questions[Answer]},2,FALSE),1,0)</f>
        <v/>
      </c>
      <c r="BM38" s="41">
        <f t="array" ref="BM38">IF(AK38=VLOOKUP(VALUE(AK$1),{Questions[#],Questions[Answer]},2,FALSE),1,0)</f>
        <v/>
      </c>
      <c r="BN38" s="41">
        <f t="array" ref="BN38">IF(AL38=VLOOKUP(VALUE(AL$1),{Questions[#],Questions[Answer]},2,FALSE),1,0)</f>
        <v/>
      </c>
    </row>
    <row r="39" ht="22.5" customHeight="1" s="93">
      <c r="A39" s="42" t="inlineStr">
        <is>
          <t>Dushin</t>
        </is>
      </c>
      <c r="B39" s="41" t="n">
        <v>10</v>
      </c>
      <c r="C39" s="41" t="n">
        <v>1</v>
      </c>
      <c r="D39" s="43" t="inlineStr">
        <is>
          <t>QUETZALLI GARCIA SANTIAGO</t>
        </is>
      </c>
      <c r="E39" s="41" t="n"/>
      <c r="F39" s="41" t="n"/>
      <c r="G39" s="11">
        <f>SUM(AM39:BN39)</f>
        <v/>
      </c>
      <c r="H39" s="12">
        <f>G39/9</f>
        <v/>
      </c>
      <c r="I39" s="12">
        <f>0.5+(G39/54)</f>
        <v/>
      </c>
      <c r="J39" s="13">
        <f>COUNTIF(K39:AL39,"")</f>
        <v/>
      </c>
      <c r="K39" s="34" t="n">
        <v>4</v>
      </c>
      <c r="L39" s="35" t="n">
        <v>1</v>
      </c>
      <c r="M39" s="35" t="n">
        <v>3</v>
      </c>
      <c r="N39" s="35" t="n">
        <v>2</v>
      </c>
      <c r="O39" s="35" t="n">
        <v>1</v>
      </c>
      <c r="P39" s="35" t="n">
        <v>2</v>
      </c>
      <c r="Q39" s="35" t="n">
        <v>2</v>
      </c>
      <c r="R39" s="35" t="n">
        <v>3</v>
      </c>
      <c r="S39" s="35" t="n">
        <v>1</v>
      </c>
      <c r="T39" s="35" t="n">
        <v>4</v>
      </c>
      <c r="U39" s="35" t="n">
        <v>1</v>
      </c>
      <c r="V39" s="35" t="n">
        <v>4</v>
      </c>
      <c r="W39" s="35" t="n">
        <v>2</v>
      </c>
      <c r="X39" s="41" t="n">
        <v>2</v>
      </c>
      <c r="Y39" s="35" t="n">
        <v>4</v>
      </c>
      <c r="Z39" s="35" t="n">
        <v>3</v>
      </c>
      <c r="AA39" s="35" t="n">
        <v>3</v>
      </c>
      <c r="AB39" s="35" t="n">
        <v>3</v>
      </c>
      <c r="AC39" s="35" t="n">
        <v>1</v>
      </c>
      <c r="AD39" s="35" t="n">
        <v>3</v>
      </c>
      <c r="AE39" s="41" t="n">
        <v>4</v>
      </c>
      <c r="AF39" s="35" t="n">
        <v>1</v>
      </c>
      <c r="AG39" s="35" t="n">
        <v>2</v>
      </c>
      <c r="AH39" s="35" t="n">
        <v>3</v>
      </c>
      <c r="AI39" s="35" t="n">
        <v>1</v>
      </c>
      <c r="AJ39" s="35" t="n">
        <v>4</v>
      </c>
      <c r="AK39" s="35" t="n">
        <v>2</v>
      </c>
      <c r="AL39" s="38" t="n">
        <v>2</v>
      </c>
      <c r="AM39" s="19">
        <f t="array" ref="AM39">IF(K39=VLOOKUP(VALUE(K$1),{Questions[#],Questions[Answer]},2,FALSE),1,0)</f>
        <v/>
      </c>
      <c r="AN39" s="41">
        <f t="array" ref="AN39">IF(L39=VLOOKUP(VALUE(L$1),{Questions[#],Questions[Answer]},2,FALSE),1,0)</f>
        <v/>
      </c>
      <c r="AO39" s="41">
        <f t="array" ref="AO39">IF(M39=VLOOKUP(VALUE(M$1),{Questions[#],Questions[Answer]},2,FALSE),1,0)</f>
        <v/>
      </c>
      <c r="AP39" s="41">
        <f t="array" ref="AP39">IF(N39=VLOOKUP(VALUE(N$1),{Questions[#],Questions[Answer]},2,FALSE),1,0)</f>
        <v/>
      </c>
      <c r="AQ39" s="41">
        <f t="array" ref="AQ39">IF(O39=VLOOKUP(VALUE(O$1),{Questions[#],Questions[Answer]},2,FALSE),1,0)</f>
        <v/>
      </c>
      <c r="AR39" s="41">
        <f t="array" ref="AR39">IF(P39=VLOOKUP(VALUE(P$1),{Questions[#],Questions[Answer]},2,FALSE),1,0)</f>
        <v/>
      </c>
      <c r="AS39" s="41">
        <f t="array" ref="AS39">IF(Q39=VLOOKUP(VALUE(Q$1),{Questions[#],Questions[Answer]},2,FALSE),1,0)</f>
        <v/>
      </c>
      <c r="AT39" s="41">
        <f t="array" ref="AT39">IF(R39=VLOOKUP(VALUE(R$1),{Questions[#],Questions[Answer]},2,FALSE),1,0)</f>
        <v/>
      </c>
      <c r="AU39" s="41">
        <f t="array" ref="AU39">IF(S39=VLOOKUP(VALUE(S$1),{Questions[#],Questions[Answer]},2,FALSE),1,0)</f>
        <v/>
      </c>
      <c r="AV39" s="41">
        <f t="array" ref="AV39">IF(T39=VLOOKUP(VALUE(T$1),{Questions[#],Questions[Answer]},2,FALSE),1,0)</f>
        <v/>
      </c>
      <c r="AW39" s="41">
        <f t="array" ref="AW39">IF(U39=VLOOKUP(VALUE(U$1),{Questions[#],Questions[Answer]},2,FALSE),1,0)</f>
        <v/>
      </c>
      <c r="AX39" s="41">
        <f t="array" ref="AX39">IF(V39=VLOOKUP(VALUE(V$1),{Questions[#],Questions[Answer]},2,FALSE),1,0)</f>
        <v/>
      </c>
      <c r="AY39" s="41">
        <f t="array" ref="AY39">IF(W39=VLOOKUP(VALUE(W$1),{Questions[#],Questions[Answer]},2,FALSE),1,0)</f>
        <v/>
      </c>
      <c r="AZ39" s="41">
        <f t="array" ref="AZ39">IF(X39=VLOOKUP(VALUE(X$1),{Questions[#],Questions[Answer]},2,FALSE),1,0)</f>
        <v/>
      </c>
      <c r="BA39" s="41">
        <f t="array" ref="BA39">IF(Y39=VLOOKUP(VALUE(Y$1),{Questions[#],Questions[Answer]},2,FALSE),1,0)</f>
        <v/>
      </c>
      <c r="BB39" s="41">
        <f t="array" ref="BB39">IF(Z39=VLOOKUP(VALUE(Z$1),{Questions[#],Questions[Answer]},2,FALSE),1,0)</f>
        <v/>
      </c>
      <c r="BC39" s="41">
        <f t="array" ref="BC39">IF(AA39=VLOOKUP(VALUE(AA$1),{Questions[#],Questions[Answer]},2,FALSE),1,0)</f>
        <v/>
      </c>
      <c r="BD39" s="41">
        <f t="array" ref="BD39">IF(AB39=VLOOKUP(VALUE(AB$1),{Questions[#],Questions[Answer]},2,FALSE),1,0)</f>
        <v/>
      </c>
      <c r="BE39" s="41">
        <f t="array" ref="BE39">IF(AC39=VLOOKUP(VALUE(AC$1),{Questions[#],Questions[Answer]},2,FALSE),1,0)</f>
        <v/>
      </c>
      <c r="BF39" s="41">
        <f t="array" ref="BF39">IF(AD39=VLOOKUP(VALUE(AD$1),{Questions[#],Questions[Answer]},2,FALSE),1,0)</f>
        <v/>
      </c>
      <c r="BG39" s="41">
        <f t="array" ref="BG39">IF(AE39=VLOOKUP(VALUE(AE$1),{Questions[#],Questions[Answer]},2,FALSE),1,0)</f>
        <v/>
      </c>
      <c r="BH39" s="41">
        <f t="array" ref="BH39">IF(AF39=VLOOKUP(VALUE(AF$1),{Questions[#],Questions[Answer]},2,FALSE),1,0)</f>
        <v/>
      </c>
      <c r="BI39" s="41">
        <f t="array" ref="BI39">IF(AG39=VLOOKUP(VALUE(AG$1),{Questions[#],Questions[Answer]},2,FALSE),1,0)</f>
        <v/>
      </c>
      <c r="BJ39" s="41">
        <f t="array" ref="BJ39">IF(AH39=VLOOKUP(VALUE(AH$1),{Questions[#],Questions[Answer]},2,FALSE),1,0)</f>
        <v/>
      </c>
      <c r="BK39" s="41">
        <f t="array" ref="BK39">IF(AI39=VLOOKUP(VALUE(AI$1),{Questions[#],Questions[Answer]},2,FALSE),1,0)</f>
        <v/>
      </c>
      <c r="BL39" s="41">
        <f t="array" ref="BL39">IF(AJ39=VLOOKUP(VALUE(AJ$1),{Questions[#],Questions[Answer]},2,FALSE),1,0)</f>
        <v/>
      </c>
      <c r="BM39" s="41">
        <f t="array" ref="BM39">IF(AK39=VLOOKUP(VALUE(AK$1),{Questions[#],Questions[Answer]},2,FALSE),1,0)</f>
        <v/>
      </c>
      <c r="BN39" s="41">
        <f t="array" ref="BN39">IF(AL39=VLOOKUP(VALUE(AL$1),{Questions[#],Questions[Answer]},2,FALSE),1,0)</f>
        <v/>
      </c>
    </row>
    <row r="40" ht="22.5" customHeight="1" s="93">
      <c r="A40" s="42" t="inlineStr">
        <is>
          <t>Dushin</t>
        </is>
      </c>
      <c r="B40" s="41" t="n">
        <v>10</v>
      </c>
      <c r="C40" s="41" t="n">
        <v>1</v>
      </c>
      <c r="D40" s="43" t="inlineStr">
        <is>
          <t>NORA LEE-RAGIN</t>
        </is>
      </c>
      <c r="E40" s="41" t="n"/>
      <c r="F40" s="41" t="n"/>
      <c r="G40" s="11">
        <f>SUM(AM40:BN40)</f>
        <v/>
      </c>
      <c r="H40" s="12">
        <f>G40/9</f>
        <v/>
      </c>
      <c r="I40" s="12">
        <f>0.5+(G40/54)</f>
        <v/>
      </c>
      <c r="J40" s="13">
        <f>COUNTIF(K40:AL40,"")</f>
        <v/>
      </c>
      <c r="K40" s="34" t="n">
        <v>4</v>
      </c>
      <c r="L40" s="35" t="n">
        <v>1</v>
      </c>
      <c r="M40" s="35" t="n">
        <v>3</v>
      </c>
      <c r="N40" s="35" t="n">
        <v>2</v>
      </c>
      <c r="O40" s="35" t="n">
        <v>1</v>
      </c>
      <c r="P40" s="35" t="n">
        <v>1</v>
      </c>
      <c r="Q40" s="35" t="n">
        <v>2</v>
      </c>
      <c r="R40" s="35" t="n">
        <v>4</v>
      </c>
      <c r="S40" s="35" t="n">
        <v>1</v>
      </c>
      <c r="T40" s="35" t="n">
        <v>3</v>
      </c>
      <c r="U40" s="35" t="n">
        <v>1</v>
      </c>
      <c r="V40" s="35" t="n">
        <v>4</v>
      </c>
      <c r="W40" s="35" t="n">
        <v>2</v>
      </c>
      <c r="X40" s="41" t="n">
        <v>2</v>
      </c>
      <c r="Y40" s="35" t="n">
        <v>4</v>
      </c>
      <c r="Z40" s="35" t="n">
        <v>3</v>
      </c>
      <c r="AA40" s="35" t="n">
        <v>4</v>
      </c>
      <c r="AB40" s="35" t="n">
        <v>3</v>
      </c>
      <c r="AC40" s="35" t="n">
        <v>1</v>
      </c>
      <c r="AD40" s="35" t="n">
        <v>3</v>
      </c>
      <c r="AE40" s="41" t="n">
        <v>4</v>
      </c>
      <c r="AF40" s="35" t="n">
        <v>2</v>
      </c>
      <c r="AG40" s="35" t="n">
        <v>2</v>
      </c>
      <c r="AH40" s="35" t="n">
        <v>3</v>
      </c>
      <c r="AI40" s="35" t="n">
        <v>2</v>
      </c>
      <c r="AJ40" s="35" t="n">
        <v>4</v>
      </c>
      <c r="AK40" s="35" t="n">
        <v>1</v>
      </c>
      <c r="AL40" s="38" t="n">
        <v>2</v>
      </c>
      <c r="AM40" s="19">
        <f t="array" ref="AM40">IF(K40=VLOOKUP(VALUE(K$1),{Questions[#],Questions[Answer]},2,FALSE),1,0)</f>
        <v/>
      </c>
      <c r="AN40" s="41">
        <f t="array" ref="AN40">IF(L40=VLOOKUP(VALUE(L$1),{Questions[#],Questions[Answer]},2,FALSE),1,0)</f>
        <v/>
      </c>
      <c r="AO40" s="41">
        <f t="array" ref="AO40">IF(M40=VLOOKUP(VALUE(M$1),{Questions[#],Questions[Answer]},2,FALSE),1,0)</f>
        <v/>
      </c>
      <c r="AP40" s="41">
        <f t="array" ref="AP40">IF(N40=VLOOKUP(VALUE(N$1),{Questions[#],Questions[Answer]},2,FALSE),1,0)</f>
        <v/>
      </c>
      <c r="AQ40" s="41">
        <f t="array" ref="AQ40">IF(O40=VLOOKUP(VALUE(O$1),{Questions[#],Questions[Answer]},2,FALSE),1,0)</f>
        <v/>
      </c>
      <c r="AR40" s="41">
        <f t="array" ref="AR40">IF(P40=VLOOKUP(VALUE(P$1),{Questions[#],Questions[Answer]},2,FALSE),1,0)</f>
        <v/>
      </c>
      <c r="AS40" s="41">
        <f t="array" ref="AS40">IF(Q40=VLOOKUP(VALUE(Q$1),{Questions[#],Questions[Answer]},2,FALSE),1,0)</f>
        <v/>
      </c>
      <c r="AT40" s="41">
        <f t="array" ref="AT40">IF(R40=VLOOKUP(VALUE(R$1),{Questions[#],Questions[Answer]},2,FALSE),1,0)</f>
        <v/>
      </c>
      <c r="AU40" s="41">
        <f t="array" ref="AU40">IF(S40=VLOOKUP(VALUE(S$1),{Questions[#],Questions[Answer]},2,FALSE),1,0)</f>
        <v/>
      </c>
      <c r="AV40" s="41">
        <f t="array" ref="AV40">IF(T40=VLOOKUP(VALUE(T$1),{Questions[#],Questions[Answer]},2,FALSE),1,0)</f>
        <v/>
      </c>
      <c r="AW40" s="41">
        <f t="array" ref="AW40">IF(U40=VLOOKUP(VALUE(U$1),{Questions[#],Questions[Answer]},2,FALSE),1,0)</f>
        <v/>
      </c>
      <c r="AX40" s="41">
        <f t="array" ref="AX40">IF(V40=VLOOKUP(VALUE(V$1),{Questions[#],Questions[Answer]},2,FALSE),1,0)</f>
        <v/>
      </c>
      <c r="AY40" s="41">
        <f t="array" ref="AY40">IF(W40=VLOOKUP(VALUE(W$1),{Questions[#],Questions[Answer]},2,FALSE),1,0)</f>
        <v/>
      </c>
      <c r="AZ40" s="41">
        <f t="array" ref="AZ40">IF(X40=VLOOKUP(VALUE(X$1),{Questions[#],Questions[Answer]},2,FALSE),1,0)</f>
        <v/>
      </c>
      <c r="BA40" s="41">
        <f t="array" ref="BA40">IF(Y40=VLOOKUP(VALUE(Y$1),{Questions[#],Questions[Answer]},2,FALSE),1,0)</f>
        <v/>
      </c>
      <c r="BB40" s="41">
        <f t="array" ref="BB40">IF(Z40=VLOOKUP(VALUE(Z$1),{Questions[#],Questions[Answer]},2,FALSE),1,0)</f>
        <v/>
      </c>
      <c r="BC40" s="41">
        <f t="array" ref="BC40">IF(AA40=VLOOKUP(VALUE(AA$1),{Questions[#],Questions[Answer]},2,FALSE),1,0)</f>
        <v/>
      </c>
      <c r="BD40" s="41">
        <f t="array" ref="BD40">IF(AB40=VLOOKUP(VALUE(AB$1),{Questions[#],Questions[Answer]},2,FALSE),1,0)</f>
        <v/>
      </c>
      <c r="BE40" s="41">
        <f t="array" ref="BE40">IF(AC40=VLOOKUP(VALUE(AC$1),{Questions[#],Questions[Answer]},2,FALSE),1,0)</f>
        <v/>
      </c>
      <c r="BF40" s="41">
        <f t="array" ref="BF40">IF(AD40=VLOOKUP(VALUE(AD$1),{Questions[#],Questions[Answer]},2,FALSE),1,0)</f>
        <v/>
      </c>
      <c r="BG40" s="41">
        <f t="array" ref="BG40">IF(AE40=VLOOKUP(VALUE(AE$1),{Questions[#],Questions[Answer]},2,FALSE),1,0)</f>
        <v/>
      </c>
      <c r="BH40" s="41">
        <f t="array" ref="BH40">IF(AF40=VLOOKUP(VALUE(AF$1),{Questions[#],Questions[Answer]},2,FALSE),1,0)</f>
        <v/>
      </c>
      <c r="BI40" s="41">
        <f t="array" ref="BI40">IF(AG40=VLOOKUP(VALUE(AG$1),{Questions[#],Questions[Answer]},2,FALSE),1,0)</f>
        <v/>
      </c>
      <c r="BJ40" s="41">
        <f t="array" ref="BJ40">IF(AH40=VLOOKUP(VALUE(AH$1),{Questions[#],Questions[Answer]},2,FALSE),1,0)</f>
        <v/>
      </c>
      <c r="BK40" s="41">
        <f t="array" ref="BK40">IF(AI40=VLOOKUP(VALUE(AI$1),{Questions[#],Questions[Answer]},2,FALSE),1,0)</f>
        <v/>
      </c>
      <c r="BL40" s="41">
        <f t="array" ref="BL40">IF(AJ40=VLOOKUP(VALUE(AJ$1),{Questions[#],Questions[Answer]},2,FALSE),1,0)</f>
        <v/>
      </c>
      <c r="BM40" s="41">
        <f t="array" ref="BM40">IF(AK40=VLOOKUP(VALUE(AK$1),{Questions[#],Questions[Answer]},2,FALSE),1,0)</f>
        <v/>
      </c>
      <c r="BN40" s="41">
        <f t="array" ref="BN40">IF(AL40=VLOOKUP(VALUE(AL$1),{Questions[#],Questions[Answer]},2,FALSE),1,0)</f>
        <v/>
      </c>
    </row>
    <row r="41" ht="22.5" customHeight="1" s="93">
      <c r="A41" s="42" t="inlineStr">
        <is>
          <t>Dushin</t>
        </is>
      </c>
      <c r="B41" s="41" t="n">
        <v>10</v>
      </c>
      <c r="C41" s="41" t="n">
        <v>1</v>
      </c>
      <c r="D41" s="43" t="inlineStr">
        <is>
          <t>GABRIELA MORALES-CUAYAHUITL</t>
        </is>
      </c>
      <c r="E41" s="41" t="n"/>
      <c r="F41" s="41" t="n"/>
      <c r="G41" s="11">
        <f>SUM(AM41:BN41)</f>
        <v/>
      </c>
      <c r="H41" s="12">
        <f>G41/9</f>
        <v/>
      </c>
      <c r="I41" s="12">
        <f>0.5+(G41/54)</f>
        <v/>
      </c>
      <c r="J41" s="13">
        <f>COUNTIF(K41:AL41,"")</f>
        <v/>
      </c>
      <c r="K41" s="34" t="n">
        <v>4</v>
      </c>
      <c r="L41" s="35" t="n">
        <v>1</v>
      </c>
      <c r="M41" s="35" t="n">
        <v>3</v>
      </c>
      <c r="N41" s="35" t="n">
        <v>2</v>
      </c>
      <c r="O41" s="35" t="n">
        <v>4</v>
      </c>
      <c r="P41" s="35" t="n">
        <v>4</v>
      </c>
      <c r="Q41" s="35" t="n">
        <v>2</v>
      </c>
      <c r="R41" s="35" t="n">
        <v>2</v>
      </c>
      <c r="S41" s="35" t="n">
        <v>1</v>
      </c>
      <c r="T41" s="35" t="n">
        <v>4</v>
      </c>
      <c r="U41" s="35" t="n">
        <v>1</v>
      </c>
      <c r="V41" s="35" t="n">
        <v>3</v>
      </c>
      <c r="W41" s="35" t="n">
        <v>3</v>
      </c>
      <c r="X41" s="41" t="n">
        <v>2</v>
      </c>
      <c r="Y41" s="35" t="n">
        <v>3</v>
      </c>
      <c r="Z41" s="35" t="n">
        <v>3</v>
      </c>
      <c r="AA41" s="35" t="n">
        <v>4</v>
      </c>
      <c r="AB41" s="35" t="n">
        <v>2</v>
      </c>
      <c r="AC41" s="35" t="n">
        <v>3</v>
      </c>
      <c r="AD41" s="35" t="n">
        <v>3</v>
      </c>
      <c r="AE41" s="41" t="n">
        <v>2</v>
      </c>
      <c r="AF41" s="35" t="n">
        <v>2</v>
      </c>
      <c r="AG41" s="35" t="n">
        <v>2</v>
      </c>
      <c r="AH41" s="35" t="n">
        <v>3</v>
      </c>
      <c r="AI41" s="35" t="n">
        <v>3</v>
      </c>
      <c r="AJ41" s="35" t="n">
        <v>4</v>
      </c>
      <c r="AK41" s="35" t="n">
        <v>2</v>
      </c>
      <c r="AL41" s="38" t="n">
        <v>4</v>
      </c>
      <c r="AM41" s="19">
        <f t="array" ref="AM41">IF(K41=VLOOKUP(VALUE(K$1),{Questions[#],Questions[Answer]},2,FALSE),1,0)</f>
        <v/>
      </c>
      <c r="AN41" s="41">
        <f t="array" ref="AN41">IF(L41=VLOOKUP(VALUE(L$1),{Questions[#],Questions[Answer]},2,FALSE),1,0)</f>
        <v/>
      </c>
      <c r="AO41" s="41">
        <f t="array" ref="AO41">IF(M41=VLOOKUP(VALUE(M$1),{Questions[#],Questions[Answer]},2,FALSE),1,0)</f>
        <v/>
      </c>
      <c r="AP41" s="41">
        <f t="array" ref="AP41">IF(N41=VLOOKUP(VALUE(N$1),{Questions[#],Questions[Answer]},2,FALSE),1,0)</f>
        <v/>
      </c>
      <c r="AQ41" s="41">
        <f t="array" ref="AQ41">IF(O41=VLOOKUP(VALUE(O$1),{Questions[#],Questions[Answer]},2,FALSE),1,0)</f>
        <v/>
      </c>
      <c r="AR41" s="41">
        <f t="array" ref="AR41">IF(P41=VLOOKUP(VALUE(P$1),{Questions[#],Questions[Answer]},2,FALSE),1,0)</f>
        <v/>
      </c>
      <c r="AS41" s="41">
        <f t="array" ref="AS41">IF(Q41=VLOOKUP(VALUE(Q$1),{Questions[#],Questions[Answer]},2,FALSE),1,0)</f>
        <v/>
      </c>
      <c r="AT41" s="41">
        <f t="array" ref="AT41">IF(R41=VLOOKUP(VALUE(R$1),{Questions[#],Questions[Answer]},2,FALSE),1,0)</f>
        <v/>
      </c>
      <c r="AU41" s="41">
        <f t="array" ref="AU41">IF(S41=VLOOKUP(VALUE(S$1),{Questions[#],Questions[Answer]},2,FALSE),1,0)</f>
        <v/>
      </c>
      <c r="AV41" s="41">
        <f t="array" ref="AV41">IF(T41=VLOOKUP(VALUE(T$1),{Questions[#],Questions[Answer]},2,FALSE),1,0)</f>
        <v/>
      </c>
      <c r="AW41" s="41">
        <f t="array" ref="AW41">IF(U41=VLOOKUP(VALUE(U$1),{Questions[#],Questions[Answer]},2,FALSE),1,0)</f>
        <v/>
      </c>
      <c r="AX41" s="41">
        <f t="array" ref="AX41">IF(V41=VLOOKUP(VALUE(V$1),{Questions[#],Questions[Answer]},2,FALSE),1,0)</f>
        <v/>
      </c>
      <c r="AY41" s="41">
        <f t="array" ref="AY41">IF(W41=VLOOKUP(VALUE(W$1),{Questions[#],Questions[Answer]},2,FALSE),1,0)</f>
        <v/>
      </c>
      <c r="AZ41" s="41">
        <f t="array" ref="AZ41">IF(X41=VLOOKUP(VALUE(X$1),{Questions[#],Questions[Answer]},2,FALSE),1,0)</f>
        <v/>
      </c>
      <c r="BA41" s="41">
        <f t="array" ref="BA41">IF(Y41=VLOOKUP(VALUE(Y$1),{Questions[#],Questions[Answer]},2,FALSE),1,0)</f>
        <v/>
      </c>
      <c r="BB41" s="41">
        <f t="array" ref="BB41">IF(Z41=VLOOKUP(VALUE(Z$1),{Questions[#],Questions[Answer]},2,FALSE),1,0)</f>
        <v/>
      </c>
      <c r="BC41" s="41">
        <f t="array" ref="BC41">IF(AA41=VLOOKUP(VALUE(AA$1),{Questions[#],Questions[Answer]},2,FALSE),1,0)</f>
        <v/>
      </c>
      <c r="BD41" s="41">
        <f t="array" ref="BD41">IF(AB41=VLOOKUP(VALUE(AB$1),{Questions[#],Questions[Answer]},2,FALSE),1,0)</f>
        <v/>
      </c>
      <c r="BE41" s="41">
        <f t="array" ref="BE41">IF(AC41=VLOOKUP(VALUE(AC$1),{Questions[#],Questions[Answer]},2,FALSE),1,0)</f>
        <v/>
      </c>
      <c r="BF41" s="41">
        <f t="array" ref="BF41">IF(AD41=VLOOKUP(VALUE(AD$1),{Questions[#],Questions[Answer]},2,FALSE),1,0)</f>
        <v/>
      </c>
      <c r="BG41" s="41">
        <f t="array" ref="BG41">IF(AE41=VLOOKUP(VALUE(AE$1),{Questions[#],Questions[Answer]},2,FALSE),1,0)</f>
        <v/>
      </c>
      <c r="BH41" s="41">
        <f t="array" ref="BH41">IF(AF41=VLOOKUP(VALUE(AF$1),{Questions[#],Questions[Answer]},2,FALSE),1,0)</f>
        <v/>
      </c>
      <c r="BI41" s="41">
        <f t="array" ref="BI41">IF(AG41=VLOOKUP(VALUE(AG$1),{Questions[#],Questions[Answer]},2,FALSE),1,0)</f>
        <v/>
      </c>
      <c r="BJ41" s="41">
        <f t="array" ref="BJ41">IF(AH41=VLOOKUP(VALUE(AH$1),{Questions[#],Questions[Answer]},2,FALSE),1,0)</f>
        <v/>
      </c>
      <c r="BK41" s="41">
        <f t="array" ref="BK41">IF(AI41=VLOOKUP(VALUE(AI$1),{Questions[#],Questions[Answer]},2,FALSE),1,0)</f>
        <v/>
      </c>
      <c r="BL41" s="41">
        <f t="array" ref="BL41">IF(AJ41=VLOOKUP(VALUE(AJ$1),{Questions[#],Questions[Answer]},2,FALSE),1,0)</f>
        <v/>
      </c>
      <c r="BM41" s="41">
        <f t="array" ref="BM41">IF(AK41=VLOOKUP(VALUE(AK$1),{Questions[#],Questions[Answer]},2,FALSE),1,0)</f>
        <v/>
      </c>
      <c r="BN41" s="41">
        <f t="array" ref="BN41">IF(AL41=VLOOKUP(VALUE(AL$1),{Questions[#],Questions[Answer]},2,FALSE),1,0)</f>
        <v/>
      </c>
    </row>
    <row r="42" ht="22.5" customHeight="1" s="93">
      <c r="A42" s="42" t="inlineStr">
        <is>
          <t>Dushin</t>
        </is>
      </c>
      <c r="B42" s="41" t="n">
        <v>10</v>
      </c>
      <c r="C42" s="41" t="n">
        <v>1</v>
      </c>
      <c r="D42" s="43" t="inlineStr">
        <is>
          <t>JOSEPH NARVAEZ</t>
        </is>
      </c>
      <c r="E42" s="41" t="n"/>
      <c r="F42" s="41" t="n"/>
      <c r="G42" s="11">
        <f>SUM(AM42:BN42)</f>
        <v/>
      </c>
      <c r="H42" s="12">
        <f>G42/9</f>
        <v/>
      </c>
      <c r="I42" s="12">
        <f>0.5+(G42/54)</f>
        <v/>
      </c>
      <c r="J42" s="13">
        <f>COUNTIF(K42:AL42,"")</f>
        <v/>
      </c>
      <c r="K42" s="34" t="n">
        <v>4</v>
      </c>
      <c r="L42" s="35" t="n">
        <v>3</v>
      </c>
      <c r="M42" s="35" t="n">
        <v>3</v>
      </c>
      <c r="N42" s="35" t="n">
        <v>2</v>
      </c>
      <c r="O42" s="35" t="n">
        <v>3</v>
      </c>
      <c r="P42" s="35" t="n">
        <v>3</v>
      </c>
      <c r="Q42" s="35" t="n">
        <v>2</v>
      </c>
      <c r="R42" s="35" t="n">
        <v>3</v>
      </c>
      <c r="S42" s="35" t="n">
        <v>1</v>
      </c>
      <c r="T42" s="35" t="n">
        <v>4</v>
      </c>
      <c r="U42" s="35" t="n">
        <v>1</v>
      </c>
      <c r="V42" s="35" t="n">
        <v>4</v>
      </c>
      <c r="W42" s="35" t="n">
        <v>2</v>
      </c>
      <c r="X42" s="41" t="n">
        <v>2</v>
      </c>
      <c r="Y42" s="35" t="n">
        <v>1</v>
      </c>
      <c r="Z42" s="35" t="n">
        <v>3</v>
      </c>
      <c r="AA42" s="35" t="n">
        <v>4</v>
      </c>
      <c r="AB42" s="35" t="n">
        <v>3</v>
      </c>
      <c r="AC42" s="35" t="n">
        <v>1</v>
      </c>
      <c r="AD42" s="35" t="n">
        <v>3</v>
      </c>
      <c r="AE42" s="41" t="n">
        <v>4</v>
      </c>
      <c r="AF42" s="35" t="n">
        <v>2</v>
      </c>
      <c r="AG42" s="35" t="n">
        <v>2</v>
      </c>
      <c r="AH42" s="35" t="n">
        <v>3</v>
      </c>
      <c r="AI42" s="35" t="n">
        <v>2</v>
      </c>
      <c r="AJ42" s="35" t="n">
        <v>4</v>
      </c>
      <c r="AK42" s="35" t="n">
        <v>3</v>
      </c>
      <c r="AL42" s="38" t="n">
        <v>1</v>
      </c>
      <c r="AM42" s="19">
        <f t="array" ref="AM42">IF(K42=VLOOKUP(VALUE(K$1),{Questions[#],Questions[Answer]},2,FALSE),1,0)</f>
        <v/>
      </c>
      <c r="AN42" s="41">
        <f t="array" ref="AN42">IF(L42=VLOOKUP(VALUE(L$1),{Questions[#],Questions[Answer]},2,FALSE),1,0)</f>
        <v/>
      </c>
      <c r="AO42" s="41">
        <f t="array" ref="AO42">IF(M42=VLOOKUP(VALUE(M$1),{Questions[#],Questions[Answer]},2,FALSE),1,0)</f>
        <v/>
      </c>
      <c r="AP42" s="41">
        <f t="array" ref="AP42">IF(N42=VLOOKUP(VALUE(N$1),{Questions[#],Questions[Answer]},2,FALSE),1,0)</f>
        <v/>
      </c>
      <c r="AQ42" s="41">
        <f t="array" ref="AQ42">IF(O42=VLOOKUP(VALUE(O$1),{Questions[#],Questions[Answer]},2,FALSE),1,0)</f>
        <v/>
      </c>
      <c r="AR42" s="41">
        <f t="array" ref="AR42">IF(P42=VLOOKUP(VALUE(P$1),{Questions[#],Questions[Answer]},2,FALSE),1,0)</f>
        <v/>
      </c>
      <c r="AS42" s="41">
        <f t="array" ref="AS42">IF(Q42=VLOOKUP(VALUE(Q$1),{Questions[#],Questions[Answer]},2,FALSE),1,0)</f>
        <v/>
      </c>
      <c r="AT42" s="41">
        <f t="array" ref="AT42">IF(R42=VLOOKUP(VALUE(R$1),{Questions[#],Questions[Answer]},2,FALSE),1,0)</f>
        <v/>
      </c>
      <c r="AU42" s="41">
        <f t="array" ref="AU42">IF(S42=VLOOKUP(VALUE(S$1),{Questions[#],Questions[Answer]},2,FALSE),1,0)</f>
        <v/>
      </c>
      <c r="AV42" s="41">
        <f t="array" ref="AV42">IF(T42=VLOOKUP(VALUE(T$1),{Questions[#],Questions[Answer]},2,FALSE),1,0)</f>
        <v/>
      </c>
      <c r="AW42" s="41">
        <f t="array" ref="AW42">IF(U42=VLOOKUP(VALUE(U$1),{Questions[#],Questions[Answer]},2,FALSE),1,0)</f>
        <v/>
      </c>
      <c r="AX42" s="41">
        <f t="array" ref="AX42">IF(V42=VLOOKUP(VALUE(V$1),{Questions[#],Questions[Answer]},2,FALSE),1,0)</f>
        <v/>
      </c>
      <c r="AY42" s="41">
        <f t="array" ref="AY42">IF(W42=VLOOKUP(VALUE(W$1),{Questions[#],Questions[Answer]},2,FALSE),1,0)</f>
        <v/>
      </c>
      <c r="AZ42" s="41">
        <f t="array" ref="AZ42">IF(X42=VLOOKUP(VALUE(X$1),{Questions[#],Questions[Answer]},2,FALSE),1,0)</f>
        <v/>
      </c>
      <c r="BA42" s="41">
        <f t="array" ref="BA42">IF(Y42=VLOOKUP(VALUE(Y$1),{Questions[#],Questions[Answer]},2,FALSE),1,0)</f>
        <v/>
      </c>
      <c r="BB42" s="41">
        <f t="array" ref="BB42">IF(Z42=VLOOKUP(VALUE(Z$1),{Questions[#],Questions[Answer]},2,FALSE),1,0)</f>
        <v/>
      </c>
      <c r="BC42" s="41">
        <f t="array" ref="BC42">IF(AA42=VLOOKUP(VALUE(AA$1),{Questions[#],Questions[Answer]},2,FALSE),1,0)</f>
        <v/>
      </c>
      <c r="BD42" s="41">
        <f t="array" ref="BD42">IF(AB42=VLOOKUP(VALUE(AB$1),{Questions[#],Questions[Answer]},2,FALSE),1,0)</f>
        <v/>
      </c>
      <c r="BE42" s="41">
        <f t="array" ref="BE42">IF(AC42=VLOOKUP(VALUE(AC$1),{Questions[#],Questions[Answer]},2,FALSE),1,0)</f>
        <v/>
      </c>
      <c r="BF42" s="41">
        <f t="array" ref="BF42">IF(AD42=VLOOKUP(VALUE(AD$1),{Questions[#],Questions[Answer]},2,FALSE),1,0)</f>
        <v/>
      </c>
      <c r="BG42" s="41">
        <f t="array" ref="BG42">IF(AE42=VLOOKUP(VALUE(AE$1),{Questions[#],Questions[Answer]},2,FALSE),1,0)</f>
        <v/>
      </c>
      <c r="BH42" s="41">
        <f t="array" ref="BH42">IF(AF42=VLOOKUP(VALUE(AF$1),{Questions[#],Questions[Answer]},2,FALSE),1,0)</f>
        <v/>
      </c>
      <c r="BI42" s="41">
        <f t="array" ref="BI42">IF(AG42=VLOOKUP(VALUE(AG$1),{Questions[#],Questions[Answer]},2,FALSE),1,0)</f>
        <v/>
      </c>
      <c r="BJ42" s="41">
        <f t="array" ref="BJ42">IF(AH42=VLOOKUP(VALUE(AH$1),{Questions[#],Questions[Answer]},2,FALSE),1,0)</f>
        <v/>
      </c>
      <c r="BK42" s="41">
        <f t="array" ref="BK42">IF(AI42=VLOOKUP(VALUE(AI$1),{Questions[#],Questions[Answer]},2,FALSE),1,0)</f>
        <v/>
      </c>
      <c r="BL42" s="41">
        <f t="array" ref="BL42">IF(AJ42=VLOOKUP(VALUE(AJ$1),{Questions[#],Questions[Answer]},2,FALSE),1,0)</f>
        <v/>
      </c>
      <c r="BM42" s="41">
        <f t="array" ref="BM42">IF(AK42=VLOOKUP(VALUE(AK$1),{Questions[#],Questions[Answer]},2,FALSE),1,0)</f>
        <v/>
      </c>
      <c r="BN42" s="41">
        <f t="array" ref="BN42">IF(AL42=VLOOKUP(VALUE(AL$1),{Questions[#],Questions[Answer]},2,FALSE),1,0)</f>
        <v/>
      </c>
    </row>
    <row r="43" ht="22.5" customHeight="1" s="93">
      <c r="A43" s="42" t="inlineStr">
        <is>
          <t>Dushin</t>
        </is>
      </c>
      <c r="B43" s="41" t="n">
        <v>10</v>
      </c>
      <c r="C43" s="41" t="n">
        <v>1</v>
      </c>
      <c r="D43" s="43" t="inlineStr">
        <is>
          <t>BRIAN NGUYEN</t>
        </is>
      </c>
      <c r="E43" s="41" t="n"/>
      <c r="F43" s="41" t="n"/>
      <c r="G43" s="11">
        <f>SUM(AM43:BN43)</f>
        <v/>
      </c>
      <c r="H43" s="12">
        <f>G43/9</f>
        <v/>
      </c>
      <c r="I43" s="12">
        <f>0.5+(G43/54)</f>
        <v/>
      </c>
      <c r="J43" s="13">
        <f>COUNTIF(K43:AL43,"")</f>
        <v/>
      </c>
      <c r="K43" s="34" t="n">
        <v>4</v>
      </c>
      <c r="L43" s="35" t="n">
        <v>1</v>
      </c>
      <c r="M43" s="35" t="n">
        <v>3</v>
      </c>
      <c r="N43" s="35" t="n">
        <v>2</v>
      </c>
      <c r="O43" s="35" t="n">
        <v>1</v>
      </c>
      <c r="P43" s="35" t="n">
        <v>3</v>
      </c>
      <c r="Q43" s="35" t="n">
        <v>1</v>
      </c>
      <c r="R43" s="35" t="n">
        <v>2</v>
      </c>
      <c r="S43" s="35" t="n">
        <v>1</v>
      </c>
      <c r="T43" s="35" t="n">
        <v>3</v>
      </c>
      <c r="U43" s="35" t="n">
        <v>1</v>
      </c>
      <c r="V43" s="35" t="n">
        <v>3</v>
      </c>
      <c r="W43" s="35" t="n">
        <v>2</v>
      </c>
      <c r="X43" s="41" t="n">
        <v>2</v>
      </c>
      <c r="Y43" s="35" t="n">
        <v>1</v>
      </c>
      <c r="Z43" s="35" t="n">
        <v>3</v>
      </c>
      <c r="AA43" s="35" t="n">
        <v>4</v>
      </c>
      <c r="AB43" s="35" t="n">
        <v>3</v>
      </c>
      <c r="AC43" s="35" t="n">
        <v>1</v>
      </c>
      <c r="AD43" s="35" t="n">
        <v>3</v>
      </c>
      <c r="AE43" s="41" t="n">
        <v>4</v>
      </c>
      <c r="AF43" s="35" t="n">
        <v>2</v>
      </c>
      <c r="AG43" s="35" t="n">
        <v>2</v>
      </c>
      <c r="AH43" s="35" t="n">
        <v>3</v>
      </c>
      <c r="AI43" s="35" t="n">
        <v>2</v>
      </c>
      <c r="AJ43" s="35" t="n">
        <v>4</v>
      </c>
      <c r="AK43" s="35" t="n"/>
      <c r="AL43" s="38" t="n"/>
      <c r="AM43" s="19">
        <f t="array" ref="AM43">IF(K43=VLOOKUP(VALUE(K$1),{Questions[#],Questions[Answer]},2,FALSE),1,0)</f>
        <v/>
      </c>
      <c r="AN43" s="41">
        <f t="array" ref="AN43">IF(L43=VLOOKUP(VALUE(L$1),{Questions[#],Questions[Answer]},2,FALSE),1,0)</f>
        <v/>
      </c>
      <c r="AO43" s="41">
        <f t="array" ref="AO43">IF(M43=VLOOKUP(VALUE(M$1),{Questions[#],Questions[Answer]},2,FALSE),1,0)</f>
        <v/>
      </c>
      <c r="AP43" s="41">
        <f t="array" ref="AP43">IF(N43=VLOOKUP(VALUE(N$1),{Questions[#],Questions[Answer]},2,FALSE),1,0)</f>
        <v/>
      </c>
      <c r="AQ43" s="41">
        <f t="array" ref="AQ43">IF(O43=VLOOKUP(VALUE(O$1),{Questions[#],Questions[Answer]},2,FALSE),1,0)</f>
        <v/>
      </c>
      <c r="AR43" s="41">
        <f t="array" ref="AR43">IF(P43=VLOOKUP(VALUE(P$1),{Questions[#],Questions[Answer]},2,FALSE),1,0)</f>
        <v/>
      </c>
      <c r="AS43" s="41">
        <f t="array" ref="AS43">IF(Q43=VLOOKUP(VALUE(Q$1),{Questions[#],Questions[Answer]},2,FALSE),1,0)</f>
        <v/>
      </c>
      <c r="AT43" s="41">
        <f t="array" ref="AT43">IF(R43=VLOOKUP(VALUE(R$1),{Questions[#],Questions[Answer]},2,FALSE),1,0)</f>
        <v/>
      </c>
      <c r="AU43" s="41">
        <f t="array" ref="AU43">IF(S43=VLOOKUP(VALUE(S$1),{Questions[#],Questions[Answer]},2,FALSE),1,0)</f>
        <v/>
      </c>
      <c r="AV43" s="41">
        <f t="array" ref="AV43">IF(T43=VLOOKUP(VALUE(T$1),{Questions[#],Questions[Answer]},2,FALSE),1,0)</f>
        <v/>
      </c>
      <c r="AW43" s="41">
        <f t="array" ref="AW43">IF(U43=VLOOKUP(VALUE(U$1),{Questions[#],Questions[Answer]},2,FALSE),1,0)</f>
        <v/>
      </c>
      <c r="AX43" s="41">
        <f t="array" ref="AX43">IF(V43=VLOOKUP(VALUE(V$1),{Questions[#],Questions[Answer]},2,FALSE),1,0)</f>
        <v/>
      </c>
      <c r="AY43" s="41">
        <f t="array" ref="AY43">IF(W43=VLOOKUP(VALUE(W$1),{Questions[#],Questions[Answer]},2,FALSE),1,0)</f>
        <v/>
      </c>
      <c r="AZ43" s="41">
        <f t="array" ref="AZ43">IF(X43=VLOOKUP(VALUE(X$1),{Questions[#],Questions[Answer]},2,FALSE),1,0)</f>
        <v/>
      </c>
      <c r="BA43" s="41">
        <f t="array" ref="BA43">IF(Y43=VLOOKUP(VALUE(Y$1),{Questions[#],Questions[Answer]},2,FALSE),1,0)</f>
        <v/>
      </c>
      <c r="BB43" s="41">
        <f t="array" ref="BB43">IF(Z43=VLOOKUP(VALUE(Z$1),{Questions[#],Questions[Answer]},2,FALSE),1,0)</f>
        <v/>
      </c>
      <c r="BC43" s="41">
        <f t="array" ref="BC43">IF(AA43=VLOOKUP(VALUE(AA$1),{Questions[#],Questions[Answer]},2,FALSE),1,0)</f>
        <v/>
      </c>
      <c r="BD43" s="41">
        <f t="array" ref="BD43">IF(AB43=VLOOKUP(VALUE(AB$1),{Questions[#],Questions[Answer]},2,FALSE),1,0)</f>
        <v/>
      </c>
      <c r="BE43" s="41">
        <f t="array" ref="BE43">IF(AC43=VLOOKUP(VALUE(AC$1),{Questions[#],Questions[Answer]},2,FALSE),1,0)</f>
        <v/>
      </c>
      <c r="BF43" s="41">
        <f t="array" ref="BF43">IF(AD43=VLOOKUP(VALUE(AD$1),{Questions[#],Questions[Answer]},2,FALSE),1,0)</f>
        <v/>
      </c>
      <c r="BG43" s="41">
        <f t="array" ref="BG43">IF(AE43=VLOOKUP(VALUE(AE$1),{Questions[#],Questions[Answer]},2,FALSE),1,0)</f>
        <v/>
      </c>
      <c r="BH43" s="41">
        <f t="array" ref="BH43">IF(AF43=VLOOKUP(VALUE(AF$1),{Questions[#],Questions[Answer]},2,FALSE),1,0)</f>
        <v/>
      </c>
      <c r="BI43" s="41">
        <f t="array" ref="BI43">IF(AG43=VLOOKUP(VALUE(AG$1),{Questions[#],Questions[Answer]},2,FALSE),1,0)</f>
        <v/>
      </c>
      <c r="BJ43" s="41">
        <f t="array" ref="BJ43">IF(AH43=VLOOKUP(VALUE(AH$1),{Questions[#],Questions[Answer]},2,FALSE),1,0)</f>
        <v/>
      </c>
      <c r="BK43" s="41">
        <f t="array" ref="BK43">IF(AI43=VLOOKUP(VALUE(AI$1),{Questions[#],Questions[Answer]},2,FALSE),1,0)</f>
        <v/>
      </c>
      <c r="BL43" s="41">
        <f t="array" ref="BL43">IF(AJ43=VLOOKUP(VALUE(AJ$1),{Questions[#],Questions[Answer]},2,FALSE),1,0)</f>
        <v/>
      </c>
      <c r="BM43" s="41">
        <f t="array" ref="BM43">IF(AK43=VLOOKUP(VALUE(AK$1),{Questions[#],Questions[Answer]},2,FALSE),1,0)</f>
        <v/>
      </c>
      <c r="BN43" s="41">
        <f t="array" ref="BN43">IF(AL43=VLOOKUP(VALUE(AL$1),{Questions[#],Questions[Answer]},2,FALSE),1,0)</f>
        <v/>
      </c>
    </row>
    <row r="44" ht="22.5" customHeight="1" s="93">
      <c r="A44" s="42" t="inlineStr">
        <is>
          <t>Dushin</t>
        </is>
      </c>
      <c r="B44" s="41" t="n">
        <v>10</v>
      </c>
      <c r="C44" s="41" t="n">
        <v>1</v>
      </c>
      <c r="D44" s="43" t="inlineStr">
        <is>
          <t>ASHLEY ROJAS</t>
        </is>
      </c>
      <c r="E44" s="41" t="n"/>
      <c r="F44" s="41" t="n"/>
      <c r="G44" s="11">
        <f>SUM(AM44:BN44)</f>
        <v/>
      </c>
      <c r="H44" s="12">
        <f>G44/9</f>
        <v/>
      </c>
      <c r="I44" s="12">
        <f>0.5+(G44/54)</f>
        <v/>
      </c>
      <c r="J44" s="13">
        <f>COUNTIF(K44:AL44,"")</f>
        <v/>
      </c>
      <c r="K44" s="34" t="n">
        <v>2</v>
      </c>
      <c r="L44" s="35" t="n">
        <v>3</v>
      </c>
      <c r="M44" s="35" t="n">
        <v>3</v>
      </c>
      <c r="N44" s="35" t="n">
        <v>2</v>
      </c>
      <c r="O44" s="35" t="n">
        <v>2</v>
      </c>
      <c r="P44" s="35" t="n">
        <v>4</v>
      </c>
      <c r="Q44" s="35" t="n">
        <v>1</v>
      </c>
      <c r="R44" s="35" t="n">
        <v>1</v>
      </c>
      <c r="S44" s="35" t="n">
        <v>3</v>
      </c>
      <c r="T44" s="35" t="n">
        <v>1</v>
      </c>
      <c r="U44" s="35" t="n">
        <v>1</v>
      </c>
      <c r="V44" s="35" t="n">
        <v>4</v>
      </c>
      <c r="W44" s="35" t="n">
        <v>1</v>
      </c>
      <c r="X44" s="41" t="n">
        <v>3</v>
      </c>
      <c r="Y44" s="35" t="n">
        <v>4</v>
      </c>
      <c r="Z44" s="35" t="n">
        <v>3</v>
      </c>
      <c r="AA44" s="35" t="n">
        <v>2</v>
      </c>
      <c r="AB44" s="35" t="n">
        <v>2</v>
      </c>
      <c r="AC44" s="35" t="n">
        <v>3</v>
      </c>
      <c r="AD44" s="35" t="n">
        <v>2</v>
      </c>
      <c r="AE44" s="41" t="n">
        <v>3</v>
      </c>
      <c r="AF44" s="35" t="n">
        <v>2</v>
      </c>
      <c r="AG44" s="35" t="n">
        <v>3</v>
      </c>
      <c r="AH44" s="35" t="n">
        <v>2</v>
      </c>
      <c r="AI44" s="35" t="n">
        <v>2</v>
      </c>
      <c r="AJ44" s="35" t="n">
        <v>3</v>
      </c>
      <c r="AK44" s="35" t="n">
        <v>2</v>
      </c>
      <c r="AL44" s="38" t="n">
        <v>3</v>
      </c>
      <c r="AM44" s="19">
        <f t="array" ref="AM44">IF(K44=VLOOKUP(VALUE(K$1),{Questions[#],Questions[Answer]},2,FALSE),1,0)</f>
        <v/>
      </c>
      <c r="AN44" s="41">
        <f t="array" ref="AN44">IF(L44=VLOOKUP(VALUE(L$1),{Questions[#],Questions[Answer]},2,FALSE),1,0)</f>
        <v/>
      </c>
      <c r="AO44" s="41">
        <f t="array" ref="AO44">IF(M44=VLOOKUP(VALUE(M$1),{Questions[#],Questions[Answer]},2,FALSE),1,0)</f>
        <v/>
      </c>
      <c r="AP44" s="41">
        <f t="array" ref="AP44">IF(N44=VLOOKUP(VALUE(N$1),{Questions[#],Questions[Answer]},2,FALSE),1,0)</f>
        <v/>
      </c>
      <c r="AQ44" s="41">
        <f t="array" ref="AQ44">IF(O44=VLOOKUP(VALUE(O$1),{Questions[#],Questions[Answer]},2,FALSE),1,0)</f>
        <v/>
      </c>
      <c r="AR44" s="41">
        <f t="array" ref="AR44">IF(P44=VLOOKUP(VALUE(P$1),{Questions[#],Questions[Answer]},2,FALSE),1,0)</f>
        <v/>
      </c>
      <c r="AS44" s="41">
        <f t="array" ref="AS44">IF(Q44=VLOOKUP(VALUE(Q$1),{Questions[#],Questions[Answer]},2,FALSE),1,0)</f>
        <v/>
      </c>
      <c r="AT44" s="41">
        <f t="array" ref="AT44">IF(R44=VLOOKUP(VALUE(R$1),{Questions[#],Questions[Answer]},2,FALSE),1,0)</f>
        <v/>
      </c>
      <c r="AU44" s="41">
        <f t="array" ref="AU44">IF(S44=VLOOKUP(VALUE(S$1),{Questions[#],Questions[Answer]},2,FALSE),1,0)</f>
        <v/>
      </c>
      <c r="AV44" s="41">
        <f t="array" ref="AV44">IF(T44=VLOOKUP(VALUE(T$1),{Questions[#],Questions[Answer]},2,FALSE),1,0)</f>
        <v/>
      </c>
      <c r="AW44" s="41">
        <f t="array" ref="AW44">IF(U44=VLOOKUP(VALUE(U$1),{Questions[#],Questions[Answer]},2,FALSE),1,0)</f>
        <v/>
      </c>
      <c r="AX44" s="41">
        <f t="array" ref="AX44">IF(V44=VLOOKUP(VALUE(V$1),{Questions[#],Questions[Answer]},2,FALSE),1,0)</f>
        <v/>
      </c>
      <c r="AY44" s="41">
        <f t="array" ref="AY44">IF(W44=VLOOKUP(VALUE(W$1),{Questions[#],Questions[Answer]},2,FALSE),1,0)</f>
        <v/>
      </c>
      <c r="AZ44" s="41">
        <f t="array" ref="AZ44">IF(X44=VLOOKUP(VALUE(X$1),{Questions[#],Questions[Answer]},2,FALSE),1,0)</f>
        <v/>
      </c>
      <c r="BA44" s="41">
        <f t="array" ref="BA44">IF(Y44=VLOOKUP(VALUE(Y$1),{Questions[#],Questions[Answer]},2,FALSE),1,0)</f>
        <v/>
      </c>
      <c r="BB44" s="41">
        <f t="array" ref="BB44">IF(Z44=VLOOKUP(VALUE(Z$1),{Questions[#],Questions[Answer]},2,FALSE),1,0)</f>
        <v/>
      </c>
      <c r="BC44" s="41">
        <f t="array" ref="BC44">IF(AA44=VLOOKUP(VALUE(AA$1),{Questions[#],Questions[Answer]},2,FALSE),1,0)</f>
        <v/>
      </c>
      <c r="BD44" s="41">
        <f t="array" ref="BD44">IF(AB44=VLOOKUP(VALUE(AB$1),{Questions[#],Questions[Answer]},2,FALSE),1,0)</f>
        <v/>
      </c>
      <c r="BE44" s="41">
        <f t="array" ref="BE44">IF(AC44=VLOOKUP(VALUE(AC$1),{Questions[#],Questions[Answer]},2,FALSE),1,0)</f>
        <v/>
      </c>
      <c r="BF44" s="41">
        <f t="array" ref="BF44">IF(AD44=VLOOKUP(VALUE(AD$1),{Questions[#],Questions[Answer]},2,FALSE),1,0)</f>
        <v/>
      </c>
      <c r="BG44" s="41">
        <f t="array" ref="BG44">IF(AE44=VLOOKUP(VALUE(AE$1),{Questions[#],Questions[Answer]},2,FALSE),1,0)</f>
        <v/>
      </c>
      <c r="BH44" s="41">
        <f t="array" ref="BH44">IF(AF44=VLOOKUP(VALUE(AF$1),{Questions[#],Questions[Answer]},2,FALSE),1,0)</f>
        <v/>
      </c>
      <c r="BI44" s="41">
        <f t="array" ref="BI44">IF(AG44=VLOOKUP(VALUE(AG$1),{Questions[#],Questions[Answer]},2,FALSE),1,0)</f>
        <v/>
      </c>
      <c r="BJ44" s="41">
        <f t="array" ref="BJ44">IF(AH44=VLOOKUP(VALUE(AH$1),{Questions[#],Questions[Answer]},2,FALSE),1,0)</f>
        <v/>
      </c>
      <c r="BK44" s="41">
        <f t="array" ref="BK44">IF(AI44=VLOOKUP(VALUE(AI$1),{Questions[#],Questions[Answer]},2,FALSE),1,0)</f>
        <v/>
      </c>
      <c r="BL44" s="41">
        <f t="array" ref="BL44">IF(AJ44=VLOOKUP(VALUE(AJ$1),{Questions[#],Questions[Answer]},2,FALSE),1,0)</f>
        <v/>
      </c>
      <c r="BM44" s="41">
        <f t="array" ref="BM44">IF(AK44=VLOOKUP(VALUE(AK$1),{Questions[#],Questions[Answer]},2,FALSE),1,0)</f>
        <v/>
      </c>
      <c r="BN44" s="41">
        <f t="array" ref="BN44">IF(AL44=VLOOKUP(VALUE(AL$1),{Questions[#],Questions[Answer]},2,FALSE),1,0)</f>
        <v/>
      </c>
    </row>
    <row r="45" ht="22.5" customHeight="1" s="93">
      <c r="A45" s="42" t="inlineStr">
        <is>
          <t>Dushin</t>
        </is>
      </c>
      <c r="B45" s="41" t="n">
        <v>10</v>
      </c>
      <c r="C45" s="41" t="n">
        <v>1</v>
      </c>
      <c r="D45" s="43" t="inlineStr">
        <is>
          <t>TATYANA PAIGE SAINT-GERARD</t>
        </is>
      </c>
      <c r="E45" s="41" t="n"/>
      <c r="F45" s="41" t="n"/>
      <c r="G45" s="11">
        <f>SUM(AM45:BN45)</f>
        <v/>
      </c>
      <c r="H45" s="12">
        <f>G45/9</f>
        <v/>
      </c>
      <c r="I45" s="12">
        <f>0.5+(G45/54)</f>
        <v/>
      </c>
      <c r="J45" s="13">
        <f>COUNTIF(K45:AL45,"")</f>
        <v/>
      </c>
      <c r="K45" s="34" t="n">
        <v>4</v>
      </c>
      <c r="L45" s="35" t="n">
        <v>1</v>
      </c>
      <c r="M45" s="35" t="n">
        <v>3</v>
      </c>
      <c r="N45" s="35" t="n">
        <v>2</v>
      </c>
      <c r="O45" s="35" t="n">
        <v>3</v>
      </c>
      <c r="P45" s="35" t="n">
        <v>2</v>
      </c>
      <c r="Q45" s="35" t="n">
        <v>2</v>
      </c>
      <c r="R45" s="35" t="n">
        <v>3</v>
      </c>
      <c r="S45" s="35" t="n">
        <v>1</v>
      </c>
      <c r="T45" s="35" t="n">
        <v>3</v>
      </c>
      <c r="U45" s="35" t="n">
        <v>1</v>
      </c>
      <c r="V45" s="35" t="n">
        <v>4</v>
      </c>
      <c r="W45" s="35" t="n">
        <v>2</v>
      </c>
      <c r="X45" s="41" t="n">
        <v>3</v>
      </c>
      <c r="Y45" s="35" t="n">
        <v>4</v>
      </c>
      <c r="Z45" s="35" t="n">
        <v>3</v>
      </c>
      <c r="AA45" s="35" t="n">
        <v>4</v>
      </c>
      <c r="AB45" s="35" t="n">
        <v>3</v>
      </c>
      <c r="AC45" s="35" t="n">
        <v>1</v>
      </c>
      <c r="AD45" s="35" t="n">
        <v>3</v>
      </c>
      <c r="AE45" s="41" t="n">
        <v>4</v>
      </c>
      <c r="AF45" s="35" t="n">
        <v>2</v>
      </c>
      <c r="AG45" s="35" t="n">
        <v>2</v>
      </c>
      <c r="AH45" s="35" t="n">
        <v>3</v>
      </c>
      <c r="AI45" s="35" t="n">
        <v>2</v>
      </c>
      <c r="AJ45" s="35" t="n">
        <v>4</v>
      </c>
      <c r="AK45" s="35" t="n">
        <v>1</v>
      </c>
      <c r="AL45" s="38" t="n">
        <v>4</v>
      </c>
      <c r="AM45" s="19">
        <f t="array" ref="AM45">IF(K45=VLOOKUP(VALUE(K$1),{Questions[#],Questions[Answer]},2,FALSE),1,0)</f>
        <v/>
      </c>
      <c r="AN45" s="41">
        <f t="array" ref="AN45">IF(L45=VLOOKUP(VALUE(L$1),{Questions[#],Questions[Answer]},2,FALSE),1,0)</f>
        <v/>
      </c>
      <c r="AO45" s="41">
        <f t="array" ref="AO45">IF(M45=VLOOKUP(VALUE(M$1),{Questions[#],Questions[Answer]},2,FALSE),1,0)</f>
        <v/>
      </c>
      <c r="AP45" s="41">
        <f t="array" ref="AP45">IF(N45=VLOOKUP(VALUE(N$1),{Questions[#],Questions[Answer]},2,FALSE),1,0)</f>
        <v/>
      </c>
      <c r="AQ45" s="41">
        <f t="array" ref="AQ45">IF(O45=VLOOKUP(VALUE(O$1),{Questions[#],Questions[Answer]},2,FALSE),1,0)</f>
        <v/>
      </c>
      <c r="AR45" s="41">
        <f t="array" ref="AR45">IF(P45=VLOOKUP(VALUE(P$1),{Questions[#],Questions[Answer]},2,FALSE),1,0)</f>
        <v/>
      </c>
      <c r="AS45" s="41">
        <f t="array" ref="AS45">IF(Q45=VLOOKUP(VALUE(Q$1),{Questions[#],Questions[Answer]},2,FALSE),1,0)</f>
        <v/>
      </c>
      <c r="AT45" s="41">
        <f t="array" ref="AT45">IF(R45=VLOOKUP(VALUE(R$1),{Questions[#],Questions[Answer]},2,FALSE),1,0)</f>
        <v/>
      </c>
      <c r="AU45" s="41">
        <f t="array" ref="AU45">IF(S45=VLOOKUP(VALUE(S$1),{Questions[#],Questions[Answer]},2,FALSE),1,0)</f>
        <v/>
      </c>
      <c r="AV45" s="41">
        <f t="array" ref="AV45">IF(T45=VLOOKUP(VALUE(T$1),{Questions[#],Questions[Answer]},2,FALSE),1,0)</f>
        <v/>
      </c>
      <c r="AW45" s="41">
        <f t="array" ref="AW45">IF(U45=VLOOKUP(VALUE(U$1),{Questions[#],Questions[Answer]},2,FALSE),1,0)</f>
        <v/>
      </c>
      <c r="AX45" s="41">
        <f t="array" ref="AX45">IF(V45=VLOOKUP(VALUE(V$1),{Questions[#],Questions[Answer]},2,FALSE),1,0)</f>
        <v/>
      </c>
      <c r="AY45" s="41">
        <f t="array" ref="AY45">IF(W45=VLOOKUP(VALUE(W$1),{Questions[#],Questions[Answer]},2,FALSE),1,0)</f>
        <v/>
      </c>
      <c r="AZ45" s="41">
        <f t="array" ref="AZ45">IF(X45=VLOOKUP(VALUE(X$1),{Questions[#],Questions[Answer]},2,FALSE),1,0)</f>
        <v/>
      </c>
      <c r="BA45" s="41">
        <f t="array" ref="BA45">IF(Y45=VLOOKUP(VALUE(Y$1),{Questions[#],Questions[Answer]},2,FALSE),1,0)</f>
        <v/>
      </c>
      <c r="BB45" s="41">
        <f t="array" ref="BB45">IF(Z45=VLOOKUP(VALUE(Z$1),{Questions[#],Questions[Answer]},2,FALSE),1,0)</f>
        <v/>
      </c>
      <c r="BC45" s="41">
        <f t="array" ref="BC45">IF(AA45=VLOOKUP(VALUE(AA$1),{Questions[#],Questions[Answer]},2,FALSE),1,0)</f>
        <v/>
      </c>
      <c r="BD45" s="41">
        <f t="array" ref="BD45">IF(AB45=VLOOKUP(VALUE(AB$1),{Questions[#],Questions[Answer]},2,FALSE),1,0)</f>
        <v/>
      </c>
      <c r="BE45" s="41">
        <f t="array" ref="BE45">IF(AC45=VLOOKUP(VALUE(AC$1),{Questions[#],Questions[Answer]},2,FALSE),1,0)</f>
        <v/>
      </c>
      <c r="BF45" s="41">
        <f t="array" ref="BF45">IF(AD45=VLOOKUP(VALUE(AD$1),{Questions[#],Questions[Answer]},2,FALSE),1,0)</f>
        <v/>
      </c>
      <c r="BG45" s="41">
        <f t="array" ref="BG45">IF(AE45=VLOOKUP(VALUE(AE$1),{Questions[#],Questions[Answer]},2,FALSE),1,0)</f>
        <v/>
      </c>
      <c r="BH45" s="41">
        <f t="array" ref="BH45">IF(AF45=VLOOKUP(VALUE(AF$1),{Questions[#],Questions[Answer]},2,FALSE),1,0)</f>
        <v/>
      </c>
      <c r="BI45" s="41">
        <f t="array" ref="BI45">IF(AG45=VLOOKUP(VALUE(AG$1),{Questions[#],Questions[Answer]},2,FALSE),1,0)</f>
        <v/>
      </c>
      <c r="BJ45" s="41">
        <f t="array" ref="BJ45">IF(AH45=VLOOKUP(VALUE(AH$1),{Questions[#],Questions[Answer]},2,FALSE),1,0)</f>
        <v/>
      </c>
      <c r="BK45" s="41">
        <f t="array" ref="BK45">IF(AI45=VLOOKUP(VALUE(AI$1),{Questions[#],Questions[Answer]},2,FALSE),1,0)</f>
        <v/>
      </c>
      <c r="BL45" s="41">
        <f t="array" ref="BL45">IF(AJ45=VLOOKUP(VALUE(AJ$1),{Questions[#],Questions[Answer]},2,FALSE),1,0)</f>
        <v/>
      </c>
      <c r="BM45" s="41">
        <f t="array" ref="BM45">IF(AK45=VLOOKUP(VALUE(AK$1),{Questions[#],Questions[Answer]},2,FALSE),1,0)</f>
        <v/>
      </c>
      <c r="BN45" s="41">
        <f t="array" ref="BN45">IF(AL45=VLOOKUP(VALUE(AL$1),{Questions[#],Questions[Answer]},2,FALSE),1,0)</f>
        <v/>
      </c>
    </row>
    <row r="46" ht="22.5" customHeight="1" s="93">
      <c r="A46" s="42" t="inlineStr">
        <is>
          <t>Dushin</t>
        </is>
      </c>
      <c r="B46" s="41" t="n">
        <v>10</v>
      </c>
      <c r="C46" s="41" t="n">
        <v>1</v>
      </c>
      <c r="D46" s="43" t="inlineStr">
        <is>
          <t>ZISAN SAMI</t>
        </is>
      </c>
      <c r="E46" s="41" t="n"/>
      <c r="F46" s="41" t="n"/>
      <c r="G46" s="11">
        <f>SUM(AM46:BN46)</f>
        <v/>
      </c>
      <c r="H46" s="12">
        <f>G46/9</f>
        <v/>
      </c>
      <c r="I46" s="12">
        <f>0.5+(G46/54)</f>
        <v/>
      </c>
      <c r="J46" s="13">
        <f>COUNTIF(K46:AL46,"")</f>
        <v/>
      </c>
      <c r="K46" s="34" t="n">
        <v>4</v>
      </c>
      <c r="L46" s="35" t="n">
        <v>3</v>
      </c>
      <c r="M46" s="35" t="n">
        <v>3</v>
      </c>
      <c r="N46" s="35" t="n">
        <v>2</v>
      </c>
      <c r="O46" s="35" t="n">
        <v>3</v>
      </c>
      <c r="P46" s="35" t="n">
        <v>3</v>
      </c>
      <c r="Q46" s="35" t="n">
        <v>2</v>
      </c>
      <c r="R46" s="35" t="n">
        <v>3</v>
      </c>
      <c r="S46" s="35" t="n">
        <v>1</v>
      </c>
      <c r="T46" s="35" t="n">
        <v>4</v>
      </c>
      <c r="U46" s="35" t="n">
        <v>1</v>
      </c>
      <c r="V46" s="35" t="n">
        <v>4</v>
      </c>
      <c r="W46" s="35" t="n">
        <v>2</v>
      </c>
      <c r="X46" s="41" t="n">
        <v>2</v>
      </c>
      <c r="Y46" s="35" t="n">
        <v>1</v>
      </c>
      <c r="Z46" s="35" t="n">
        <v>3</v>
      </c>
      <c r="AA46" s="35" t="n">
        <v>4</v>
      </c>
      <c r="AB46" s="35" t="n">
        <v>3</v>
      </c>
      <c r="AC46" s="35" t="n">
        <v>1</v>
      </c>
      <c r="AD46" s="35" t="n">
        <v>3</v>
      </c>
      <c r="AE46" s="41" t="n">
        <v>4</v>
      </c>
      <c r="AF46" s="35" t="n">
        <v>2</v>
      </c>
      <c r="AG46" s="35" t="n">
        <v>2</v>
      </c>
      <c r="AH46" s="35" t="n">
        <v>3</v>
      </c>
      <c r="AI46" s="35" t="n">
        <v>2</v>
      </c>
      <c r="AJ46" s="35" t="n">
        <v>4</v>
      </c>
      <c r="AK46" s="35" t="n">
        <v>2</v>
      </c>
      <c r="AL46" s="38" t="n">
        <v>3</v>
      </c>
      <c r="AM46" s="19">
        <f t="array" ref="AM46">IF(K46=VLOOKUP(VALUE(K$1),{Questions[#],Questions[Answer]},2,FALSE),1,0)</f>
        <v/>
      </c>
      <c r="AN46" s="41">
        <f t="array" ref="AN46">IF(L46=VLOOKUP(VALUE(L$1),{Questions[#],Questions[Answer]},2,FALSE),1,0)</f>
        <v/>
      </c>
      <c r="AO46" s="41">
        <f t="array" ref="AO46">IF(M46=VLOOKUP(VALUE(M$1),{Questions[#],Questions[Answer]},2,FALSE),1,0)</f>
        <v/>
      </c>
      <c r="AP46" s="41">
        <f t="array" ref="AP46">IF(N46=VLOOKUP(VALUE(N$1),{Questions[#],Questions[Answer]},2,FALSE),1,0)</f>
        <v/>
      </c>
      <c r="AQ46" s="41">
        <f t="array" ref="AQ46">IF(O46=VLOOKUP(VALUE(O$1),{Questions[#],Questions[Answer]},2,FALSE),1,0)</f>
        <v/>
      </c>
      <c r="AR46" s="41">
        <f t="array" ref="AR46">IF(P46=VLOOKUP(VALUE(P$1),{Questions[#],Questions[Answer]},2,FALSE),1,0)</f>
        <v/>
      </c>
      <c r="AS46" s="41">
        <f t="array" ref="AS46">IF(Q46=VLOOKUP(VALUE(Q$1),{Questions[#],Questions[Answer]},2,FALSE),1,0)</f>
        <v/>
      </c>
      <c r="AT46" s="41">
        <f t="array" ref="AT46">IF(R46=VLOOKUP(VALUE(R$1),{Questions[#],Questions[Answer]},2,FALSE),1,0)</f>
        <v/>
      </c>
      <c r="AU46" s="41">
        <f t="array" ref="AU46">IF(S46=VLOOKUP(VALUE(S$1),{Questions[#],Questions[Answer]},2,FALSE),1,0)</f>
        <v/>
      </c>
      <c r="AV46" s="41">
        <f t="array" ref="AV46">IF(T46=VLOOKUP(VALUE(T$1),{Questions[#],Questions[Answer]},2,FALSE),1,0)</f>
        <v/>
      </c>
      <c r="AW46" s="41">
        <f t="array" ref="AW46">IF(U46=VLOOKUP(VALUE(U$1),{Questions[#],Questions[Answer]},2,FALSE),1,0)</f>
        <v/>
      </c>
      <c r="AX46" s="41">
        <f t="array" ref="AX46">IF(V46=VLOOKUP(VALUE(V$1),{Questions[#],Questions[Answer]},2,FALSE),1,0)</f>
        <v/>
      </c>
      <c r="AY46" s="41">
        <f t="array" ref="AY46">IF(W46=VLOOKUP(VALUE(W$1),{Questions[#],Questions[Answer]},2,FALSE),1,0)</f>
        <v/>
      </c>
      <c r="AZ46" s="41">
        <f t="array" ref="AZ46">IF(X46=VLOOKUP(VALUE(X$1),{Questions[#],Questions[Answer]},2,FALSE),1,0)</f>
        <v/>
      </c>
      <c r="BA46" s="41">
        <f t="array" ref="BA46">IF(Y46=VLOOKUP(VALUE(Y$1),{Questions[#],Questions[Answer]},2,FALSE),1,0)</f>
        <v/>
      </c>
      <c r="BB46" s="41">
        <f t="array" ref="BB46">IF(Z46=VLOOKUP(VALUE(Z$1),{Questions[#],Questions[Answer]},2,FALSE),1,0)</f>
        <v/>
      </c>
      <c r="BC46" s="41">
        <f t="array" ref="BC46">IF(AA46=VLOOKUP(VALUE(AA$1),{Questions[#],Questions[Answer]},2,FALSE),1,0)</f>
        <v/>
      </c>
      <c r="BD46" s="41">
        <f t="array" ref="BD46">IF(AB46=VLOOKUP(VALUE(AB$1),{Questions[#],Questions[Answer]},2,FALSE),1,0)</f>
        <v/>
      </c>
      <c r="BE46" s="41">
        <f t="array" ref="BE46">IF(AC46=VLOOKUP(VALUE(AC$1),{Questions[#],Questions[Answer]},2,FALSE),1,0)</f>
        <v/>
      </c>
      <c r="BF46" s="41">
        <f t="array" ref="BF46">IF(AD46=VLOOKUP(VALUE(AD$1),{Questions[#],Questions[Answer]},2,FALSE),1,0)</f>
        <v/>
      </c>
      <c r="BG46" s="41">
        <f t="array" ref="BG46">IF(AE46=VLOOKUP(VALUE(AE$1),{Questions[#],Questions[Answer]},2,FALSE),1,0)</f>
        <v/>
      </c>
      <c r="BH46" s="41">
        <f t="array" ref="BH46">IF(AF46=VLOOKUP(VALUE(AF$1),{Questions[#],Questions[Answer]},2,FALSE),1,0)</f>
        <v/>
      </c>
      <c r="BI46" s="41">
        <f t="array" ref="BI46">IF(AG46=VLOOKUP(VALUE(AG$1),{Questions[#],Questions[Answer]},2,FALSE),1,0)</f>
        <v/>
      </c>
      <c r="BJ46" s="41">
        <f t="array" ref="BJ46">IF(AH46=VLOOKUP(VALUE(AH$1),{Questions[#],Questions[Answer]},2,FALSE),1,0)</f>
        <v/>
      </c>
      <c r="BK46" s="41">
        <f t="array" ref="BK46">IF(AI46=VLOOKUP(VALUE(AI$1),{Questions[#],Questions[Answer]},2,FALSE),1,0)</f>
        <v/>
      </c>
      <c r="BL46" s="41">
        <f t="array" ref="BL46">IF(AJ46=VLOOKUP(VALUE(AJ$1),{Questions[#],Questions[Answer]},2,FALSE),1,0)</f>
        <v/>
      </c>
      <c r="BM46" s="41">
        <f t="array" ref="BM46">IF(AK46=VLOOKUP(VALUE(AK$1),{Questions[#],Questions[Answer]},2,FALSE),1,0)</f>
        <v/>
      </c>
      <c r="BN46" s="41">
        <f t="array" ref="BN46">IF(AL46=VLOOKUP(VALUE(AL$1),{Questions[#],Questions[Answer]},2,FALSE),1,0)</f>
        <v/>
      </c>
    </row>
    <row r="47" ht="22.5" customHeight="1" s="93">
      <c r="A47" s="42" t="inlineStr">
        <is>
          <t>Dushin</t>
        </is>
      </c>
      <c r="B47" s="41" t="n">
        <v>10</v>
      </c>
      <c r="C47" s="41" t="n">
        <v>1</v>
      </c>
      <c r="D47" s="43" t="inlineStr">
        <is>
          <t>SHELTON SMITH</t>
        </is>
      </c>
      <c r="E47" s="41" t="n"/>
      <c r="F47" s="41" t="n"/>
      <c r="G47" s="11">
        <f>SUM(AM47:BN47)</f>
        <v/>
      </c>
      <c r="H47" s="12">
        <f>G47/9</f>
        <v/>
      </c>
      <c r="I47" s="12">
        <f>0.5+(G47/54)</f>
        <v/>
      </c>
      <c r="J47" s="13">
        <f>COUNTIF(K47:AL47,"")</f>
        <v/>
      </c>
      <c r="K47" s="34" t="n">
        <v>4</v>
      </c>
      <c r="L47" s="35" t="n">
        <v>3</v>
      </c>
      <c r="M47" s="35" t="n">
        <v>3</v>
      </c>
      <c r="N47" s="35" t="n">
        <v>2</v>
      </c>
      <c r="O47" s="35" t="n">
        <v>1</v>
      </c>
      <c r="P47" s="35" t="n">
        <v>2</v>
      </c>
      <c r="Q47" s="35" t="n">
        <v>2</v>
      </c>
      <c r="R47" s="35" t="n">
        <v>4</v>
      </c>
      <c r="S47" s="35" t="n">
        <v>1</v>
      </c>
      <c r="T47" s="35" t="n">
        <v>2</v>
      </c>
      <c r="U47" s="35" t="n">
        <v>1</v>
      </c>
      <c r="V47" s="35" t="n">
        <v>3</v>
      </c>
      <c r="W47" s="35" t="n">
        <v>2</v>
      </c>
      <c r="X47" s="41" t="n">
        <v>4</v>
      </c>
      <c r="Y47" s="35" t="n">
        <v>4</v>
      </c>
      <c r="Z47" s="35" t="n">
        <v>3</v>
      </c>
      <c r="AA47" s="35" t="n">
        <v>3</v>
      </c>
      <c r="AB47" s="35" t="n">
        <v>4</v>
      </c>
      <c r="AC47" s="35" t="n">
        <v>3</v>
      </c>
      <c r="AD47" s="35" t="n">
        <v>2</v>
      </c>
      <c r="AE47" s="41" t="n">
        <v>4</v>
      </c>
      <c r="AF47" s="35" t="n">
        <v>2</v>
      </c>
      <c r="AG47" s="35" t="n">
        <v>1</v>
      </c>
      <c r="AH47" s="35" t="n">
        <v>2</v>
      </c>
      <c r="AI47" s="35" t="n">
        <v>3</v>
      </c>
      <c r="AJ47" s="35" t="n">
        <v>1</v>
      </c>
      <c r="AK47" s="35" t="n">
        <v>2</v>
      </c>
      <c r="AL47" s="38" t="n"/>
      <c r="AM47" s="19">
        <f t="array" ref="AM47">IF(K47=VLOOKUP(VALUE(K$1),{Questions[#],Questions[Answer]},2,FALSE),1,0)</f>
        <v/>
      </c>
      <c r="AN47" s="41">
        <f t="array" ref="AN47">IF(L47=VLOOKUP(VALUE(L$1),{Questions[#],Questions[Answer]},2,FALSE),1,0)</f>
        <v/>
      </c>
      <c r="AO47" s="41">
        <f t="array" ref="AO47">IF(M47=VLOOKUP(VALUE(M$1),{Questions[#],Questions[Answer]},2,FALSE),1,0)</f>
        <v/>
      </c>
      <c r="AP47" s="41">
        <f t="array" ref="AP47">IF(N47=VLOOKUP(VALUE(N$1),{Questions[#],Questions[Answer]},2,FALSE),1,0)</f>
        <v/>
      </c>
      <c r="AQ47" s="41">
        <f t="array" ref="AQ47">IF(O47=VLOOKUP(VALUE(O$1),{Questions[#],Questions[Answer]},2,FALSE),1,0)</f>
        <v/>
      </c>
      <c r="AR47" s="41">
        <f t="array" ref="AR47">IF(P47=VLOOKUP(VALUE(P$1),{Questions[#],Questions[Answer]},2,FALSE),1,0)</f>
        <v/>
      </c>
      <c r="AS47" s="41">
        <f t="array" ref="AS47">IF(Q47=VLOOKUP(VALUE(Q$1),{Questions[#],Questions[Answer]},2,FALSE),1,0)</f>
        <v/>
      </c>
      <c r="AT47" s="41">
        <f t="array" ref="AT47">IF(R47=VLOOKUP(VALUE(R$1),{Questions[#],Questions[Answer]},2,FALSE),1,0)</f>
        <v/>
      </c>
      <c r="AU47" s="41">
        <f t="array" ref="AU47">IF(S47=VLOOKUP(VALUE(S$1),{Questions[#],Questions[Answer]},2,FALSE),1,0)</f>
        <v/>
      </c>
      <c r="AV47" s="41">
        <f t="array" ref="AV47">IF(T47=VLOOKUP(VALUE(T$1),{Questions[#],Questions[Answer]},2,FALSE),1,0)</f>
        <v/>
      </c>
      <c r="AW47" s="41">
        <f t="array" ref="AW47">IF(U47=VLOOKUP(VALUE(U$1),{Questions[#],Questions[Answer]},2,FALSE),1,0)</f>
        <v/>
      </c>
      <c r="AX47" s="41">
        <f t="array" ref="AX47">IF(V47=VLOOKUP(VALUE(V$1),{Questions[#],Questions[Answer]},2,FALSE),1,0)</f>
        <v/>
      </c>
      <c r="AY47" s="41">
        <f t="array" ref="AY47">IF(W47=VLOOKUP(VALUE(W$1),{Questions[#],Questions[Answer]},2,FALSE),1,0)</f>
        <v/>
      </c>
      <c r="AZ47" s="41">
        <f t="array" ref="AZ47">IF(X47=VLOOKUP(VALUE(X$1),{Questions[#],Questions[Answer]},2,FALSE),1,0)</f>
        <v/>
      </c>
      <c r="BA47" s="41">
        <f t="array" ref="BA47">IF(Y47=VLOOKUP(VALUE(Y$1),{Questions[#],Questions[Answer]},2,FALSE),1,0)</f>
        <v/>
      </c>
      <c r="BB47" s="41">
        <f t="array" ref="BB47">IF(Z47=VLOOKUP(VALUE(Z$1),{Questions[#],Questions[Answer]},2,FALSE),1,0)</f>
        <v/>
      </c>
      <c r="BC47" s="41">
        <f t="array" ref="BC47">IF(AA47=VLOOKUP(VALUE(AA$1),{Questions[#],Questions[Answer]},2,FALSE),1,0)</f>
        <v/>
      </c>
      <c r="BD47" s="41">
        <f t="array" ref="BD47">IF(AB47=VLOOKUP(VALUE(AB$1),{Questions[#],Questions[Answer]},2,FALSE),1,0)</f>
        <v/>
      </c>
      <c r="BE47" s="41">
        <f t="array" ref="BE47">IF(AC47=VLOOKUP(VALUE(AC$1),{Questions[#],Questions[Answer]},2,FALSE),1,0)</f>
        <v/>
      </c>
      <c r="BF47" s="41">
        <f t="array" ref="BF47">IF(AD47=VLOOKUP(VALUE(AD$1),{Questions[#],Questions[Answer]},2,FALSE),1,0)</f>
        <v/>
      </c>
      <c r="BG47" s="41">
        <f t="array" ref="BG47">IF(AE47=VLOOKUP(VALUE(AE$1),{Questions[#],Questions[Answer]},2,FALSE),1,0)</f>
        <v/>
      </c>
      <c r="BH47" s="41">
        <f t="array" ref="BH47">IF(AF47=VLOOKUP(VALUE(AF$1),{Questions[#],Questions[Answer]},2,FALSE),1,0)</f>
        <v/>
      </c>
      <c r="BI47" s="41">
        <f t="array" ref="BI47">IF(AG47=VLOOKUP(VALUE(AG$1),{Questions[#],Questions[Answer]},2,FALSE),1,0)</f>
        <v/>
      </c>
      <c r="BJ47" s="41">
        <f t="array" ref="BJ47">IF(AH47=VLOOKUP(VALUE(AH$1),{Questions[#],Questions[Answer]},2,FALSE),1,0)</f>
        <v/>
      </c>
      <c r="BK47" s="41">
        <f t="array" ref="BK47">IF(AI47=VLOOKUP(VALUE(AI$1),{Questions[#],Questions[Answer]},2,FALSE),1,0)</f>
        <v/>
      </c>
      <c r="BL47" s="41">
        <f t="array" ref="BL47">IF(AJ47=VLOOKUP(VALUE(AJ$1),{Questions[#],Questions[Answer]},2,FALSE),1,0)</f>
        <v/>
      </c>
      <c r="BM47" s="41">
        <f t="array" ref="BM47">IF(AK47=VLOOKUP(VALUE(AK$1),{Questions[#],Questions[Answer]},2,FALSE),1,0)</f>
        <v/>
      </c>
      <c r="BN47" s="41">
        <f t="array" ref="BN47">IF(AL47=VLOOKUP(VALUE(AL$1),{Questions[#],Questions[Answer]},2,FALSE),1,0)</f>
        <v/>
      </c>
    </row>
    <row r="48" ht="22.5" customHeight="1" s="93">
      <c r="A48" s="42" t="inlineStr">
        <is>
          <t>Dushin</t>
        </is>
      </c>
      <c r="B48" s="41" t="n">
        <v>10</v>
      </c>
      <c r="C48" s="41" t="n">
        <v>1</v>
      </c>
      <c r="D48" s="43" t="inlineStr">
        <is>
          <t>MALIK SOOGRIM</t>
        </is>
      </c>
      <c r="E48" s="41" t="n"/>
      <c r="F48" s="41" t="n"/>
      <c r="G48" s="11">
        <f>SUM(AM48:BN48)</f>
        <v/>
      </c>
      <c r="H48" s="12">
        <f>G48/9</f>
        <v/>
      </c>
      <c r="I48" s="12">
        <f>0.5+(G48/54)</f>
        <v/>
      </c>
      <c r="J48" s="13">
        <f>COUNTIF(K48:AL48,"")</f>
        <v/>
      </c>
      <c r="K48" s="34" t="n">
        <v>1</v>
      </c>
      <c r="L48" s="35" t="n">
        <v>3</v>
      </c>
      <c r="M48" s="35" t="n">
        <v>3</v>
      </c>
      <c r="N48" s="35" t="n">
        <v>2</v>
      </c>
      <c r="O48" s="35" t="n">
        <v>1</v>
      </c>
      <c r="P48" s="35" t="n">
        <v>1</v>
      </c>
      <c r="Q48" s="35" t="n">
        <v>4</v>
      </c>
      <c r="R48" s="35" t="n">
        <v>3</v>
      </c>
      <c r="S48" s="35" t="n">
        <v>1</v>
      </c>
      <c r="T48" s="35" t="n">
        <v>3</v>
      </c>
      <c r="U48" s="35" t="n">
        <v>1</v>
      </c>
      <c r="V48" s="35" t="n">
        <v>4</v>
      </c>
      <c r="W48" s="35" t="n">
        <v>3</v>
      </c>
      <c r="X48" s="41" t="n">
        <v>4</v>
      </c>
      <c r="Y48" s="35" t="n">
        <v>4</v>
      </c>
      <c r="Z48" s="35" t="n">
        <v>3</v>
      </c>
      <c r="AA48" s="35" t="n">
        <v>4</v>
      </c>
      <c r="AB48" s="35" t="n">
        <v>3</v>
      </c>
      <c r="AC48" s="35" t="n">
        <v>1</v>
      </c>
      <c r="AD48" s="35" t="n">
        <v>3</v>
      </c>
      <c r="AE48" s="41" t="n">
        <v>4</v>
      </c>
      <c r="AF48" s="35" t="n">
        <v>2</v>
      </c>
      <c r="AG48" s="35" t="n">
        <v>4</v>
      </c>
      <c r="AH48" s="35" t="n">
        <v>1</v>
      </c>
      <c r="AI48" s="35" t="n">
        <v>3</v>
      </c>
      <c r="AJ48" s="35" t="n">
        <v>4</v>
      </c>
      <c r="AK48" s="35" t="n">
        <v>2</v>
      </c>
      <c r="AL48" s="38" t="n"/>
      <c r="AM48" s="19">
        <f t="array" ref="AM48">IF(K48=VLOOKUP(VALUE(K$1),{Questions[#],Questions[Answer]},2,FALSE),1,0)</f>
        <v/>
      </c>
      <c r="AN48" s="41">
        <f t="array" ref="AN48">IF(L48=VLOOKUP(VALUE(L$1),{Questions[#],Questions[Answer]},2,FALSE),1,0)</f>
        <v/>
      </c>
      <c r="AO48" s="41">
        <f t="array" ref="AO48">IF(M48=VLOOKUP(VALUE(M$1),{Questions[#],Questions[Answer]},2,FALSE),1,0)</f>
        <v/>
      </c>
      <c r="AP48" s="41">
        <f t="array" ref="AP48">IF(N48=VLOOKUP(VALUE(N$1),{Questions[#],Questions[Answer]},2,FALSE),1,0)</f>
        <v/>
      </c>
      <c r="AQ48" s="41">
        <f t="array" ref="AQ48">IF(O48=VLOOKUP(VALUE(O$1),{Questions[#],Questions[Answer]},2,FALSE),1,0)</f>
        <v/>
      </c>
      <c r="AR48" s="41">
        <f t="array" ref="AR48">IF(P48=VLOOKUP(VALUE(P$1),{Questions[#],Questions[Answer]},2,FALSE),1,0)</f>
        <v/>
      </c>
      <c r="AS48" s="41">
        <f t="array" ref="AS48">IF(Q48=VLOOKUP(VALUE(Q$1),{Questions[#],Questions[Answer]},2,FALSE),1,0)</f>
        <v/>
      </c>
      <c r="AT48" s="41">
        <f t="array" ref="AT48">IF(R48=VLOOKUP(VALUE(R$1),{Questions[#],Questions[Answer]},2,FALSE),1,0)</f>
        <v/>
      </c>
      <c r="AU48" s="41">
        <f t="array" ref="AU48">IF(S48=VLOOKUP(VALUE(S$1),{Questions[#],Questions[Answer]},2,FALSE),1,0)</f>
        <v/>
      </c>
      <c r="AV48" s="41">
        <f t="array" ref="AV48">IF(T48=VLOOKUP(VALUE(T$1),{Questions[#],Questions[Answer]},2,FALSE),1,0)</f>
        <v/>
      </c>
      <c r="AW48" s="41">
        <f t="array" ref="AW48">IF(U48=VLOOKUP(VALUE(U$1),{Questions[#],Questions[Answer]},2,FALSE),1,0)</f>
        <v/>
      </c>
      <c r="AX48" s="41">
        <f t="array" ref="AX48">IF(V48=VLOOKUP(VALUE(V$1),{Questions[#],Questions[Answer]},2,FALSE),1,0)</f>
        <v/>
      </c>
      <c r="AY48" s="41">
        <f t="array" ref="AY48">IF(W48=VLOOKUP(VALUE(W$1),{Questions[#],Questions[Answer]},2,FALSE),1,0)</f>
        <v/>
      </c>
      <c r="AZ48" s="41">
        <f t="array" ref="AZ48">IF(X48=VLOOKUP(VALUE(X$1),{Questions[#],Questions[Answer]},2,FALSE),1,0)</f>
        <v/>
      </c>
      <c r="BA48" s="41">
        <f t="array" ref="BA48">IF(Y48=VLOOKUP(VALUE(Y$1),{Questions[#],Questions[Answer]},2,FALSE),1,0)</f>
        <v/>
      </c>
      <c r="BB48" s="41">
        <f t="array" ref="BB48">IF(Z48=VLOOKUP(VALUE(Z$1),{Questions[#],Questions[Answer]},2,FALSE),1,0)</f>
        <v/>
      </c>
      <c r="BC48" s="41">
        <f t="array" ref="BC48">IF(AA48=VLOOKUP(VALUE(AA$1),{Questions[#],Questions[Answer]},2,FALSE),1,0)</f>
        <v/>
      </c>
      <c r="BD48" s="41">
        <f t="array" ref="BD48">IF(AB48=VLOOKUP(VALUE(AB$1),{Questions[#],Questions[Answer]},2,FALSE),1,0)</f>
        <v/>
      </c>
      <c r="BE48" s="41">
        <f t="array" ref="BE48">IF(AC48=VLOOKUP(VALUE(AC$1),{Questions[#],Questions[Answer]},2,FALSE),1,0)</f>
        <v/>
      </c>
      <c r="BF48" s="41">
        <f t="array" ref="BF48">IF(AD48=VLOOKUP(VALUE(AD$1),{Questions[#],Questions[Answer]},2,FALSE),1,0)</f>
        <v/>
      </c>
      <c r="BG48" s="41">
        <f t="array" ref="BG48">IF(AE48=VLOOKUP(VALUE(AE$1),{Questions[#],Questions[Answer]},2,FALSE),1,0)</f>
        <v/>
      </c>
      <c r="BH48" s="41">
        <f t="array" ref="BH48">IF(AF48=VLOOKUP(VALUE(AF$1),{Questions[#],Questions[Answer]},2,FALSE),1,0)</f>
        <v/>
      </c>
      <c r="BI48" s="41">
        <f t="array" ref="BI48">IF(AG48=VLOOKUP(VALUE(AG$1),{Questions[#],Questions[Answer]},2,FALSE),1,0)</f>
        <v/>
      </c>
      <c r="BJ48" s="41">
        <f t="array" ref="BJ48">IF(AH48=VLOOKUP(VALUE(AH$1),{Questions[#],Questions[Answer]},2,FALSE),1,0)</f>
        <v/>
      </c>
      <c r="BK48" s="41">
        <f t="array" ref="BK48">IF(AI48=VLOOKUP(VALUE(AI$1),{Questions[#],Questions[Answer]},2,FALSE),1,0)</f>
        <v/>
      </c>
      <c r="BL48" s="41">
        <f t="array" ref="BL48">IF(AJ48=VLOOKUP(VALUE(AJ$1),{Questions[#],Questions[Answer]},2,FALSE),1,0)</f>
        <v/>
      </c>
      <c r="BM48" s="41">
        <f t="array" ref="BM48">IF(AK48=VLOOKUP(VALUE(AK$1),{Questions[#],Questions[Answer]},2,FALSE),1,0)</f>
        <v/>
      </c>
      <c r="BN48" s="41">
        <f t="array" ref="BN48">IF(AL48=VLOOKUP(VALUE(AL$1),{Questions[#],Questions[Answer]},2,FALSE),1,0)</f>
        <v/>
      </c>
    </row>
    <row r="49" ht="22.5" customHeight="1" s="93">
      <c r="A49" s="42" t="inlineStr">
        <is>
          <t>Dushin</t>
        </is>
      </c>
      <c r="B49" s="41" t="n">
        <v>10</v>
      </c>
      <c r="C49" s="41" t="n">
        <v>1</v>
      </c>
      <c r="D49" s="43" t="inlineStr">
        <is>
          <t>LISBETH TAVARES-MUNOZ</t>
        </is>
      </c>
      <c r="E49" s="41" t="n"/>
      <c r="F49" s="41" t="n"/>
      <c r="G49" s="11">
        <f>SUM(AM49:BN49)</f>
        <v/>
      </c>
      <c r="H49" s="12">
        <f>G49/9</f>
        <v/>
      </c>
      <c r="I49" s="12">
        <f>0.5+(G49/54)</f>
        <v/>
      </c>
      <c r="J49" s="13">
        <f>COUNTIF(K49:AL49,"")</f>
        <v/>
      </c>
      <c r="K49" s="34" t="n">
        <v>4</v>
      </c>
      <c r="L49" s="35" t="n">
        <v>1</v>
      </c>
      <c r="M49" s="35" t="n">
        <v>3</v>
      </c>
      <c r="N49" s="35" t="n">
        <v>2</v>
      </c>
      <c r="O49" s="35" t="n">
        <v>1</v>
      </c>
      <c r="P49" s="35" t="n">
        <v>3</v>
      </c>
      <c r="Q49" s="35" t="n">
        <v>2</v>
      </c>
      <c r="R49" s="35" t="n">
        <v>3</v>
      </c>
      <c r="S49" s="35" t="n">
        <v>1</v>
      </c>
      <c r="T49" s="35" t="n">
        <v>4</v>
      </c>
      <c r="U49" s="35" t="n">
        <v>1</v>
      </c>
      <c r="V49" s="35" t="n">
        <v>4</v>
      </c>
      <c r="W49" s="35" t="n">
        <v>2</v>
      </c>
      <c r="X49" s="41" t="n">
        <v>2</v>
      </c>
      <c r="Y49" s="35" t="n">
        <v>4</v>
      </c>
      <c r="Z49" s="35" t="n">
        <v>3</v>
      </c>
      <c r="AA49" s="35" t="n">
        <v>4</v>
      </c>
      <c r="AB49" s="35" t="n">
        <v>4</v>
      </c>
      <c r="AC49" s="35" t="n">
        <v>1</v>
      </c>
      <c r="AD49" s="35" t="n">
        <v>3</v>
      </c>
      <c r="AE49" s="41" t="n">
        <v>4</v>
      </c>
      <c r="AF49" s="35" t="n">
        <v>2</v>
      </c>
      <c r="AG49" s="35" t="n">
        <v>2</v>
      </c>
      <c r="AH49" s="35" t="n">
        <v>3</v>
      </c>
      <c r="AI49" s="35" t="n">
        <v>1</v>
      </c>
      <c r="AJ49" s="35" t="n">
        <v>4</v>
      </c>
      <c r="AK49" s="35" t="n">
        <v>2</v>
      </c>
      <c r="AL49" s="38" t="n">
        <v>2</v>
      </c>
      <c r="AM49" s="19">
        <f t="array" ref="AM49">IF(K49=VLOOKUP(VALUE(K$1),{Questions[#],Questions[Answer]},2,FALSE),1,0)</f>
        <v/>
      </c>
      <c r="AN49" s="41">
        <f t="array" ref="AN49">IF(L49=VLOOKUP(VALUE(L$1),{Questions[#],Questions[Answer]},2,FALSE),1,0)</f>
        <v/>
      </c>
      <c r="AO49" s="41">
        <f t="array" ref="AO49">IF(M49=VLOOKUP(VALUE(M$1),{Questions[#],Questions[Answer]},2,FALSE),1,0)</f>
        <v/>
      </c>
      <c r="AP49" s="41">
        <f t="array" ref="AP49">IF(N49=VLOOKUP(VALUE(N$1),{Questions[#],Questions[Answer]},2,FALSE),1,0)</f>
        <v/>
      </c>
      <c r="AQ49" s="41">
        <f t="array" ref="AQ49">IF(O49=VLOOKUP(VALUE(O$1),{Questions[#],Questions[Answer]},2,FALSE),1,0)</f>
        <v/>
      </c>
      <c r="AR49" s="41">
        <f t="array" ref="AR49">IF(P49=VLOOKUP(VALUE(P$1),{Questions[#],Questions[Answer]},2,FALSE),1,0)</f>
        <v/>
      </c>
      <c r="AS49" s="41">
        <f t="array" ref="AS49">IF(Q49=VLOOKUP(VALUE(Q$1),{Questions[#],Questions[Answer]},2,FALSE),1,0)</f>
        <v/>
      </c>
      <c r="AT49" s="41">
        <f t="array" ref="AT49">IF(R49=VLOOKUP(VALUE(R$1),{Questions[#],Questions[Answer]},2,FALSE),1,0)</f>
        <v/>
      </c>
      <c r="AU49" s="41">
        <f t="array" ref="AU49">IF(S49=VLOOKUP(VALUE(S$1),{Questions[#],Questions[Answer]},2,FALSE),1,0)</f>
        <v/>
      </c>
      <c r="AV49" s="41">
        <f t="array" ref="AV49">IF(T49=VLOOKUP(VALUE(T$1),{Questions[#],Questions[Answer]},2,FALSE),1,0)</f>
        <v/>
      </c>
      <c r="AW49" s="41">
        <f t="array" ref="AW49">IF(U49=VLOOKUP(VALUE(U$1),{Questions[#],Questions[Answer]},2,FALSE),1,0)</f>
        <v/>
      </c>
      <c r="AX49" s="41">
        <f t="array" ref="AX49">IF(V49=VLOOKUP(VALUE(V$1),{Questions[#],Questions[Answer]},2,FALSE),1,0)</f>
        <v/>
      </c>
      <c r="AY49" s="41">
        <f t="array" ref="AY49">IF(W49=VLOOKUP(VALUE(W$1),{Questions[#],Questions[Answer]},2,FALSE),1,0)</f>
        <v/>
      </c>
      <c r="AZ49" s="41">
        <f t="array" ref="AZ49">IF(X49=VLOOKUP(VALUE(X$1),{Questions[#],Questions[Answer]},2,FALSE),1,0)</f>
        <v/>
      </c>
      <c r="BA49" s="41">
        <f t="array" ref="BA49">IF(Y49=VLOOKUP(VALUE(Y$1),{Questions[#],Questions[Answer]},2,FALSE),1,0)</f>
        <v/>
      </c>
      <c r="BB49" s="41">
        <f t="array" ref="BB49">IF(Z49=VLOOKUP(VALUE(Z$1),{Questions[#],Questions[Answer]},2,FALSE),1,0)</f>
        <v/>
      </c>
      <c r="BC49" s="41">
        <f t="array" ref="BC49">IF(AA49=VLOOKUP(VALUE(AA$1),{Questions[#],Questions[Answer]},2,FALSE),1,0)</f>
        <v/>
      </c>
      <c r="BD49" s="41">
        <f t="array" ref="BD49">IF(AB49=VLOOKUP(VALUE(AB$1),{Questions[#],Questions[Answer]},2,FALSE),1,0)</f>
        <v/>
      </c>
      <c r="BE49" s="41">
        <f t="array" ref="BE49">IF(AC49=VLOOKUP(VALUE(AC$1),{Questions[#],Questions[Answer]},2,FALSE),1,0)</f>
        <v/>
      </c>
      <c r="BF49" s="41">
        <f t="array" ref="BF49">IF(AD49=VLOOKUP(VALUE(AD$1),{Questions[#],Questions[Answer]},2,FALSE),1,0)</f>
        <v/>
      </c>
      <c r="BG49" s="41">
        <f t="array" ref="BG49">IF(AE49=VLOOKUP(VALUE(AE$1),{Questions[#],Questions[Answer]},2,FALSE),1,0)</f>
        <v/>
      </c>
      <c r="BH49" s="41">
        <f t="array" ref="BH49">IF(AF49=VLOOKUP(VALUE(AF$1),{Questions[#],Questions[Answer]},2,FALSE),1,0)</f>
        <v/>
      </c>
      <c r="BI49" s="41">
        <f t="array" ref="BI49">IF(AG49=VLOOKUP(VALUE(AG$1),{Questions[#],Questions[Answer]},2,FALSE),1,0)</f>
        <v/>
      </c>
      <c r="BJ49" s="41">
        <f t="array" ref="BJ49">IF(AH49=VLOOKUP(VALUE(AH$1),{Questions[#],Questions[Answer]},2,FALSE),1,0)</f>
        <v/>
      </c>
      <c r="BK49" s="41">
        <f t="array" ref="BK49">IF(AI49=VLOOKUP(VALUE(AI$1),{Questions[#],Questions[Answer]},2,FALSE),1,0)</f>
        <v/>
      </c>
      <c r="BL49" s="41">
        <f t="array" ref="BL49">IF(AJ49=VLOOKUP(VALUE(AJ$1),{Questions[#],Questions[Answer]},2,FALSE),1,0)</f>
        <v/>
      </c>
      <c r="BM49" s="41">
        <f t="array" ref="BM49">IF(AK49=VLOOKUP(VALUE(AK$1),{Questions[#],Questions[Answer]},2,FALSE),1,0)</f>
        <v/>
      </c>
      <c r="BN49" s="41">
        <f t="array" ref="BN49">IF(AL49=VLOOKUP(VALUE(AL$1),{Questions[#],Questions[Answer]},2,FALSE),1,0)</f>
        <v/>
      </c>
    </row>
    <row r="50" ht="22.5" customHeight="1" s="93">
      <c r="A50" s="42" t="inlineStr">
        <is>
          <t>Dushin</t>
        </is>
      </c>
      <c r="B50" s="41" t="n">
        <v>10</v>
      </c>
      <c r="C50" s="41" t="n">
        <v>1</v>
      </c>
      <c r="D50" s="43" t="inlineStr">
        <is>
          <t>NYAIRE WILLIS</t>
        </is>
      </c>
      <c r="E50" s="41" t="n"/>
      <c r="F50" s="41" t="n"/>
      <c r="G50" s="11">
        <f>SUM(AM50:BN50)</f>
        <v/>
      </c>
      <c r="H50" s="12">
        <f>G50/9</f>
        <v/>
      </c>
      <c r="I50" s="12">
        <f>0.5+(G50/54)</f>
        <v/>
      </c>
      <c r="J50" s="13">
        <f>COUNTIF(K50:AL50,"")</f>
        <v/>
      </c>
      <c r="K50" s="34" t="n">
        <v>3</v>
      </c>
      <c r="L50" s="35" t="n">
        <v>4</v>
      </c>
      <c r="M50" s="35" t="n">
        <v>1</v>
      </c>
      <c r="N50" s="35" t="n">
        <v>2</v>
      </c>
      <c r="O50" s="35" t="n">
        <v>1</v>
      </c>
      <c r="P50" s="35" t="n">
        <v>3</v>
      </c>
      <c r="Q50" s="35" t="n">
        <v>2</v>
      </c>
      <c r="R50" s="35" t="n">
        <v>3</v>
      </c>
      <c r="S50" s="35" t="n">
        <v>1</v>
      </c>
      <c r="T50" s="35" t="n">
        <v>4</v>
      </c>
      <c r="U50" s="35" t="n">
        <v>1</v>
      </c>
      <c r="V50" s="35" t="n">
        <v>4</v>
      </c>
      <c r="W50" s="35" t="n">
        <v>4</v>
      </c>
      <c r="X50" s="41" t="n">
        <v>2</v>
      </c>
      <c r="Y50" s="35" t="n">
        <v>4</v>
      </c>
      <c r="Z50" s="35" t="n">
        <v>3</v>
      </c>
      <c r="AA50" s="35" t="n">
        <v>2</v>
      </c>
      <c r="AB50" s="35" t="n">
        <v>2</v>
      </c>
      <c r="AC50" s="35" t="n">
        <v>1</v>
      </c>
      <c r="AD50" s="35" t="n">
        <v>3</v>
      </c>
      <c r="AE50" s="41" t="n">
        <v>4</v>
      </c>
      <c r="AF50" s="35" t="n">
        <v>4</v>
      </c>
      <c r="AG50" s="35" t="n">
        <v>3</v>
      </c>
      <c r="AH50" s="35" t="n">
        <v>3</v>
      </c>
      <c r="AI50" s="35" t="n">
        <v>2</v>
      </c>
      <c r="AJ50" s="35" t="n">
        <v>1</v>
      </c>
      <c r="AK50" s="35" t="n">
        <v>2</v>
      </c>
      <c r="AL50" s="38" t="n">
        <v>2</v>
      </c>
      <c r="AM50" s="19">
        <f t="array" ref="AM50">IF(K50=VLOOKUP(VALUE(K$1),{Questions[#],Questions[Answer]},2,FALSE),1,0)</f>
        <v/>
      </c>
      <c r="AN50" s="41">
        <f t="array" ref="AN50">IF(L50=VLOOKUP(VALUE(L$1),{Questions[#],Questions[Answer]},2,FALSE),1,0)</f>
        <v/>
      </c>
      <c r="AO50" s="41">
        <f t="array" ref="AO50">IF(M50=VLOOKUP(VALUE(M$1),{Questions[#],Questions[Answer]},2,FALSE),1,0)</f>
        <v/>
      </c>
      <c r="AP50" s="41">
        <f t="array" ref="AP50">IF(N50=VLOOKUP(VALUE(N$1),{Questions[#],Questions[Answer]},2,FALSE),1,0)</f>
        <v/>
      </c>
      <c r="AQ50" s="41">
        <f t="array" ref="AQ50">IF(O50=VLOOKUP(VALUE(O$1),{Questions[#],Questions[Answer]},2,FALSE),1,0)</f>
        <v/>
      </c>
      <c r="AR50" s="41">
        <f t="array" ref="AR50">IF(P50=VLOOKUP(VALUE(P$1),{Questions[#],Questions[Answer]},2,FALSE),1,0)</f>
        <v/>
      </c>
      <c r="AS50" s="41">
        <f t="array" ref="AS50">IF(Q50=VLOOKUP(VALUE(Q$1),{Questions[#],Questions[Answer]},2,FALSE),1,0)</f>
        <v/>
      </c>
      <c r="AT50" s="41">
        <f t="array" ref="AT50">IF(R50=VLOOKUP(VALUE(R$1),{Questions[#],Questions[Answer]},2,FALSE),1,0)</f>
        <v/>
      </c>
      <c r="AU50" s="41">
        <f t="array" ref="AU50">IF(S50=VLOOKUP(VALUE(S$1),{Questions[#],Questions[Answer]},2,FALSE),1,0)</f>
        <v/>
      </c>
      <c r="AV50" s="41">
        <f t="array" ref="AV50">IF(T50=VLOOKUP(VALUE(T$1),{Questions[#],Questions[Answer]},2,FALSE),1,0)</f>
        <v/>
      </c>
      <c r="AW50" s="41">
        <f t="array" ref="AW50">IF(U50=VLOOKUP(VALUE(U$1),{Questions[#],Questions[Answer]},2,FALSE),1,0)</f>
        <v/>
      </c>
      <c r="AX50" s="41">
        <f t="array" ref="AX50">IF(V50=VLOOKUP(VALUE(V$1),{Questions[#],Questions[Answer]},2,FALSE),1,0)</f>
        <v/>
      </c>
      <c r="AY50" s="41">
        <f t="array" ref="AY50">IF(W50=VLOOKUP(VALUE(W$1),{Questions[#],Questions[Answer]},2,FALSE),1,0)</f>
        <v/>
      </c>
      <c r="AZ50" s="41">
        <f t="array" ref="AZ50">IF(X50=VLOOKUP(VALUE(X$1),{Questions[#],Questions[Answer]},2,FALSE),1,0)</f>
        <v/>
      </c>
      <c r="BA50" s="41">
        <f t="array" ref="BA50">IF(Y50=VLOOKUP(VALUE(Y$1),{Questions[#],Questions[Answer]},2,FALSE),1,0)</f>
        <v/>
      </c>
      <c r="BB50" s="41">
        <f t="array" ref="BB50">IF(Z50=VLOOKUP(VALUE(Z$1),{Questions[#],Questions[Answer]},2,FALSE),1,0)</f>
        <v/>
      </c>
      <c r="BC50" s="41">
        <f t="array" ref="BC50">IF(AA50=VLOOKUP(VALUE(AA$1),{Questions[#],Questions[Answer]},2,FALSE),1,0)</f>
        <v/>
      </c>
      <c r="BD50" s="41">
        <f t="array" ref="BD50">IF(AB50=VLOOKUP(VALUE(AB$1),{Questions[#],Questions[Answer]},2,FALSE),1,0)</f>
        <v/>
      </c>
      <c r="BE50" s="41">
        <f t="array" ref="BE50">IF(AC50=VLOOKUP(VALUE(AC$1),{Questions[#],Questions[Answer]},2,FALSE),1,0)</f>
        <v/>
      </c>
      <c r="BF50" s="41">
        <f t="array" ref="BF50">IF(AD50=VLOOKUP(VALUE(AD$1),{Questions[#],Questions[Answer]},2,FALSE),1,0)</f>
        <v/>
      </c>
      <c r="BG50" s="41">
        <f t="array" ref="BG50">IF(AE50=VLOOKUP(VALUE(AE$1),{Questions[#],Questions[Answer]},2,FALSE),1,0)</f>
        <v/>
      </c>
      <c r="BH50" s="41">
        <f t="array" ref="BH50">IF(AF50=VLOOKUP(VALUE(AF$1),{Questions[#],Questions[Answer]},2,FALSE),1,0)</f>
        <v/>
      </c>
      <c r="BI50" s="41">
        <f t="array" ref="BI50">IF(AG50=VLOOKUP(VALUE(AG$1),{Questions[#],Questions[Answer]},2,FALSE),1,0)</f>
        <v/>
      </c>
      <c r="BJ50" s="41">
        <f t="array" ref="BJ50">IF(AH50=VLOOKUP(VALUE(AH$1),{Questions[#],Questions[Answer]},2,FALSE),1,0)</f>
        <v/>
      </c>
      <c r="BK50" s="41">
        <f t="array" ref="BK50">IF(AI50=VLOOKUP(VALUE(AI$1),{Questions[#],Questions[Answer]},2,FALSE),1,0)</f>
        <v/>
      </c>
      <c r="BL50" s="41">
        <f t="array" ref="BL50">IF(AJ50=VLOOKUP(VALUE(AJ$1),{Questions[#],Questions[Answer]},2,FALSE),1,0)</f>
        <v/>
      </c>
      <c r="BM50" s="41">
        <f t="array" ref="BM50">IF(AK50=VLOOKUP(VALUE(AK$1),{Questions[#],Questions[Answer]},2,FALSE),1,0)</f>
        <v/>
      </c>
      <c r="BN50" s="41">
        <f t="array" ref="BN50">IF(AL50=VLOOKUP(VALUE(AL$1),{Questions[#],Questions[Answer]},2,FALSE),1,0)</f>
        <v/>
      </c>
    </row>
    <row r="51" ht="22.5" customHeight="1" s="93">
      <c r="A51" s="42" t="inlineStr">
        <is>
          <t>Dushin</t>
        </is>
      </c>
      <c r="B51" s="41" t="n">
        <v>10</v>
      </c>
      <c r="C51" s="41" t="n">
        <v>8</v>
      </c>
      <c r="D51" s="43" t="inlineStr">
        <is>
          <t>TIANNA ALLEN</t>
        </is>
      </c>
      <c r="E51" s="41" t="n"/>
      <c r="F51" s="41" t="n"/>
      <c r="G51" s="11">
        <f>SUM(AM51:BN51)</f>
        <v/>
      </c>
      <c r="H51" s="12">
        <f>G51/9</f>
        <v/>
      </c>
      <c r="I51" s="12">
        <f>0.5+(G51/54)</f>
        <v/>
      </c>
      <c r="J51" s="13">
        <f>COUNTIF(K51:AL51,"")</f>
        <v/>
      </c>
      <c r="K51" s="34" t="n">
        <v>2</v>
      </c>
      <c r="L51" s="35" t="n">
        <v>1</v>
      </c>
      <c r="M51" s="35" t="n">
        <v>3</v>
      </c>
      <c r="N51" s="35" t="n">
        <v>2</v>
      </c>
      <c r="O51" s="35" t="n">
        <v>1</v>
      </c>
      <c r="P51" s="35" t="n">
        <v>3</v>
      </c>
      <c r="Q51" s="35" t="n">
        <v>2</v>
      </c>
      <c r="R51" s="35" t="n">
        <v>3</v>
      </c>
      <c r="S51" s="35" t="n">
        <v>1</v>
      </c>
      <c r="T51" s="35" t="n">
        <v>3</v>
      </c>
      <c r="U51" s="35" t="n">
        <v>1</v>
      </c>
      <c r="V51" s="35" t="n">
        <v>4</v>
      </c>
      <c r="W51" s="35" t="n">
        <v>2</v>
      </c>
      <c r="X51" s="41" t="n">
        <v>2</v>
      </c>
      <c r="Y51" s="35" t="n">
        <v>4</v>
      </c>
      <c r="Z51" s="35" t="n">
        <v>3</v>
      </c>
      <c r="AA51" s="35" t="n">
        <v>4</v>
      </c>
      <c r="AB51" s="35" t="n">
        <v>3</v>
      </c>
      <c r="AC51" s="35" t="n">
        <v>1</v>
      </c>
      <c r="AD51" s="35" t="n">
        <v>3</v>
      </c>
      <c r="AE51" s="41" t="n">
        <v>4</v>
      </c>
      <c r="AF51" s="35" t="n">
        <v>2</v>
      </c>
      <c r="AG51" s="35" t="n">
        <v>3</v>
      </c>
      <c r="AH51" s="35" t="n">
        <v>3</v>
      </c>
      <c r="AI51" s="35" t="n">
        <v>2</v>
      </c>
      <c r="AJ51" s="35" t="n">
        <v>4</v>
      </c>
      <c r="AK51" s="35" t="n">
        <v>4</v>
      </c>
      <c r="AL51" s="38" t="n">
        <v>2</v>
      </c>
      <c r="AM51" s="19">
        <f t="array" ref="AM51">IF(K51=VLOOKUP(VALUE(K$1),{Questions[#],Questions[Answer]},2,FALSE),1,0)</f>
        <v/>
      </c>
      <c r="AN51" s="41">
        <f t="array" ref="AN51">IF(L51=VLOOKUP(VALUE(L$1),{Questions[#],Questions[Answer]},2,FALSE),1,0)</f>
        <v/>
      </c>
      <c r="AO51" s="41">
        <f t="array" ref="AO51">IF(M51=VLOOKUP(VALUE(M$1),{Questions[#],Questions[Answer]},2,FALSE),1,0)</f>
        <v/>
      </c>
      <c r="AP51" s="41">
        <f t="array" ref="AP51">IF(N51=VLOOKUP(VALUE(N$1),{Questions[#],Questions[Answer]},2,FALSE),1,0)</f>
        <v/>
      </c>
      <c r="AQ51" s="41">
        <f t="array" ref="AQ51">IF(O51=VLOOKUP(VALUE(O$1),{Questions[#],Questions[Answer]},2,FALSE),1,0)</f>
        <v/>
      </c>
      <c r="AR51" s="41">
        <f t="array" ref="AR51">IF(P51=VLOOKUP(VALUE(P$1),{Questions[#],Questions[Answer]},2,FALSE),1,0)</f>
        <v/>
      </c>
      <c r="AS51" s="41">
        <f t="array" ref="AS51">IF(Q51=VLOOKUP(VALUE(Q$1),{Questions[#],Questions[Answer]},2,FALSE),1,0)</f>
        <v/>
      </c>
      <c r="AT51" s="41">
        <f t="array" ref="AT51">IF(R51=VLOOKUP(VALUE(R$1),{Questions[#],Questions[Answer]},2,FALSE),1,0)</f>
        <v/>
      </c>
      <c r="AU51" s="41">
        <f t="array" ref="AU51">IF(S51=VLOOKUP(VALUE(S$1),{Questions[#],Questions[Answer]},2,FALSE),1,0)</f>
        <v/>
      </c>
      <c r="AV51" s="41">
        <f t="array" ref="AV51">IF(T51=VLOOKUP(VALUE(T$1),{Questions[#],Questions[Answer]},2,FALSE),1,0)</f>
        <v/>
      </c>
      <c r="AW51" s="41">
        <f t="array" ref="AW51">IF(U51=VLOOKUP(VALUE(U$1),{Questions[#],Questions[Answer]},2,FALSE),1,0)</f>
        <v/>
      </c>
      <c r="AX51" s="41">
        <f t="array" ref="AX51">IF(V51=VLOOKUP(VALUE(V$1),{Questions[#],Questions[Answer]},2,FALSE),1,0)</f>
        <v/>
      </c>
      <c r="AY51" s="41">
        <f t="array" ref="AY51">IF(W51=VLOOKUP(VALUE(W$1),{Questions[#],Questions[Answer]},2,FALSE),1,0)</f>
        <v/>
      </c>
      <c r="AZ51" s="41">
        <f t="array" ref="AZ51">IF(X51=VLOOKUP(VALUE(X$1),{Questions[#],Questions[Answer]},2,FALSE),1,0)</f>
        <v/>
      </c>
      <c r="BA51" s="41">
        <f t="array" ref="BA51">IF(Y51=VLOOKUP(VALUE(Y$1),{Questions[#],Questions[Answer]},2,FALSE),1,0)</f>
        <v/>
      </c>
      <c r="BB51" s="41">
        <f t="array" ref="BB51">IF(Z51=VLOOKUP(VALUE(Z$1),{Questions[#],Questions[Answer]},2,FALSE),1,0)</f>
        <v/>
      </c>
      <c r="BC51" s="41">
        <f t="array" ref="BC51">IF(AA51=VLOOKUP(VALUE(AA$1),{Questions[#],Questions[Answer]},2,FALSE),1,0)</f>
        <v/>
      </c>
      <c r="BD51" s="41">
        <f t="array" ref="BD51">IF(AB51=VLOOKUP(VALUE(AB$1),{Questions[#],Questions[Answer]},2,FALSE),1,0)</f>
        <v/>
      </c>
      <c r="BE51" s="41">
        <f t="array" ref="BE51">IF(AC51=VLOOKUP(VALUE(AC$1),{Questions[#],Questions[Answer]},2,FALSE),1,0)</f>
        <v/>
      </c>
      <c r="BF51" s="41">
        <f t="array" ref="BF51">IF(AD51=VLOOKUP(VALUE(AD$1),{Questions[#],Questions[Answer]},2,FALSE),1,0)</f>
        <v/>
      </c>
      <c r="BG51" s="41">
        <f t="array" ref="BG51">IF(AE51=VLOOKUP(VALUE(AE$1),{Questions[#],Questions[Answer]},2,FALSE),1,0)</f>
        <v/>
      </c>
      <c r="BH51" s="41">
        <f t="array" ref="BH51">IF(AF51=VLOOKUP(VALUE(AF$1),{Questions[#],Questions[Answer]},2,FALSE),1,0)</f>
        <v/>
      </c>
      <c r="BI51" s="41">
        <f t="array" ref="BI51">IF(AG51=VLOOKUP(VALUE(AG$1),{Questions[#],Questions[Answer]},2,FALSE),1,0)</f>
        <v/>
      </c>
      <c r="BJ51" s="41">
        <f t="array" ref="BJ51">IF(AH51=VLOOKUP(VALUE(AH$1),{Questions[#],Questions[Answer]},2,FALSE),1,0)</f>
        <v/>
      </c>
      <c r="BK51" s="41">
        <f t="array" ref="BK51">IF(AI51=VLOOKUP(VALUE(AI$1),{Questions[#],Questions[Answer]},2,FALSE),1,0)</f>
        <v/>
      </c>
      <c r="BL51" s="41">
        <f t="array" ref="BL51">IF(AJ51=VLOOKUP(VALUE(AJ$1),{Questions[#],Questions[Answer]},2,FALSE),1,0)</f>
        <v/>
      </c>
      <c r="BM51" s="41">
        <f t="array" ref="BM51">IF(AK51=VLOOKUP(VALUE(AK$1),{Questions[#],Questions[Answer]},2,FALSE),1,0)</f>
        <v/>
      </c>
      <c r="BN51" s="41">
        <f t="array" ref="BN51">IF(AL51=VLOOKUP(VALUE(AL$1),{Questions[#],Questions[Answer]},2,FALSE),1,0)</f>
        <v/>
      </c>
    </row>
    <row r="52" ht="22.5" customHeight="1" s="93">
      <c r="A52" s="42" t="inlineStr">
        <is>
          <t>Dushin</t>
        </is>
      </c>
      <c r="B52" s="41" t="n">
        <v>10</v>
      </c>
      <c r="C52" s="41" t="n">
        <v>8</v>
      </c>
      <c r="D52" s="43" t="inlineStr">
        <is>
          <t>JOCELYN BLAKE</t>
        </is>
      </c>
      <c r="E52" s="41" t="n"/>
      <c r="F52" s="41" t="n"/>
      <c r="G52" s="11">
        <f>SUM(AM52:BN52)</f>
        <v/>
      </c>
      <c r="H52" s="12">
        <f>G52/9</f>
        <v/>
      </c>
      <c r="I52" s="12">
        <f>0.5+(G52/54)</f>
        <v/>
      </c>
      <c r="J52" s="13">
        <f>COUNTIF(K52:AL52,"")</f>
        <v/>
      </c>
      <c r="K52" s="34" t="n">
        <v>4</v>
      </c>
      <c r="L52" s="35" t="n">
        <v>1</v>
      </c>
      <c r="M52" s="35" t="n">
        <v>3</v>
      </c>
      <c r="N52" s="35" t="n">
        <v>2</v>
      </c>
      <c r="O52" s="35" t="n">
        <v>1</v>
      </c>
      <c r="P52" s="35" t="n">
        <v>4</v>
      </c>
      <c r="Q52" s="35" t="n">
        <v>3</v>
      </c>
      <c r="R52" s="35" t="n">
        <v>2</v>
      </c>
      <c r="S52" s="35" t="n">
        <v>3</v>
      </c>
      <c r="T52" s="35" t="n">
        <v>2</v>
      </c>
      <c r="U52" s="35" t="n">
        <v>2</v>
      </c>
      <c r="V52" s="35" t="n">
        <v>3</v>
      </c>
      <c r="W52" s="35" t="n">
        <v>1</v>
      </c>
      <c r="X52" s="41" t="n">
        <v>3</v>
      </c>
      <c r="Y52" s="35" t="n">
        <v>1</v>
      </c>
      <c r="Z52" s="35" t="n">
        <v>3</v>
      </c>
      <c r="AA52" s="35" t="n">
        <v>4</v>
      </c>
      <c r="AB52" s="35" t="n">
        <v>1</v>
      </c>
      <c r="AC52" s="35" t="n">
        <v>2</v>
      </c>
      <c r="AD52" s="35" t="n">
        <v>3</v>
      </c>
      <c r="AE52" s="41" t="n">
        <v>2</v>
      </c>
      <c r="AF52" s="35" t="n">
        <v>4</v>
      </c>
      <c r="AG52" s="35" t="n">
        <v>1</v>
      </c>
      <c r="AH52" s="35" t="n">
        <v>2</v>
      </c>
      <c r="AI52" s="35" t="n">
        <v>2</v>
      </c>
      <c r="AJ52" s="35" t="n">
        <v>1</v>
      </c>
      <c r="AK52" s="35" t="n">
        <v>3</v>
      </c>
      <c r="AL52" s="38" t="n">
        <v>2</v>
      </c>
      <c r="AM52" s="19">
        <f t="array" ref="AM52">IF(K52=VLOOKUP(VALUE(K$1),{Questions[#],Questions[Answer]},2,FALSE),1,0)</f>
        <v/>
      </c>
      <c r="AN52" s="41">
        <f t="array" ref="AN52">IF(L52=VLOOKUP(VALUE(L$1),{Questions[#],Questions[Answer]},2,FALSE),1,0)</f>
        <v/>
      </c>
      <c r="AO52" s="41">
        <f t="array" ref="AO52">IF(M52=VLOOKUP(VALUE(M$1),{Questions[#],Questions[Answer]},2,FALSE),1,0)</f>
        <v/>
      </c>
      <c r="AP52" s="41">
        <f t="array" ref="AP52">IF(N52=VLOOKUP(VALUE(N$1),{Questions[#],Questions[Answer]},2,FALSE),1,0)</f>
        <v/>
      </c>
      <c r="AQ52" s="41">
        <f t="array" ref="AQ52">IF(O52=VLOOKUP(VALUE(O$1),{Questions[#],Questions[Answer]},2,FALSE),1,0)</f>
        <v/>
      </c>
      <c r="AR52" s="41">
        <f t="array" ref="AR52">IF(P52=VLOOKUP(VALUE(P$1),{Questions[#],Questions[Answer]},2,FALSE),1,0)</f>
        <v/>
      </c>
      <c r="AS52" s="41">
        <f t="array" ref="AS52">IF(Q52=VLOOKUP(VALUE(Q$1),{Questions[#],Questions[Answer]},2,FALSE),1,0)</f>
        <v/>
      </c>
      <c r="AT52" s="41">
        <f t="array" ref="AT52">IF(R52=VLOOKUP(VALUE(R$1),{Questions[#],Questions[Answer]},2,FALSE),1,0)</f>
        <v/>
      </c>
      <c r="AU52" s="41">
        <f t="array" ref="AU52">IF(S52=VLOOKUP(VALUE(S$1),{Questions[#],Questions[Answer]},2,FALSE),1,0)</f>
        <v/>
      </c>
      <c r="AV52" s="41">
        <f t="array" ref="AV52">IF(T52=VLOOKUP(VALUE(T$1),{Questions[#],Questions[Answer]},2,FALSE),1,0)</f>
        <v/>
      </c>
      <c r="AW52" s="41">
        <f t="array" ref="AW52">IF(U52=VLOOKUP(VALUE(U$1),{Questions[#],Questions[Answer]},2,FALSE),1,0)</f>
        <v/>
      </c>
      <c r="AX52" s="41">
        <f t="array" ref="AX52">IF(V52=VLOOKUP(VALUE(V$1),{Questions[#],Questions[Answer]},2,FALSE),1,0)</f>
        <v/>
      </c>
      <c r="AY52" s="41">
        <f t="array" ref="AY52">IF(W52=VLOOKUP(VALUE(W$1),{Questions[#],Questions[Answer]},2,FALSE),1,0)</f>
        <v/>
      </c>
      <c r="AZ52" s="41">
        <f t="array" ref="AZ52">IF(X52=VLOOKUP(VALUE(X$1),{Questions[#],Questions[Answer]},2,FALSE),1,0)</f>
        <v/>
      </c>
      <c r="BA52" s="41">
        <f t="array" ref="BA52">IF(Y52=VLOOKUP(VALUE(Y$1),{Questions[#],Questions[Answer]},2,FALSE),1,0)</f>
        <v/>
      </c>
      <c r="BB52" s="41">
        <f t="array" ref="BB52">IF(Z52=VLOOKUP(VALUE(Z$1),{Questions[#],Questions[Answer]},2,FALSE),1,0)</f>
        <v/>
      </c>
      <c r="BC52" s="41">
        <f t="array" ref="BC52">IF(AA52=VLOOKUP(VALUE(AA$1),{Questions[#],Questions[Answer]},2,FALSE),1,0)</f>
        <v/>
      </c>
      <c r="BD52" s="41">
        <f t="array" ref="BD52">IF(AB52=VLOOKUP(VALUE(AB$1),{Questions[#],Questions[Answer]},2,FALSE),1,0)</f>
        <v/>
      </c>
      <c r="BE52" s="41">
        <f t="array" ref="BE52">IF(AC52=VLOOKUP(VALUE(AC$1),{Questions[#],Questions[Answer]},2,FALSE),1,0)</f>
        <v/>
      </c>
      <c r="BF52" s="41">
        <f t="array" ref="BF52">IF(AD52=VLOOKUP(VALUE(AD$1),{Questions[#],Questions[Answer]},2,FALSE),1,0)</f>
        <v/>
      </c>
      <c r="BG52" s="41">
        <f t="array" ref="BG52">IF(AE52=VLOOKUP(VALUE(AE$1),{Questions[#],Questions[Answer]},2,FALSE),1,0)</f>
        <v/>
      </c>
      <c r="BH52" s="41">
        <f t="array" ref="BH52">IF(AF52=VLOOKUP(VALUE(AF$1),{Questions[#],Questions[Answer]},2,FALSE),1,0)</f>
        <v/>
      </c>
      <c r="BI52" s="41">
        <f t="array" ref="BI52">IF(AG52=VLOOKUP(VALUE(AG$1),{Questions[#],Questions[Answer]},2,FALSE),1,0)</f>
        <v/>
      </c>
      <c r="BJ52" s="41">
        <f t="array" ref="BJ52">IF(AH52=VLOOKUP(VALUE(AH$1),{Questions[#],Questions[Answer]},2,FALSE),1,0)</f>
        <v/>
      </c>
      <c r="BK52" s="41">
        <f t="array" ref="BK52">IF(AI52=VLOOKUP(VALUE(AI$1),{Questions[#],Questions[Answer]},2,FALSE),1,0)</f>
        <v/>
      </c>
      <c r="BL52" s="41">
        <f t="array" ref="BL52">IF(AJ52=VLOOKUP(VALUE(AJ$1),{Questions[#],Questions[Answer]},2,FALSE),1,0)</f>
        <v/>
      </c>
      <c r="BM52" s="41">
        <f t="array" ref="BM52">IF(AK52=VLOOKUP(VALUE(AK$1),{Questions[#],Questions[Answer]},2,FALSE),1,0)</f>
        <v/>
      </c>
      <c r="BN52" s="41">
        <f t="array" ref="BN52">IF(AL52=VLOOKUP(VALUE(AL$1),{Questions[#],Questions[Answer]},2,FALSE),1,0)</f>
        <v/>
      </c>
    </row>
    <row r="53" ht="22.5" customHeight="1" s="93">
      <c r="A53" s="42" t="inlineStr">
        <is>
          <t>Dushin</t>
        </is>
      </c>
      <c r="B53" s="41" t="n">
        <v>10</v>
      </c>
      <c r="C53" s="41" t="n">
        <v>8</v>
      </c>
      <c r="D53" s="43" t="inlineStr">
        <is>
          <t>KIMBERLY CASTILLO TAVAREZ</t>
        </is>
      </c>
      <c r="E53" s="41" t="n"/>
      <c r="F53" s="41" t="n"/>
      <c r="G53" s="11">
        <f>SUM(AM53:BN53)</f>
        <v/>
      </c>
      <c r="H53" s="12">
        <f>G53/9</f>
        <v/>
      </c>
      <c r="I53" s="12">
        <f>0.5+(G53/54)</f>
        <v/>
      </c>
      <c r="J53" s="13">
        <f>COUNTIF(K53:AL53,"")</f>
        <v/>
      </c>
      <c r="K53" s="34" t="n">
        <v>4</v>
      </c>
      <c r="L53" s="35" t="n">
        <v>1</v>
      </c>
      <c r="M53" s="35" t="n">
        <v>3</v>
      </c>
      <c r="N53" s="35" t="n">
        <v>2</v>
      </c>
      <c r="O53" s="35" t="n">
        <v>1</v>
      </c>
      <c r="P53" s="35" t="n">
        <v>3</v>
      </c>
      <c r="Q53" s="35" t="n">
        <v>2</v>
      </c>
      <c r="R53" s="35" t="n">
        <v>3</v>
      </c>
      <c r="S53" s="35" t="n">
        <v>1</v>
      </c>
      <c r="T53" s="35" t="n">
        <v>3</v>
      </c>
      <c r="U53" s="35" t="n">
        <v>1</v>
      </c>
      <c r="V53" s="35" t="n">
        <v>4</v>
      </c>
      <c r="W53" s="35" t="n">
        <v>2</v>
      </c>
      <c r="X53" s="41" t="n">
        <v>2</v>
      </c>
      <c r="Y53" s="35" t="n">
        <v>4</v>
      </c>
      <c r="Z53" s="35" t="n">
        <v>3</v>
      </c>
      <c r="AA53" s="35" t="n">
        <v>4</v>
      </c>
      <c r="AB53" s="35" t="n">
        <v>3</v>
      </c>
      <c r="AC53" s="35" t="n">
        <v>1</v>
      </c>
      <c r="AD53" s="35" t="n">
        <v>3</v>
      </c>
      <c r="AE53" s="41" t="n">
        <v>4</v>
      </c>
      <c r="AF53" s="35" t="n">
        <v>2</v>
      </c>
      <c r="AG53" s="35" t="n">
        <v>3</v>
      </c>
      <c r="AH53" s="35" t="n">
        <v>3</v>
      </c>
      <c r="AI53" s="35" t="n">
        <v>2</v>
      </c>
      <c r="AJ53" s="35" t="n">
        <v>1</v>
      </c>
      <c r="AK53" s="35" t="n">
        <v>1</v>
      </c>
      <c r="AL53" s="38" t="n">
        <v>2</v>
      </c>
      <c r="AM53" s="19">
        <f t="array" ref="AM53">IF(K53=VLOOKUP(VALUE(K$1),{Questions[#],Questions[Answer]},2,FALSE),1,0)</f>
        <v/>
      </c>
      <c r="AN53" s="41">
        <f t="array" ref="AN53">IF(L53=VLOOKUP(VALUE(L$1),{Questions[#],Questions[Answer]},2,FALSE),1,0)</f>
        <v/>
      </c>
      <c r="AO53" s="41">
        <f t="array" ref="AO53">IF(M53=VLOOKUP(VALUE(M$1),{Questions[#],Questions[Answer]},2,FALSE),1,0)</f>
        <v/>
      </c>
      <c r="AP53" s="41">
        <f t="array" ref="AP53">IF(N53=VLOOKUP(VALUE(N$1),{Questions[#],Questions[Answer]},2,FALSE),1,0)</f>
        <v/>
      </c>
      <c r="AQ53" s="41">
        <f t="array" ref="AQ53">IF(O53=VLOOKUP(VALUE(O$1),{Questions[#],Questions[Answer]},2,FALSE),1,0)</f>
        <v/>
      </c>
      <c r="AR53" s="41">
        <f t="array" ref="AR53">IF(P53=VLOOKUP(VALUE(P$1),{Questions[#],Questions[Answer]},2,FALSE),1,0)</f>
        <v/>
      </c>
      <c r="AS53" s="41">
        <f t="array" ref="AS53">IF(Q53=VLOOKUP(VALUE(Q$1),{Questions[#],Questions[Answer]},2,FALSE),1,0)</f>
        <v/>
      </c>
      <c r="AT53" s="41">
        <f t="array" ref="AT53">IF(R53=VLOOKUP(VALUE(R$1),{Questions[#],Questions[Answer]},2,FALSE),1,0)</f>
        <v/>
      </c>
      <c r="AU53" s="41">
        <f t="array" ref="AU53">IF(S53=VLOOKUP(VALUE(S$1),{Questions[#],Questions[Answer]},2,FALSE),1,0)</f>
        <v/>
      </c>
      <c r="AV53" s="41">
        <f t="array" ref="AV53">IF(T53=VLOOKUP(VALUE(T$1),{Questions[#],Questions[Answer]},2,FALSE),1,0)</f>
        <v/>
      </c>
      <c r="AW53" s="41">
        <f t="array" ref="AW53">IF(U53=VLOOKUP(VALUE(U$1),{Questions[#],Questions[Answer]},2,FALSE),1,0)</f>
        <v/>
      </c>
      <c r="AX53" s="41">
        <f t="array" ref="AX53">IF(V53=VLOOKUP(VALUE(V$1),{Questions[#],Questions[Answer]},2,FALSE),1,0)</f>
        <v/>
      </c>
      <c r="AY53" s="41">
        <f t="array" ref="AY53">IF(W53=VLOOKUP(VALUE(W$1),{Questions[#],Questions[Answer]},2,FALSE),1,0)</f>
        <v/>
      </c>
      <c r="AZ53" s="41">
        <f t="array" ref="AZ53">IF(X53=VLOOKUP(VALUE(X$1),{Questions[#],Questions[Answer]},2,FALSE),1,0)</f>
        <v/>
      </c>
      <c r="BA53" s="41">
        <f t="array" ref="BA53">IF(Y53=VLOOKUP(VALUE(Y$1),{Questions[#],Questions[Answer]},2,FALSE),1,0)</f>
        <v/>
      </c>
      <c r="BB53" s="41">
        <f t="array" ref="BB53">IF(Z53=VLOOKUP(VALUE(Z$1),{Questions[#],Questions[Answer]},2,FALSE),1,0)</f>
        <v/>
      </c>
      <c r="BC53" s="41">
        <f t="array" ref="BC53">IF(AA53=VLOOKUP(VALUE(AA$1),{Questions[#],Questions[Answer]},2,FALSE),1,0)</f>
        <v/>
      </c>
      <c r="BD53" s="41">
        <f t="array" ref="BD53">IF(AB53=VLOOKUP(VALUE(AB$1),{Questions[#],Questions[Answer]},2,FALSE),1,0)</f>
        <v/>
      </c>
      <c r="BE53" s="41">
        <f t="array" ref="BE53">IF(AC53=VLOOKUP(VALUE(AC$1),{Questions[#],Questions[Answer]},2,FALSE),1,0)</f>
        <v/>
      </c>
      <c r="BF53" s="41">
        <f t="array" ref="BF53">IF(AD53=VLOOKUP(VALUE(AD$1),{Questions[#],Questions[Answer]},2,FALSE),1,0)</f>
        <v/>
      </c>
      <c r="BG53" s="41">
        <f t="array" ref="BG53">IF(AE53=VLOOKUP(VALUE(AE$1),{Questions[#],Questions[Answer]},2,FALSE),1,0)</f>
        <v/>
      </c>
      <c r="BH53" s="41">
        <f t="array" ref="BH53">IF(AF53=VLOOKUP(VALUE(AF$1),{Questions[#],Questions[Answer]},2,FALSE),1,0)</f>
        <v/>
      </c>
      <c r="BI53" s="41">
        <f t="array" ref="BI53">IF(AG53=VLOOKUP(VALUE(AG$1),{Questions[#],Questions[Answer]},2,FALSE),1,0)</f>
        <v/>
      </c>
      <c r="BJ53" s="41">
        <f t="array" ref="BJ53">IF(AH53=VLOOKUP(VALUE(AH$1),{Questions[#],Questions[Answer]},2,FALSE),1,0)</f>
        <v/>
      </c>
      <c r="BK53" s="41">
        <f t="array" ref="BK53">IF(AI53=VLOOKUP(VALUE(AI$1),{Questions[#],Questions[Answer]},2,FALSE),1,0)</f>
        <v/>
      </c>
      <c r="BL53" s="41">
        <f t="array" ref="BL53">IF(AJ53=VLOOKUP(VALUE(AJ$1),{Questions[#],Questions[Answer]},2,FALSE),1,0)</f>
        <v/>
      </c>
      <c r="BM53" s="41">
        <f t="array" ref="BM53">IF(AK53=VLOOKUP(VALUE(AK$1),{Questions[#],Questions[Answer]},2,FALSE),1,0)</f>
        <v/>
      </c>
      <c r="BN53" s="41">
        <f t="array" ref="BN53">IF(AL53=VLOOKUP(VALUE(AL$1),{Questions[#],Questions[Answer]},2,FALSE),1,0)</f>
        <v/>
      </c>
    </row>
    <row r="54" ht="22.5" customHeight="1" s="93">
      <c r="A54" s="42" t="inlineStr">
        <is>
          <t>Dushin</t>
        </is>
      </c>
      <c r="B54" s="41" t="n">
        <v>10</v>
      </c>
      <c r="C54" s="41" t="n">
        <v>8</v>
      </c>
      <c r="D54" s="43" t="inlineStr">
        <is>
          <t>CASSAVIAN CLARKE</t>
        </is>
      </c>
      <c r="E54" s="41" t="n"/>
      <c r="F54" s="41" t="n"/>
      <c r="G54" s="11">
        <f>SUM(AM54:BN54)</f>
        <v/>
      </c>
      <c r="H54" s="12">
        <f>G54/9</f>
        <v/>
      </c>
      <c r="I54" s="12">
        <f>0.5+(G54/54)</f>
        <v/>
      </c>
      <c r="J54" s="13">
        <f>COUNTIF(K54:AL54,"")</f>
        <v/>
      </c>
      <c r="K54" s="34" t="n">
        <v>4</v>
      </c>
      <c r="L54" s="35" t="n">
        <v>1</v>
      </c>
      <c r="M54" s="35" t="n">
        <v>3</v>
      </c>
      <c r="N54" s="35" t="n">
        <v>2</v>
      </c>
      <c r="O54" s="35" t="n">
        <v>1</v>
      </c>
      <c r="P54" s="35" t="n">
        <v>3</v>
      </c>
      <c r="Q54" s="35" t="n">
        <v>2</v>
      </c>
      <c r="R54" s="35" t="n">
        <v>3</v>
      </c>
      <c r="S54" s="35" t="n">
        <v>1</v>
      </c>
      <c r="T54" s="35" t="n">
        <v>3</v>
      </c>
      <c r="U54" s="35" t="n">
        <v>1</v>
      </c>
      <c r="V54" s="35" t="n">
        <v>4</v>
      </c>
      <c r="W54" s="35" t="n">
        <v>2</v>
      </c>
      <c r="X54" s="41" t="n">
        <v>1</v>
      </c>
      <c r="Y54" s="35" t="n">
        <v>4</v>
      </c>
      <c r="Z54" s="35" t="n">
        <v>2</v>
      </c>
      <c r="AA54" s="35" t="n">
        <v>4</v>
      </c>
      <c r="AB54" s="35" t="n">
        <v>3</v>
      </c>
      <c r="AC54" s="35" t="n">
        <v>3</v>
      </c>
      <c r="AD54" s="35" t="n">
        <v>3</v>
      </c>
      <c r="AE54" s="41" t="n">
        <v>4</v>
      </c>
      <c r="AF54" s="35" t="n">
        <v>2</v>
      </c>
      <c r="AG54" s="35" t="n">
        <v>2</v>
      </c>
      <c r="AH54" s="35" t="n">
        <v>3</v>
      </c>
      <c r="AI54" s="35" t="n">
        <v>4</v>
      </c>
      <c r="AJ54" s="35" t="n">
        <v>4</v>
      </c>
      <c r="AK54" s="35" t="n">
        <v>1</v>
      </c>
      <c r="AL54" s="38" t="n">
        <v>2</v>
      </c>
      <c r="AM54" s="19">
        <f t="array" ref="AM54">IF(K54=VLOOKUP(VALUE(K$1),{Questions[#],Questions[Answer]},2,FALSE),1,0)</f>
        <v/>
      </c>
      <c r="AN54" s="41">
        <f t="array" ref="AN54">IF(L54=VLOOKUP(VALUE(L$1),{Questions[#],Questions[Answer]},2,FALSE),1,0)</f>
        <v/>
      </c>
      <c r="AO54" s="41">
        <f t="array" ref="AO54">IF(M54=VLOOKUP(VALUE(M$1),{Questions[#],Questions[Answer]},2,FALSE),1,0)</f>
        <v/>
      </c>
      <c r="AP54" s="41">
        <f t="array" ref="AP54">IF(N54=VLOOKUP(VALUE(N$1),{Questions[#],Questions[Answer]},2,FALSE),1,0)</f>
        <v/>
      </c>
      <c r="AQ54" s="41">
        <f t="array" ref="AQ54">IF(O54=VLOOKUP(VALUE(O$1),{Questions[#],Questions[Answer]},2,FALSE),1,0)</f>
        <v/>
      </c>
      <c r="AR54" s="41">
        <f t="array" ref="AR54">IF(P54=VLOOKUP(VALUE(P$1),{Questions[#],Questions[Answer]},2,FALSE),1,0)</f>
        <v/>
      </c>
      <c r="AS54" s="41">
        <f t="array" ref="AS54">IF(Q54=VLOOKUP(VALUE(Q$1),{Questions[#],Questions[Answer]},2,FALSE),1,0)</f>
        <v/>
      </c>
      <c r="AT54" s="41">
        <f t="array" ref="AT54">IF(R54=VLOOKUP(VALUE(R$1),{Questions[#],Questions[Answer]},2,FALSE),1,0)</f>
        <v/>
      </c>
      <c r="AU54" s="41">
        <f t="array" ref="AU54">IF(S54=VLOOKUP(VALUE(S$1),{Questions[#],Questions[Answer]},2,FALSE),1,0)</f>
        <v/>
      </c>
      <c r="AV54" s="41">
        <f t="array" ref="AV54">IF(T54=VLOOKUP(VALUE(T$1),{Questions[#],Questions[Answer]},2,FALSE),1,0)</f>
        <v/>
      </c>
      <c r="AW54" s="41">
        <f t="array" ref="AW54">IF(U54=VLOOKUP(VALUE(U$1),{Questions[#],Questions[Answer]},2,FALSE),1,0)</f>
        <v/>
      </c>
      <c r="AX54" s="41">
        <f t="array" ref="AX54">IF(V54=VLOOKUP(VALUE(V$1),{Questions[#],Questions[Answer]},2,FALSE),1,0)</f>
        <v/>
      </c>
      <c r="AY54" s="41">
        <f t="array" ref="AY54">IF(W54=VLOOKUP(VALUE(W$1),{Questions[#],Questions[Answer]},2,FALSE),1,0)</f>
        <v/>
      </c>
      <c r="AZ54" s="41">
        <f t="array" ref="AZ54">IF(X54=VLOOKUP(VALUE(X$1),{Questions[#],Questions[Answer]},2,FALSE),1,0)</f>
        <v/>
      </c>
      <c r="BA54" s="41">
        <f t="array" ref="BA54">IF(Y54=VLOOKUP(VALUE(Y$1),{Questions[#],Questions[Answer]},2,FALSE),1,0)</f>
        <v/>
      </c>
      <c r="BB54" s="41">
        <f t="array" ref="BB54">IF(Z54=VLOOKUP(VALUE(Z$1),{Questions[#],Questions[Answer]},2,FALSE),1,0)</f>
        <v/>
      </c>
      <c r="BC54" s="41">
        <f t="array" ref="BC54">IF(AA54=VLOOKUP(VALUE(AA$1),{Questions[#],Questions[Answer]},2,FALSE),1,0)</f>
        <v/>
      </c>
      <c r="BD54" s="41">
        <f t="array" ref="BD54">IF(AB54=VLOOKUP(VALUE(AB$1),{Questions[#],Questions[Answer]},2,FALSE),1,0)</f>
        <v/>
      </c>
      <c r="BE54" s="41">
        <f t="array" ref="BE54">IF(AC54=VLOOKUP(VALUE(AC$1),{Questions[#],Questions[Answer]},2,FALSE),1,0)</f>
        <v/>
      </c>
      <c r="BF54" s="41">
        <f t="array" ref="BF54">IF(AD54=VLOOKUP(VALUE(AD$1),{Questions[#],Questions[Answer]},2,FALSE),1,0)</f>
        <v/>
      </c>
      <c r="BG54" s="41">
        <f t="array" ref="BG54">IF(AE54=VLOOKUP(VALUE(AE$1),{Questions[#],Questions[Answer]},2,FALSE),1,0)</f>
        <v/>
      </c>
      <c r="BH54" s="41">
        <f t="array" ref="BH54">IF(AF54=VLOOKUP(VALUE(AF$1),{Questions[#],Questions[Answer]},2,FALSE),1,0)</f>
        <v/>
      </c>
      <c r="BI54" s="41">
        <f t="array" ref="BI54">IF(AG54=VLOOKUP(VALUE(AG$1),{Questions[#],Questions[Answer]},2,FALSE),1,0)</f>
        <v/>
      </c>
      <c r="BJ54" s="41">
        <f t="array" ref="BJ54">IF(AH54=VLOOKUP(VALUE(AH$1),{Questions[#],Questions[Answer]},2,FALSE),1,0)</f>
        <v/>
      </c>
      <c r="BK54" s="41">
        <f t="array" ref="BK54">IF(AI54=VLOOKUP(VALUE(AI$1),{Questions[#],Questions[Answer]},2,FALSE),1,0)</f>
        <v/>
      </c>
      <c r="BL54" s="41">
        <f t="array" ref="BL54">IF(AJ54=VLOOKUP(VALUE(AJ$1),{Questions[#],Questions[Answer]},2,FALSE),1,0)</f>
        <v/>
      </c>
      <c r="BM54" s="41">
        <f t="array" ref="BM54">IF(AK54=VLOOKUP(VALUE(AK$1),{Questions[#],Questions[Answer]},2,FALSE),1,0)</f>
        <v/>
      </c>
      <c r="BN54" s="41">
        <f t="array" ref="BN54">IF(AL54=VLOOKUP(VALUE(AL$1),{Questions[#],Questions[Answer]},2,FALSE),1,0)</f>
        <v/>
      </c>
    </row>
    <row r="55" ht="22.5" customHeight="1" s="93">
      <c r="A55" s="42" t="inlineStr">
        <is>
          <t>Dushin</t>
        </is>
      </c>
      <c r="B55" s="41" t="n">
        <v>10</v>
      </c>
      <c r="C55" s="41" t="n">
        <v>8</v>
      </c>
      <c r="D55" s="43" t="inlineStr">
        <is>
          <t>JOSHUA CRONICK</t>
        </is>
      </c>
      <c r="E55" s="41" t="n"/>
      <c r="F55" s="41" t="n"/>
      <c r="G55" s="11">
        <f>SUM(AM55:BN55)</f>
        <v/>
      </c>
      <c r="H55" s="12">
        <f>G55/9</f>
        <v/>
      </c>
      <c r="I55" s="12">
        <f>0.5+(G55/54)</f>
        <v/>
      </c>
      <c r="J55" s="13">
        <f>COUNTIF(K55:AL55,"")</f>
        <v/>
      </c>
      <c r="K55" s="34" t="n">
        <v>1</v>
      </c>
      <c r="L55" s="35" t="n">
        <v>1</v>
      </c>
      <c r="M55" s="35" t="n">
        <v>3</v>
      </c>
      <c r="N55" s="35" t="n">
        <v>2</v>
      </c>
      <c r="O55" s="35" t="n">
        <v>4</v>
      </c>
      <c r="P55" s="35" t="n">
        <v>3</v>
      </c>
      <c r="Q55" s="35" t="n">
        <v>4</v>
      </c>
      <c r="R55" s="35" t="n">
        <v>3</v>
      </c>
      <c r="S55" s="35" t="n">
        <v>1</v>
      </c>
      <c r="T55" s="35" t="n">
        <v>4</v>
      </c>
      <c r="U55" s="35" t="n">
        <v>1</v>
      </c>
      <c r="V55" s="35" t="n">
        <v>4</v>
      </c>
      <c r="W55" s="35" t="n">
        <v>2</v>
      </c>
      <c r="X55" s="41" t="n">
        <v>4</v>
      </c>
      <c r="Y55" s="35" t="n">
        <v>4</v>
      </c>
      <c r="Z55" s="35" t="n">
        <v>3</v>
      </c>
      <c r="AA55" s="35" t="n">
        <v>4</v>
      </c>
      <c r="AB55" s="35" t="n">
        <v>3</v>
      </c>
      <c r="AC55" s="35" t="n">
        <v>1</v>
      </c>
      <c r="AD55" s="35" t="n">
        <v>3</v>
      </c>
      <c r="AE55" s="41" t="n">
        <v>4</v>
      </c>
      <c r="AF55" s="35" t="n">
        <v>2</v>
      </c>
      <c r="AG55" s="35" t="n">
        <v>1</v>
      </c>
      <c r="AH55" s="35" t="n">
        <v>3</v>
      </c>
      <c r="AI55" s="35" t="n">
        <v>1</v>
      </c>
      <c r="AJ55" s="35" t="n">
        <v>4</v>
      </c>
      <c r="AK55" s="35" t="n">
        <v>2</v>
      </c>
      <c r="AL55" s="38" t="n">
        <v>1</v>
      </c>
      <c r="AM55" s="19">
        <f t="array" ref="AM55">IF(K55=VLOOKUP(VALUE(K$1),{Questions[#],Questions[Answer]},2,FALSE),1,0)</f>
        <v/>
      </c>
      <c r="AN55" s="41">
        <f t="array" ref="AN55">IF(L55=VLOOKUP(VALUE(L$1),{Questions[#],Questions[Answer]},2,FALSE),1,0)</f>
        <v/>
      </c>
      <c r="AO55" s="41">
        <f t="array" ref="AO55">IF(M55=VLOOKUP(VALUE(M$1),{Questions[#],Questions[Answer]},2,FALSE),1,0)</f>
        <v/>
      </c>
      <c r="AP55" s="41">
        <f t="array" ref="AP55">IF(N55=VLOOKUP(VALUE(N$1),{Questions[#],Questions[Answer]},2,FALSE),1,0)</f>
        <v/>
      </c>
      <c r="AQ55" s="41">
        <f t="array" ref="AQ55">IF(O55=VLOOKUP(VALUE(O$1),{Questions[#],Questions[Answer]},2,FALSE),1,0)</f>
        <v/>
      </c>
      <c r="AR55" s="41">
        <f t="array" ref="AR55">IF(P55=VLOOKUP(VALUE(P$1),{Questions[#],Questions[Answer]},2,FALSE),1,0)</f>
        <v/>
      </c>
      <c r="AS55" s="41">
        <f t="array" ref="AS55">IF(Q55=VLOOKUP(VALUE(Q$1),{Questions[#],Questions[Answer]},2,FALSE),1,0)</f>
        <v/>
      </c>
      <c r="AT55" s="41">
        <f t="array" ref="AT55">IF(R55=VLOOKUP(VALUE(R$1),{Questions[#],Questions[Answer]},2,FALSE),1,0)</f>
        <v/>
      </c>
      <c r="AU55" s="41">
        <f t="array" ref="AU55">IF(S55=VLOOKUP(VALUE(S$1),{Questions[#],Questions[Answer]},2,FALSE),1,0)</f>
        <v/>
      </c>
      <c r="AV55" s="41">
        <f t="array" ref="AV55">IF(T55=VLOOKUP(VALUE(T$1),{Questions[#],Questions[Answer]},2,FALSE),1,0)</f>
        <v/>
      </c>
      <c r="AW55" s="41">
        <f t="array" ref="AW55">IF(U55=VLOOKUP(VALUE(U$1),{Questions[#],Questions[Answer]},2,FALSE),1,0)</f>
        <v/>
      </c>
      <c r="AX55" s="41">
        <f t="array" ref="AX55">IF(V55=VLOOKUP(VALUE(V$1),{Questions[#],Questions[Answer]},2,FALSE),1,0)</f>
        <v/>
      </c>
      <c r="AY55" s="41">
        <f t="array" ref="AY55">IF(W55=VLOOKUP(VALUE(W$1),{Questions[#],Questions[Answer]},2,FALSE),1,0)</f>
        <v/>
      </c>
      <c r="AZ55" s="41">
        <f t="array" ref="AZ55">IF(X55=VLOOKUP(VALUE(X$1),{Questions[#],Questions[Answer]},2,FALSE),1,0)</f>
        <v/>
      </c>
      <c r="BA55" s="41">
        <f t="array" ref="BA55">IF(Y55=VLOOKUP(VALUE(Y$1),{Questions[#],Questions[Answer]},2,FALSE),1,0)</f>
        <v/>
      </c>
      <c r="BB55" s="41">
        <f t="array" ref="BB55">IF(Z55=VLOOKUP(VALUE(Z$1),{Questions[#],Questions[Answer]},2,FALSE),1,0)</f>
        <v/>
      </c>
      <c r="BC55" s="41">
        <f t="array" ref="BC55">IF(AA55=VLOOKUP(VALUE(AA$1),{Questions[#],Questions[Answer]},2,FALSE),1,0)</f>
        <v/>
      </c>
      <c r="BD55" s="41">
        <f t="array" ref="BD55">IF(AB55=VLOOKUP(VALUE(AB$1),{Questions[#],Questions[Answer]},2,FALSE),1,0)</f>
        <v/>
      </c>
      <c r="BE55" s="41">
        <f t="array" ref="BE55">IF(AC55=VLOOKUP(VALUE(AC$1),{Questions[#],Questions[Answer]},2,FALSE),1,0)</f>
        <v/>
      </c>
      <c r="BF55" s="41">
        <f t="array" ref="BF55">IF(AD55=VLOOKUP(VALUE(AD$1),{Questions[#],Questions[Answer]},2,FALSE),1,0)</f>
        <v/>
      </c>
      <c r="BG55" s="41">
        <f t="array" ref="BG55">IF(AE55=VLOOKUP(VALUE(AE$1),{Questions[#],Questions[Answer]},2,FALSE),1,0)</f>
        <v/>
      </c>
      <c r="BH55" s="41">
        <f t="array" ref="BH55">IF(AF55=VLOOKUP(VALUE(AF$1),{Questions[#],Questions[Answer]},2,FALSE),1,0)</f>
        <v/>
      </c>
      <c r="BI55" s="41">
        <f t="array" ref="BI55">IF(AG55=VLOOKUP(VALUE(AG$1),{Questions[#],Questions[Answer]},2,FALSE),1,0)</f>
        <v/>
      </c>
      <c r="BJ55" s="41">
        <f t="array" ref="BJ55">IF(AH55=VLOOKUP(VALUE(AH$1),{Questions[#],Questions[Answer]},2,FALSE),1,0)</f>
        <v/>
      </c>
      <c r="BK55" s="41">
        <f t="array" ref="BK55">IF(AI55=VLOOKUP(VALUE(AI$1),{Questions[#],Questions[Answer]},2,FALSE),1,0)</f>
        <v/>
      </c>
      <c r="BL55" s="41">
        <f t="array" ref="BL55">IF(AJ55=VLOOKUP(VALUE(AJ$1),{Questions[#],Questions[Answer]},2,FALSE),1,0)</f>
        <v/>
      </c>
      <c r="BM55" s="41">
        <f t="array" ref="BM55">IF(AK55=VLOOKUP(VALUE(AK$1),{Questions[#],Questions[Answer]},2,FALSE),1,0)</f>
        <v/>
      </c>
      <c r="BN55" s="41">
        <f t="array" ref="BN55">IF(AL55=VLOOKUP(VALUE(AL$1),{Questions[#],Questions[Answer]},2,FALSE),1,0)</f>
        <v/>
      </c>
    </row>
    <row r="56" ht="22.5" customHeight="1" s="93">
      <c r="A56" s="42" t="inlineStr">
        <is>
          <t>Dushin</t>
        </is>
      </c>
      <c r="B56" s="41" t="n">
        <v>10</v>
      </c>
      <c r="C56" s="41" t="n">
        <v>8</v>
      </c>
      <c r="D56" s="43" t="inlineStr">
        <is>
          <t>JOHAN CUELLO</t>
        </is>
      </c>
      <c r="E56" s="41" t="n"/>
      <c r="F56" s="41" t="n"/>
      <c r="G56" s="11">
        <f>SUM(AM56:BN56)</f>
        <v/>
      </c>
      <c r="H56" s="12">
        <f>G56/9</f>
        <v/>
      </c>
      <c r="I56" s="12">
        <f>0.5+(G56/54)</f>
        <v/>
      </c>
      <c r="J56" s="13">
        <f>COUNTIF(K56:AL56,"")</f>
        <v/>
      </c>
      <c r="K56" s="34" t="n">
        <v>4</v>
      </c>
      <c r="L56" s="35" t="n">
        <v>1</v>
      </c>
      <c r="M56" s="35" t="n">
        <v>3</v>
      </c>
      <c r="N56" s="35" t="n">
        <v>2</v>
      </c>
      <c r="O56" s="35" t="n">
        <v>1</v>
      </c>
      <c r="P56" s="35" t="n">
        <v>3</v>
      </c>
      <c r="Q56" s="35" t="n">
        <v>2</v>
      </c>
      <c r="R56" s="35" t="n">
        <v>3</v>
      </c>
      <c r="S56" s="35" t="n">
        <v>1</v>
      </c>
      <c r="T56" s="35" t="n">
        <v>3</v>
      </c>
      <c r="U56" s="35" t="n">
        <v>3</v>
      </c>
      <c r="V56" s="35" t="n">
        <v>4</v>
      </c>
      <c r="W56" s="35" t="n">
        <v>2</v>
      </c>
      <c r="X56" s="41" t="n">
        <v>2</v>
      </c>
      <c r="Y56" s="35" t="n">
        <v>4</v>
      </c>
      <c r="Z56" s="35" t="n">
        <v>3</v>
      </c>
      <c r="AA56" s="35" t="n">
        <v>4</v>
      </c>
      <c r="AB56" s="35" t="n">
        <v>3</v>
      </c>
      <c r="AC56" s="35" t="n">
        <v>1</v>
      </c>
      <c r="AD56" s="35" t="n">
        <v>3</v>
      </c>
      <c r="AE56" s="41" t="n">
        <v>4</v>
      </c>
      <c r="AF56" s="35" t="n">
        <v>2</v>
      </c>
      <c r="AG56" s="35" t="n">
        <v>3</v>
      </c>
      <c r="AH56" s="35" t="n">
        <v>3</v>
      </c>
      <c r="AI56" s="35" t="n">
        <v>2</v>
      </c>
      <c r="AJ56" s="35" t="n">
        <v>4</v>
      </c>
      <c r="AK56" s="35" t="n">
        <v>1</v>
      </c>
      <c r="AL56" s="38" t="n">
        <v>2</v>
      </c>
      <c r="AM56" s="19">
        <f t="array" ref="AM56">IF(K56=VLOOKUP(VALUE(K$1),{Questions[#],Questions[Answer]},2,FALSE),1,0)</f>
        <v/>
      </c>
      <c r="AN56" s="41">
        <f t="array" ref="AN56">IF(L56=VLOOKUP(VALUE(L$1),{Questions[#],Questions[Answer]},2,FALSE),1,0)</f>
        <v/>
      </c>
      <c r="AO56" s="41">
        <f t="array" ref="AO56">IF(M56=VLOOKUP(VALUE(M$1),{Questions[#],Questions[Answer]},2,FALSE),1,0)</f>
        <v/>
      </c>
      <c r="AP56" s="41">
        <f t="array" ref="AP56">IF(N56=VLOOKUP(VALUE(N$1),{Questions[#],Questions[Answer]},2,FALSE),1,0)</f>
        <v/>
      </c>
      <c r="AQ56" s="41">
        <f t="array" ref="AQ56">IF(O56=VLOOKUP(VALUE(O$1),{Questions[#],Questions[Answer]},2,FALSE),1,0)</f>
        <v/>
      </c>
      <c r="AR56" s="41">
        <f t="array" ref="AR56">IF(P56=VLOOKUP(VALUE(P$1),{Questions[#],Questions[Answer]},2,FALSE),1,0)</f>
        <v/>
      </c>
      <c r="AS56" s="41">
        <f t="array" ref="AS56">IF(Q56=VLOOKUP(VALUE(Q$1),{Questions[#],Questions[Answer]},2,FALSE),1,0)</f>
        <v/>
      </c>
      <c r="AT56" s="41">
        <f t="array" ref="AT56">IF(R56=VLOOKUP(VALUE(R$1),{Questions[#],Questions[Answer]},2,FALSE),1,0)</f>
        <v/>
      </c>
      <c r="AU56" s="41">
        <f t="array" ref="AU56">IF(S56=VLOOKUP(VALUE(S$1),{Questions[#],Questions[Answer]},2,FALSE),1,0)</f>
        <v/>
      </c>
      <c r="AV56" s="41">
        <f t="array" ref="AV56">IF(T56=VLOOKUP(VALUE(T$1),{Questions[#],Questions[Answer]},2,FALSE),1,0)</f>
        <v/>
      </c>
      <c r="AW56" s="41">
        <f t="array" ref="AW56">IF(U56=VLOOKUP(VALUE(U$1),{Questions[#],Questions[Answer]},2,FALSE),1,0)</f>
        <v/>
      </c>
      <c r="AX56" s="41">
        <f t="array" ref="AX56">IF(V56=VLOOKUP(VALUE(V$1),{Questions[#],Questions[Answer]},2,FALSE),1,0)</f>
        <v/>
      </c>
      <c r="AY56" s="41">
        <f t="array" ref="AY56">IF(W56=VLOOKUP(VALUE(W$1),{Questions[#],Questions[Answer]},2,FALSE),1,0)</f>
        <v/>
      </c>
      <c r="AZ56" s="41">
        <f t="array" ref="AZ56">IF(X56=VLOOKUP(VALUE(X$1),{Questions[#],Questions[Answer]},2,FALSE),1,0)</f>
        <v/>
      </c>
      <c r="BA56" s="41">
        <f t="array" ref="BA56">IF(Y56=VLOOKUP(VALUE(Y$1),{Questions[#],Questions[Answer]},2,FALSE),1,0)</f>
        <v/>
      </c>
      <c r="BB56" s="41">
        <f t="array" ref="BB56">IF(Z56=VLOOKUP(VALUE(Z$1),{Questions[#],Questions[Answer]},2,FALSE),1,0)</f>
        <v/>
      </c>
      <c r="BC56" s="41">
        <f t="array" ref="BC56">IF(AA56=VLOOKUP(VALUE(AA$1),{Questions[#],Questions[Answer]},2,FALSE),1,0)</f>
        <v/>
      </c>
      <c r="BD56" s="41">
        <f t="array" ref="BD56">IF(AB56=VLOOKUP(VALUE(AB$1),{Questions[#],Questions[Answer]},2,FALSE),1,0)</f>
        <v/>
      </c>
      <c r="BE56" s="41">
        <f t="array" ref="BE56">IF(AC56=VLOOKUP(VALUE(AC$1),{Questions[#],Questions[Answer]},2,FALSE),1,0)</f>
        <v/>
      </c>
      <c r="BF56" s="41">
        <f t="array" ref="BF56">IF(AD56=VLOOKUP(VALUE(AD$1),{Questions[#],Questions[Answer]},2,FALSE),1,0)</f>
        <v/>
      </c>
      <c r="BG56" s="41">
        <f t="array" ref="BG56">IF(AE56=VLOOKUP(VALUE(AE$1),{Questions[#],Questions[Answer]},2,FALSE),1,0)</f>
        <v/>
      </c>
      <c r="BH56" s="41">
        <f t="array" ref="BH56">IF(AF56=VLOOKUP(VALUE(AF$1),{Questions[#],Questions[Answer]},2,FALSE),1,0)</f>
        <v/>
      </c>
      <c r="BI56" s="41">
        <f t="array" ref="BI56">IF(AG56=VLOOKUP(VALUE(AG$1),{Questions[#],Questions[Answer]},2,FALSE),1,0)</f>
        <v/>
      </c>
      <c r="BJ56" s="41">
        <f t="array" ref="BJ56">IF(AH56=VLOOKUP(VALUE(AH$1),{Questions[#],Questions[Answer]},2,FALSE),1,0)</f>
        <v/>
      </c>
      <c r="BK56" s="41">
        <f t="array" ref="BK56">IF(AI56=VLOOKUP(VALUE(AI$1),{Questions[#],Questions[Answer]},2,FALSE),1,0)</f>
        <v/>
      </c>
      <c r="BL56" s="41">
        <f t="array" ref="BL56">IF(AJ56=VLOOKUP(VALUE(AJ$1),{Questions[#],Questions[Answer]},2,FALSE),1,0)</f>
        <v/>
      </c>
      <c r="BM56" s="41">
        <f t="array" ref="BM56">IF(AK56=VLOOKUP(VALUE(AK$1),{Questions[#],Questions[Answer]},2,FALSE),1,0)</f>
        <v/>
      </c>
      <c r="BN56" s="41">
        <f t="array" ref="BN56">IF(AL56=VLOOKUP(VALUE(AL$1),{Questions[#],Questions[Answer]},2,FALSE),1,0)</f>
        <v/>
      </c>
    </row>
    <row r="57" ht="22.5" customHeight="1" s="93">
      <c r="A57" s="42" t="inlineStr">
        <is>
          <t>Dushin</t>
        </is>
      </c>
      <c r="B57" s="41" t="n">
        <v>10</v>
      </c>
      <c r="C57" s="41" t="n">
        <v>8</v>
      </c>
      <c r="D57" s="43" t="inlineStr">
        <is>
          <t>JOLANDA DAVISON</t>
        </is>
      </c>
      <c r="E57" s="41" t="n"/>
      <c r="F57" s="41" t="n"/>
      <c r="G57" s="11">
        <f>SUM(AM57:BN57)</f>
        <v/>
      </c>
      <c r="H57" s="12">
        <f>G57/9</f>
        <v/>
      </c>
      <c r="I57" s="12">
        <f>0.5+(G57/54)</f>
        <v/>
      </c>
      <c r="J57" s="13">
        <f>COUNTIF(K57:AL57,"")</f>
        <v/>
      </c>
      <c r="K57" s="34" t="n">
        <v>4</v>
      </c>
      <c r="L57" s="35" t="n">
        <v>1</v>
      </c>
      <c r="M57" s="35" t="n">
        <v>3</v>
      </c>
      <c r="N57" s="35" t="n">
        <v>2</v>
      </c>
      <c r="O57" s="35" t="n">
        <v>1</v>
      </c>
      <c r="P57" s="35" t="n">
        <v>3</v>
      </c>
      <c r="Q57" s="35" t="n">
        <v>2</v>
      </c>
      <c r="R57" s="35" t="n">
        <v>3</v>
      </c>
      <c r="S57" s="35" t="n">
        <v>1</v>
      </c>
      <c r="T57" s="35" t="n">
        <v>3</v>
      </c>
      <c r="U57" s="35" t="n">
        <v>1</v>
      </c>
      <c r="V57" s="35" t="n">
        <v>4</v>
      </c>
      <c r="W57" s="35" t="n">
        <v>2</v>
      </c>
      <c r="X57" s="41" t="n">
        <v>2</v>
      </c>
      <c r="Y57" s="35" t="n">
        <v>4</v>
      </c>
      <c r="Z57" s="35" t="n">
        <v>4</v>
      </c>
      <c r="AA57" s="35" t="n">
        <v>4</v>
      </c>
      <c r="AB57" s="35" t="n">
        <v>3</v>
      </c>
      <c r="AC57" s="35" t="n">
        <v>1</v>
      </c>
      <c r="AD57" s="35" t="n">
        <v>3</v>
      </c>
      <c r="AE57" s="41" t="n">
        <v>4</v>
      </c>
      <c r="AF57" s="35" t="n">
        <v>2</v>
      </c>
      <c r="AG57" s="35" t="n">
        <v>3</v>
      </c>
      <c r="AH57" s="35" t="n">
        <v>3</v>
      </c>
      <c r="AI57" s="35" t="n">
        <v>1</v>
      </c>
      <c r="AJ57" s="35" t="n">
        <v>4</v>
      </c>
      <c r="AK57" s="35" t="n">
        <v>2</v>
      </c>
      <c r="AL57" s="38" t="n">
        <v>1</v>
      </c>
      <c r="AM57" s="19">
        <f t="array" ref="AM57">IF(K57=VLOOKUP(VALUE(K$1),{Questions[#],Questions[Answer]},2,FALSE),1,0)</f>
        <v/>
      </c>
      <c r="AN57" s="41">
        <f t="array" ref="AN57">IF(L57=VLOOKUP(VALUE(L$1),{Questions[#],Questions[Answer]},2,FALSE),1,0)</f>
        <v/>
      </c>
      <c r="AO57" s="41">
        <f t="array" ref="AO57">IF(M57=VLOOKUP(VALUE(M$1),{Questions[#],Questions[Answer]},2,FALSE),1,0)</f>
        <v/>
      </c>
      <c r="AP57" s="41">
        <f t="array" ref="AP57">IF(N57=VLOOKUP(VALUE(N$1),{Questions[#],Questions[Answer]},2,FALSE),1,0)</f>
        <v/>
      </c>
      <c r="AQ57" s="41">
        <f t="array" ref="AQ57">IF(O57=VLOOKUP(VALUE(O$1),{Questions[#],Questions[Answer]},2,FALSE),1,0)</f>
        <v/>
      </c>
      <c r="AR57" s="41">
        <f t="array" ref="AR57">IF(P57=VLOOKUP(VALUE(P$1),{Questions[#],Questions[Answer]},2,FALSE),1,0)</f>
        <v/>
      </c>
      <c r="AS57" s="41">
        <f t="array" ref="AS57">IF(Q57=VLOOKUP(VALUE(Q$1),{Questions[#],Questions[Answer]},2,FALSE),1,0)</f>
        <v/>
      </c>
      <c r="AT57" s="41">
        <f t="array" ref="AT57">IF(R57=VLOOKUP(VALUE(R$1),{Questions[#],Questions[Answer]},2,FALSE),1,0)</f>
        <v/>
      </c>
      <c r="AU57" s="41">
        <f t="array" ref="AU57">IF(S57=VLOOKUP(VALUE(S$1),{Questions[#],Questions[Answer]},2,FALSE),1,0)</f>
        <v/>
      </c>
      <c r="AV57" s="41">
        <f t="array" ref="AV57">IF(T57=VLOOKUP(VALUE(T$1),{Questions[#],Questions[Answer]},2,FALSE),1,0)</f>
        <v/>
      </c>
      <c r="AW57" s="41">
        <f t="array" ref="AW57">IF(U57=VLOOKUP(VALUE(U$1),{Questions[#],Questions[Answer]},2,FALSE),1,0)</f>
        <v/>
      </c>
      <c r="AX57" s="41">
        <f t="array" ref="AX57">IF(V57=VLOOKUP(VALUE(V$1),{Questions[#],Questions[Answer]},2,FALSE),1,0)</f>
        <v/>
      </c>
      <c r="AY57" s="41">
        <f t="array" ref="AY57">IF(W57=VLOOKUP(VALUE(W$1),{Questions[#],Questions[Answer]},2,FALSE),1,0)</f>
        <v/>
      </c>
      <c r="AZ57" s="41">
        <f t="array" ref="AZ57">IF(X57=VLOOKUP(VALUE(X$1),{Questions[#],Questions[Answer]},2,FALSE),1,0)</f>
        <v/>
      </c>
      <c r="BA57" s="41">
        <f t="array" ref="BA57">IF(Y57=VLOOKUP(VALUE(Y$1),{Questions[#],Questions[Answer]},2,FALSE),1,0)</f>
        <v/>
      </c>
      <c r="BB57" s="41">
        <f t="array" ref="BB57">IF(Z57=VLOOKUP(VALUE(Z$1),{Questions[#],Questions[Answer]},2,FALSE),1,0)</f>
        <v/>
      </c>
      <c r="BC57" s="41">
        <f t="array" ref="BC57">IF(AA57=VLOOKUP(VALUE(AA$1),{Questions[#],Questions[Answer]},2,FALSE),1,0)</f>
        <v/>
      </c>
      <c r="BD57" s="41">
        <f t="array" ref="BD57">IF(AB57=VLOOKUP(VALUE(AB$1),{Questions[#],Questions[Answer]},2,FALSE),1,0)</f>
        <v/>
      </c>
      <c r="BE57" s="41">
        <f t="array" ref="BE57">IF(AC57=VLOOKUP(VALUE(AC$1),{Questions[#],Questions[Answer]},2,FALSE),1,0)</f>
        <v/>
      </c>
      <c r="BF57" s="41">
        <f t="array" ref="BF57">IF(AD57=VLOOKUP(VALUE(AD$1),{Questions[#],Questions[Answer]},2,FALSE),1,0)</f>
        <v/>
      </c>
      <c r="BG57" s="41">
        <f t="array" ref="BG57">IF(AE57=VLOOKUP(VALUE(AE$1),{Questions[#],Questions[Answer]},2,FALSE),1,0)</f>
        <v/>
      </c>
      <c r="BH57" s="41">
        <f t="array" ref="BH57">IF(AF57=VLOOKUP(VALUE(AF$1),{Questions[#],Questions[Answer]},2,FALSE),1,0)</f>
        <v/>
      </c>
      <c r="BI57" s="41">
        <f t="array" ref="BI57">IF(AG57=VLOOKUP(VALUE(AG$1),{Questions[#],Questions[Answer]},2,FALSE),1,0)</f>
        <v/>
      </c>
      <c r="BJ57" s="41">
        <f t="array" ref="BJ57">IF(AH57=VLOOKUP(VALUE(AH$1),{Questions[#],Questions[Answer]},2,FALSE),1,0)</f>
        <v/>
      </c>
      <c r="BK57" s="41">
        <f t="array" ref="BK57">IF(AI57=VLOOKUP(VALUE(AI$1),{Questions[#],Questions[Answer]},2,FALSE),1,0)</f>
        <v/>
      </c>
      <c r="BL57" s="41">
        <f t="array" ref="BL57">IF(AJ57=VLOOKUP(VALUE(AJ$1),{Questions[#],Questions[Answer]},2,FALSE),1,0)</f>
        <v/>
      </c>
      <c r="BM57" s="41">
        <f t="array" ref="BM57">IF(AK57=VLOOKUP(VALUE(AK$1),{Questions[#],Questions[Answer]},2,FALSE),1,0)</f>
        <v/>
      </c>
      <c r="BN57" s="41">
        <f t="array" ref="BN57">IF(AL57=VLOOKUP(VALUE(AL$1),{Questions[#],Questions[Answer]},2,FALSE),1,0)</f>
        <v/>
      </c>
    </row>
    <row r="58" ht="22.5" customHeight="1" s="93">
      <c r="A58" s="42" t="inlineStr">
        <is>
          <t>Dushin</t>
        </is>
      </c>
      <c r="B58" s="41" t="n">
        <v>10</v>
      </c>
      <c r="C58" s="41" t="n">
        <v>8</v>
      </c>
      <c r="D58" s="43" t="inlineStr">
        <is>
          <t>KERVENS DESTINVIL</t>
        </is>
      </c>
      <c r="E58" s="41" t="n"/>
      <c r="F58" s="41" t="n"/>
      <c r="G58" s="11">
        <f>SUM(AM58:BN58)</f>
        <v/>
      </c>
      <c r="H58" s="12">
        <f>G58/9</f>
        <v/>
      </c>
      <c r="I58" s="12">
        <f>0.5+(G58/54)</f>
        <v/>
      </c>
      <c r="J58" s="13">
        <f>COUNTIF(K58:AL58,"")</f>
        <v/>
      </c>
      <c r="K58" s="34" t="n">
        <v>2</v>
      </c>
      <c r="L58" s="35" t="n">
        <v>1</v>
      </c>
      <c r="M58" s="35" t="n">
        <v>3</v>
      </c>
      <c r="N58" s="35" t="n">
        <v>2</v>
      </c>
      <c r="O58" s="35" t="n">
        <v>1</v>
      </c>
      <c r="P58" s="35" t="n">
        <v>3</v>
      </c>
      <c r="Q58" s="35" t="n">
        <v>2</v>
      </c>
      <c r="R58" s="35" t="n">
        <v>3</v>
      </c>
      <c r="S58" s="35" t="n">
        <v>1</v>
      </c>
      <c r="T58" s="35" t="n">
        <v>4</v>
      </c>
      <c r="U58" s="35" t="n">
        <v>1</v>
      </c>
      <c r="V58" s="35" t="n">
        <v>3</v>
      </c>
      <c r="W58" s="35" t="n">
        <v>2</v>
      </c>
      <c r="X58" s="41" t="n">
        <v>2</v>
      </c>
      <c r="Y58" s="35" t="n">
        <v>4</v>
      </c>
      <c r="Z58" s="35" t="n">
        <v>3</v>
      </c>
      <c r="AA58" s="35" t="n">
        <v>4</v>
      </c>
      <c r="AB58" s="35" t="n">
        <v>3</v>
      </c>
      <c r="AC58" s="35" t="n">
        <v>2</v>
      </c>
      <c r="AD58" s="35" t="n">
        <v>1</v>
      </c>
      <c r="AE58" s="41" t="n">
        <v>4</v>
      </c>
      <c r="AF58" s="35" t="n">
        <v>2</v>
      </c>
      <c r="AG58" s="35" t="n">
        <v>3</v>
      </c>
      <c r="AH58" s="35" t="n">
        <v>3</v>
      </c>
      <c r="AI58" s="35" t="n">
        <v>1</v>
      </c>
      <c r="AJ58" s="35" t="n">
        <v>4</v>
      </c>
      <c r="AK58" s="35" t="n">
        <v>2</v>
      </c>
      <c r="AL58" s="38" t="n">
        <v>1</v>
      </c>
      <c r="AM58" s="19">
        <f t="array" ref="AM58">IF(K58=VLOOKUP(VALUE(K$1),{Questions[#],Questions[Answer]},2,FALSE),1,0)</f>
        <v/>
      </c>
      <c r="AN58" s="41">
        <f t="array" ref="AN58">IF(L58=VLOOKUP(VALUE(L$1),{Questions[#],Questions[Answer]},2,FALSE),1,0)</f>
        <v/>
      </c>
      <c r="AO58" s="41">
        <f t="array" ref="AO58">IF(M58=VLOOKUP(VALUE(M$1),{Questions[#],Questions[Answer]},2,FALSE),1,0)</f>
        <v/>
      </c>
      <c r="AP58" s="41">
        <f t="array" ref="AP58">IF(N58=VLOOKUP(VALUE(N$1),{Questions[#],Questions[Answer]},2,FALSE),1,0)</f>
        <v/>
      </c>
      <c r="AQ58" s="41">
        <f t="array" ref="AQ58">IF(O58=VLOOKUP(VALUE(O$1),{Questions[#],Questions[Answer]},2,FALSE),1,0)</f>
        <v/>
      </c>
      <c r="AR58" s="41">
        <f t="array" ref="AR58">IF(P58=VLOOKUP(VALUE(P$1),{Questions[#],Questions[Answer]},2,FALSE),1,0)</f>
        <v/>
      </c>
      <c r="AS58" s="41">
        <f t="array" ref="AS58">IF(Q58=VLOOKUP(VALUE(Q$1),{Questions[#],Questions[Answer]},2,FALSE),1,0)</f>
        <v/>
      </c>
      <c r="AT58" s="41">
        <f t="array" ref="AT58">IF(R58=VLOOKUP(VALUE(R$1),{Questions[#],Questions[Answer]},2,FALSE),1,0)</f>
        <v/>
      </c>
      <c r="AU58" s="41">
        <f t="array" ref="AU58">IF(S58=VLOOKUP(VALUE(S$1),{Questions[#],Questions[Answer]},2,FALSE),1,0)</f>
        <v/>
      </c>
      <c r="AV58" s="41">
        <f t="array" ref="AV58">IF(T58=VLOOKUP(VALUE(T$1),{Questions[#],Questions[Answer]},2,FALSE),1,0)</f>
        <v/>
      </c>
      <c r="AW58" s="41">
        <f t="array" ref="AW58">IF(U58=VLOOKUP(VALUE(U$1),{Questions[#],Questions[Answer]},2,FALSE),1,0)</f>
        <v/>
      </c>
      <c r="AX58" s="41">
        <f t="array" ref="AX58">IF(V58=VLOOKUP(VALUE(V$1),{Questions[#],Questions[Answer]},2,FALSE),1,0)</f>
        <v/>
      </c>
      <c r="AY58" s="41">
        <f t="array" ref="AY58">IF(W58=VLOOKUP(VALUE(W$1),{Questions[#],Questions[Answer]},2,FALSE),1,0)</f>
        <v/>
      </c>
      <c r="AZ58" s="41">
        <f t="array" ref="AZ58">IF(X58=VLOOKUP(VALUE(X$1),{Questions[#],Questions[Answer]},2,FALSE),1,0)</f>
        <v/>
      </c>
      <c r="BA58" s="41">
        <f t="array" ref="BA58">IF(Y58=VLOOKUP(VALUE(Y$1),{Questions[#],Questions[Answer]},2,FALSE),1,0)</f>
        <v/>
      </c>
      <c r="BB58" s="41">
        <f t="array" ref="BB58">IF(Z58=VLOOKUP(VALUE(Z$1),{Questions[#],Questions[Answer]},2,FALSE),1,0)</f>
        <v/>
      </c>
      <c r="BC58" s="41">
        <f t="array" ref="BC58">IF(AA58=VLOOKUP(VALUE(AA$1),{Questions[#],Questions[Answer]},2,FALSE),1,0)</f>
        <v/>
      </c>
      <c r="BD58" s="41">
        <f t="array" ref="BD58">IF(AB58=VLOOKUP(VALUE(AB$1),{Questions[#],Questions[Answer]},2,FALSE),1,0)</f>
        <v/>
      </c>
      <c r="BE58" s="41">
        <f t="array" ref="BE58">IF(AC58=VLOOKUP(VALUE(AC$1),{Questions[#],Questions[Answer]},2,FALSE),1,0)</f>
        <v/>
      </c>
      <c r="BF58" s="41">
        <f t="array" ref="BF58">IF(AD58=VLOOKUP(VALUE(AD$1),{Questions[#],Questions[Answer]},2,FALSE),1,0)</f>
        <v/>
      </c>
      <c r="BG58" s="41">
        <f t="array" ref="BG58">IF(AE58=VLOOKUP(VALUE(AE$1),{Questions[#],Questions[Answer]},2,FALSE),1,0)</f>
        <v/>
      </c>
      <c r="BH58" s="41">
        <f t="array" ref="BH58">IF(AF58=VLOOKUP(VALUE(AF$1),{Questions[#],Questions[Answer]},2,FALSE),1,0)</f>
        <v/>
      </c>
      <c r="BI58" s="41">
        <f t="array" ref="BI58">IF(AG58=VLOOKUP(VALUE(AG$1),{Questions[#],Questions[Answer]},2,FALSE),1,0)</f>
        <v/>
      </c>
      <c r="BJ58" s="41">
        <f t="array" ref="BJ58">IF(AH58=VLOOKUP(VALUE(AH$1),{Questions[#],Questions[Answer]},2,FALSE),1,0)</f>
        <v/>
      </c>
      <c r="BK58" s="41">
        <f t="array" ref="BK58">IF(AI58=VLOOKUP(VALUE(AI$1),{Questions[#],Questions[Answer]},2,FALSE),1,0)</f>
        <v/>
      </c>
      <c r="BL58" s="41">
        <f t="array" ref="BL58">IF(AJ58=VLOOKUP(VALUE(AJ$1),{Questions[#],Questions[Answer]},2,FALSE),1,0)</f>
        <v/>
      </c>
      <c r="BM58" s="41">
        <f t="array" ref="BM58">IF(AK58=VLOOKUP(VALUE(AK$1),{Questions[#],Questions[Answer]},2,FALSE),1,0)</f>
        <v/>
      </c>
      <c r="BN58" s="41">
        <f t="array" ref="BN58">IF(AL58=VLOOKUP(VALUE(AL$1),{Questions[#],Questions[Answer]},2,FALSE),1,0)</f>
        <v/>
      </c>
    </row>
    <row r="59" ht="22.5" customHeight="1" s="93">
      <c r="A59" s="42" t="inlineStr">
        <is>
          <t>Dushin</t>
        </is>
      </c>
      <c r="B59" s="41" t="n">
        <v>10</v>
      </c>
      <c r="C59" s="41" t="n">
        <v>8</v>
      </c>
      <c r="D59" s="43" t="inlineStr">
        <is>
          <t>KARIME DOUGLAS HAYWOOD</t>
        </is>
      </c>
      <c r="E59" s="41" t="n"/>
      <c r="F59" s="41" t="n"/>
      <c r="G59" s="11">
        <f>SUM(AM59:BN59)</f>
        <v/>
      </c>
      <c r="H59" s="12">
        <f>G59/9</f>
        <v/>
      </c>
      <c r="I59" s="12">
        <f>0.5+(G59/54)</f>
        <v/>
      </c>
      <c r="J59" s="13">
        <f>COUNTIF(K59:AL59,"")</f>
        <v/>
      </c>
      <c r="K59" s="34" t="n">
        <v>4</v>
      </c>
      <c r="L59" s="35" t="n">
        <v>1</v>
      </c>
      <c r="M59" s="35" t="n">
        <v>3</v>
      </c>
      <c r="N59" s="35" t="n">
        <v>2</v>
      </c>
      <c r="O59" s="35" t="n">
        <v>1</v>
      </c>
      <c r="P59" s="35" t="n">
        <v>3</v>
      </c>
      <c r="Q59" s="35" t="n">
        <v>2</v>
      </c>
      <c r="R59" s="35" t="n">
        <v>3</v>
      </c>
      <c r="S59" s="35" t="n">
        <v>1</v>
      </c>
      <c r="T59" s="35" t="n">
        <v>3</v>
      </c>
      <c r="U59" s="35" t="n">
        <v>1</v>
      </c>
      <c r="V59" s="35" t="n">
        <v>4</v>
      </c>
      <c r="W59" s="35" t="n">
        <v>2</v>
      </c>
      <c r="X59" s="41" t="n">
        <v>1</v>
      </c>
      <c r="Y59" s="35" t="n">
        <v>4</v>
      </c>
      <c r="Z59" s="35" t="n">
        <v>2</v>
      </c>
      <c r="AA59" s="35" t="n">
        <v>4</v>
      </c>
      <c r="AB59" s="35" t="n">
        <v>3</v>
      </c>
      <c r="AC59" s="35" t="n">
        <v>1</v>
      </c>
      <c r="AD59" s="35" t="n">
        <v>3</v>
      </c>
      <c r="AE59" s="41" t="n">
        <v>4</v>
      </c>
      <c r="AF59" s="35" t="n">
        <v>2</v>
      </c>
      <c r="AG59" s="35" t="n">
        <v>2</v>
      </c>
      <c r="AH59" s="35" t="n">
        <v>3</v>
      </c>
      <c r="AI59" s="35" t="n">
        <v>2</v>
      </c>
      <c r="AJ59" s="35" t="n">
        <v>4</v>
      </c>
      <c r="AK59" s="35" t="n">
        <v>1</v>
      </c>
      <c r="AL59" s="38" t="n">
        <v>2</v>
      </c>
      <c r="AM59" s="19">
        <f t="array" ref="AM59">IF(K59=VLOOKUP(VALUE(K$1),{Questions[#],Questions[Answer]},2,FALSE),1,0)</f>
        <v/>
      </c>
      <c r="AN59" s="41">
        <f t="array" ref="AN59">IF(L59=VLOOKUP(VALUE(L$1),{Questions[#],Questions[Answer]},2,FALSE),1,0)</f>
        <v/>
      </c>
      <c r="AO59" s="41">
        <f t="array" ref="AO59">IF(M59=VLOOKUP(VALUE(M$1),{Questions[#],Questions[Answer]},2,FALSE),1,0)</f>
        <v/>
      </c>
      <c r="AP59" s="41">
        <f t="array" ref="AP59">IF(N59=VLOOKUP(VALUE(N$1),{Questions[#],Questions[Answer]},2,FALSE),1,0)</f>
        <v/>
      </c>
      <c r="AQ59" s="41">
        <f t="array" ref="AQ59">IF(O59=VLOOKUP(VALUE(O$1),{Questions[#],Questions[Answer]},2,FALSE),1,0)</f>
        <v/>
      </c>
      <c r="AR59" s="41">
        <f t="array" ref="AR59">IF(P59=VLOOKUP(VALUE(P$1),{Questions[#],Questions[Answer]},2,FALSE),1,0)</f>
        <v/>
      </c>
      <c r="AS59" s="41">
        <f t="array" ref="AS59">IF(Q59=VLOOKUP(VALUE(Q$1),{Questions[#],Questions[Answer]},2,FALSE),1,0)</f>
        <v/>
      </c>
      <c r="AT59" s="41">
        <f t="array" ref="AT59">IF(R59=VLOOKUP(VALUE(R$1),{Questions[#],Questions[Answer]},2,FALSE),1,0)</f>
        <v/>
      </c>
      <c r="AU59" s="41">
        <f t="array" ref="AU59">IF(S59=VLOOKUP(VALUE(S$1),{Questions[#],Questions[Answer]},2,FALSE),1,0)</f>
        <v/>
      </c>
      <c r="AV59" s="41">
        <f t="array" ref="AV59">IF(T59=VLOOKUP(VALUE(T$1),{Questions[#],Questions[Answer]},2,FALSE),1,0)</f>
        <v/>
      </c>
      <c r="AW59" s="41">
        <f t="array" ref="AW59">IF(U59=VLOOKUP(VALUE(U$1),{Questions[#],Questions[Answer]},2,FALSE),1,0)</f>
        <v/>
      </c>
      <c r="AX59" s="41">
        <f t="array" ref="AX59">IF(V59=VLOOKUP(VALUE(V$1),{Questions[#],Questions[Answer]},2,FALSE),1,0)</f>
        <v/>
      </c>
      <c r="AY59" s="41">
        <f t="array" ref="AY59">IF(W59=VLOOKUP(VALUE(W$1),{Questions[#],Questions[Answer]},2,FALSE),1,0)</f>
        <v/>
      </c>
      <c r="AZ59" s="41">
        <f t="array" ref="AZ59">IF(X59=VLOOKUP(VALUE(X$1),{Questions[#],Questions[Answer]},2,FALSE),1,0)</f>
        <v/>
      </c>
      <c r="BA59" s="41">
        <f t="array" ref="BA59">IF(Y59=VLOOKUP(VALUE(Y$1),{Questions[#],Questions[Answer]},2,FALSE),1,0)</f>
        <v/>
      </c>
      <c r="BB59" s="41">
        <f t="array" ref="BB59">IF(Z59=VLOOKUP(VALUE(Z$1),{Questions[#],Questions[Answer]},2,FALSE),1,0)</f>
        <v/>
      </c>
      <c r="BC59" s="41">
        <f t="array" ref="BC59">IF(AA59=VLOOKUP(VALUE(AA$1),{Questions[#],Questions[Answer]},2,FALSE),1,0)</f>
        <v/>
      </c>
      <c r="BD59" s="41">
        <f t="array" ref="BD59">IF(AB59=VLOOKUP(VALUE(AB$1),{Questions[#],Questions[Answer]},2,FALSE),1,0)</f>
        <v/>
      </c>
      <c r="BE59" s="41">
        <f t="array" ref="BE59">IF(AC59=VLOOKUP(VALUE(AC$1),{Questions[#],Questions[Answer]},2,FALSE),1,0)</f>
        <v/>
      </c>
      <c r="BF59" s="41">
        <f t="array" ref="BF59">IF(AD59=VLOOKUP(VALUE(AD$1),{Questions[#],Questions[Answer]},2,FALSE),1,0)</f>
        <v/>
      </c>
      <c r="BG59" s="41">
        <f t="array" ref="BG59">IF(AE59=VLOOKUP(VALUE(AE$1),{Questions[#],Questions[Answer]},2,FALSE),1,0)</f>
        <v/>
      </c>
      <c r="BH59" s="41">
        <f t="array" ref="BH59">IF(AF59=VLOOKUP(VALUE(AF$1),{Questions[#],Questions[Answer]},2,FALSE),1,0)</f>
        <v/>
      </c>
      <c r="BI59" s="41">
        <f t="array" ref="BI59">IF(AG59=VLOOKUP(VALUE(AG$1),{Questions[#],Questions[Answer]},2,FALSE),1,0)</f>
        <v/>
      </c>
      <c r="BJ59" s="41">
        <f t="array" ref="BJ59">IF(AH59=VLOOKUP(VALUE(AH$1),{Questions[#],Questions[Answer]},2,FALSE),1,0)</f>
        <v/>
      </c>
      <c r="BK59" s="41">
        <f t="array" ref="BK59">IF(AI59=VLOOKUP(VALUE(AI$1),{Questions[#],Questions[Answer]},2,FALSE),1,0)</f>
        <v/>
      </c>
      <c r="BL59" s="41">
        <f t="array" ref="BL59">IF(AJ59=VLOOKUP(VALUE(AJ$1),{Questions[#],Questions[Answer]},2,FALSE),1,0)</f>
        <v/>
      </c>
      <c r="BM59" s="41">
        <f t="array" ref="BM59">IF(AK59=VLOOKUP(VALUE(AK$1),{Questions[#],Questions[Answer]},2,FALSE),1,0)</f>
        <v/>
      </c>
      <c r="BN59" s="41">
        <f t="array" ref="BN59">IF(AL59=VLOOKUP(VALUE(AL$1),{Questions[#],Questions[Answer]},2,FALSE),1,0)</f>
        <v/>
      </c>
    </row>
    <row r="60" ht="22.5" customHeight="1" s="93">
      <c r="A60" s="42" t="inlineStr">
        <is>
          <t>Dushin</t>
        </is>
      </c>
      <c r="B60" s="41" t="n">
        <v>10</v>
      </c>
      <c r="C60" s="41" t="n">
        <v>8</v>
      </c>
      <c r="D60" s="43" t="inlineStr">
        <is>
          <t>BRYAN GUZMAN</t>
        </is>
      </c>
      <c r="E60" s="41" t="n"/>
      <c r="F60" s="41" t="n"/>
      <c r="G60" s="11">
        <f>SUM(AM60:BN60)</f>
        <v/>
      </c>
      <c r="H60" s="12">
        <f>G60/9</f>
        <v/>
      </c>
      <c r="I60" s="12">
        <f>0.5+(G60/54)</f>
        <v/>
      </c>
      <c r="J60" s="13">
        <f>COUNTIF(K60:AL60,"")</f>
        <v/>
      </c>
      <c r="K60" s="34" t="n">
        <v>2</v>
      </c>
      <c r="L60" s="35" t="n">
        <v>1</v>
      </c>
      <c r="M60" s="35" t="n">
        <v>3</v>
      </c>
      <c r="N60" s="35" t="n">
        <v>2</v>
      </c>
      <c r="O60" s="35" t="n">
        <v>4</v>
      </c>
      <c r="P60" s="35" t="n">
        <v>3</v>
      </c>
      <c r="Q60" s="35" t="n">
        <v>2</v>
      </c>
      <c r="R60" s="35" t="n">
        <v>3</v>
      </c>
      <c r="S60" s="35" t="n">
        <v>2</v>
      </c>
      <c r="T60" s="35" t="n">
        <v>4</v>
      </c>
      <c r="U60" s="35" t="n">
        <v>1</v>
      </c>
      <c r="V60" s="35" t="n">
        <v>4</v>
      </c>
      <c r="W60" s="35" t="n">
        <v>2</v>
      </c>
      <c r="X60" s="41" t="n">
        <v>4</v>
      </c>
      <c r="Y60" s="35" t="n">
        <v>4</v>
      </c>
      <c r="Z60" s="35" t="n">
        <v>1</v>
      </c>
      <c r="AA60" s="35" t="n">
        <v>4</v>
      </c>
      <c r="AB60" s="35" t="n">
        <v>3</v>
      </c>
      <c r="AC60" s="35" t="n">
        <v>1</v>
      </c>
      <c r="AD60" s="35" t="n">
        <v>3</v>
      </c>
      <c r="AE60" s="41" t="n">
        <v>4</v>
      </c>
      <c r="AF60" s="35" t="n">
        <v>2</v>
      </c>
      <c r="AG60" s="35" t="n">
        <v>4</v>
      </c>
      <c r="AH60" s="35" t="n">
        <v>1</v>
      </c>
      <c r="AI60" s="35" t="n">
        <v>3</v>
      </c>
      <c r="AJ60" s="35" t="n">
        <v>4</v>
      </c>
      <c r="AK60" s="35" t="n">
        <v>3</v>
      </c>
      <c r="AL60" s="38" t="n">
        <v>2</v>
      </c>
      <c r="AM60" s="19">
        <f t="array" ref="AM60">IF(K60=VLOOKUP(VALUE(K$1),{Questions[#],Questions[Answer]},2,FALSE),1,0)</f>
        <v/>
      </c>
      <c r="AN60" s="41">
        <f t="array" ref="AN60">IF(L60=VLOOKUP(VALUE(L$1),{Questions[#],Questions[Answer]},2,FALSE),1,0)</f>
        <v/>
      </c>
      <c r="AO60" s="41">
        <f t="array" ref="AO60">IF(M60=VLOOKUP(VALUE(M$1),{Questions[#],Questions[Answer]},2,FALSE),1,0)</f>
        <v/>
      </c>
      <c r="AP60" s="41">
        <f t="array" ref="AP60">IF(N60=VLOOKUP(VALUE(N$1),{Questions[#],Questions[Answer]},2,FALSE),1,0)</f>
        <v/>
      </c>
      <c r="AQ60" s="41">
        <f t="array" ref="AQ60">IF(O60=VLOOKUP(VALUE(O$1),{Questions[#],Questions[Answer]},2,FALSE),1,0)</f>
        <v/>
      </c>
      <c r="AR60" s="41">
        <f t="array" ref="AR60">IF(P60=VLOOKUP(VALUE(P$1),{Questions[#],Questions[Answer]},2,FALSE),1,0)</f>
        <v/>
      </c>
      <c r="AS60" s="41">
        <f t="array" ref="AS60">IF(Q60=VLOOKUP(VALUE(Q$1),{Questions[#],Questions[Answer]},2,FALSE),1,0)</f>
        <v/>
      </c>
      <c r="AT60" s="41">
        <f t="array" ref="AT60">IF(R60=VLOOKUP(VALUE(R$1),{Questions[#],Questions[Answer]},2,FALSE),1,0)</f>
        <v/>
      </c>
      <c r="AU60" s="41">
        <f t="array" ref="AU60">IF(S60=VLOOKUP(VALUE(S$1),{Questions[#],Questions[Answer]},2,FALSE),1,0)</f>
        <v/>
      </c>
      <c r="AV60" s="41">
        <f t="array" ref="AV60">IF(T60=VLOOKUP(VALUE(T$1),{Questions[#],Questions[Answer]},2,FALSE),1,0)</f>
        <v/>
      </c>
      <c r="AW60" s="41">
        <f t="array" ref="AW60">IF(U60=VLOOKUP(VALUE(U$1),{Questions[#],Questions[Answer]},2,FALSE),1,0)</f>
        <v/>
      </c>
      <c r="AX60" s="41">
        <f t="array" ref="AX60">IF(V60=VLOOKUP(VALUE(V$1),{Questions[#],Questions[Answer]},2,FALSE),1,0)</f>
        <v/>
      </c>
      <c r="AY60" s="41">
        <f t="array" ref="AY60">IF(W60=VLOOKUP(VALUE(W$1),{Questions[#],Questions[Answer]},2,FALSE),1,0)</f>
        <v/>
      </c>
      <c r="AZ60" s="41">
        <f t="array" ref="AZ60">IF(X60=VLOOKUP(VALUE(X$1),{Questions[#],Questions[Answer]},2,FALSE),1,0)</f>
        <v/>
      </c>
      <c r="BA60" s="41">
        <f t="array" ref="BA60">IF(Y60=VLOOKUP(VALUE(Y$1),{Questions[#],Questions[Answer]},2,FALSE),1,0)</f>
        <v/>
      </c>
      <c r="BB60" s="41">
        <f t="array" ref="BB60">IF(Z60=VLOOKUP(VALUE(Z$1),{Questions[#],Questions[Answer]},2,FALSE),1,0)</f>
        <v/>
      </c>
      <c r="BC60" s="41">
        <f t="array" ref="BC60">IF(AA60=VLOOKUP(VALUE(AA$1),{Questions[#],Questions[Answer]},2,FALSE),1,0)</f>
        <v/>
      </c>
      <c r="BD60" s="41">
        <f t="array" ref="BD60">IF(AB60=VLOOKUP(VALUE(AB$1),{Questions[#],Questions[Answer]},2,FALSE),1,0)</f>
        <v/>
      </c>
      <c r="BE60" s="41">
        <f t="array" ref="BE60">IF(AC60=VLOOKUP(VALUE(AC$1),{Questions[#],Questions[Answer]},2,FALSE),1,0)</f>
        <v/>
      </c>
      <c r="BF60" s="41">
        <f t="array" ref="BF60">IF(AD60=VLOOKUP(VALUE(AD$1),{Questions[#],Questions[Answer]},2,FALSE),1,0)</f>
        <v/>
      </c>
      <c r="BG60" s="41">
        <f t="array" ref="BG60">IF(AE60=VLOOKUP(VALUE(AE$1),{Questions[#],Questions[Answer]},2,FALSE),1,0)</f>
        <v/>
      </c>
      <c r="BH60" s="41">
        <f t="array" ref="BH60">IF(AF60=VLOOKUP(VALUE(AF$1),{Questions[#],Questions[Answer]},2,FALSE),1,0)</f>
        <v/>
      </c>
      <c r="BI60" s="41">
        <f t="array" ref="BI60">IF(AG60=VLOOKUP(VALUE(AG$1),{Questions[#],Questions[Answer]},2,FALSE),1,0)</f>
        <v/>
      </c>
      <c r="BJ60" s="41">
        <f t="array" ref="BJ60">IF(AH60=VLOOKUP(VALUE(AH$1),{Questions[#],Questions[Answer]},2,FALSE),1,0)</f>
        <v/>
      </c>
      <c r="BK60" s="41">
        <f t="array" ref="BK60">IF(AI60=VLOOKUP(VALUE(AI$1),{Questions[#],Questions[Answer]},2,FALSE),1,0)</f>
        <v/>
      </c>
      <c r="BL60" s="41">
        <f t="array" ref="BL60">IF(AJ60=VLOOKUP(VALUE(AJ$1),{Questions[#],Questions[Answer]},2,FALSE),1,0)</f>
        <v/>
      </c>
      <c r="BM60" s="41">
        <f t="array" ref="BM60">IF(AK60=VLOOKUP(VALUE(AK$1),{Questions[#],Questions[Answer]},2,FALSE),1,0)</f>
        <v/>
      </c>
      <c r="BN60" s="41">
        <f t="array" ref="BN60">IF(AL60=VLOOKUP(VALUE(AL$1),{Questions[#],Questions[Answer]},2,FALSE),1,0)</f>
        <v/>
      </c>
    </row>
    <row r="61" ht="22.5" customHeight="1" s="93">
      <c r="A61" s="42" t="inlineStr">
        <is>
          <t>Dushin</t>
        </is>
      </c>
      <c r="B61" s="41" t="n">
        <v>10</v>
      </c>
      <c r="C61" s="41" t="n">
        <v>8</v>
      </c>
      <c r="D61" s="43" t="inlineStr">
        <is>
          <t>ETHAN HERNANDEZ</t>
        </is>
      </c>
      <c r="E61" s="41" t="n"/>
      <c r="F61" s="41" t="n"/>
      <c r="G61" s="11">
        <f>SUM(AM61:BN61)</f>
        <v/>
      </c>
      <c r="H61" s="12">
        <f>G61/9</f>
        <v/>
      </c>
      <c r="I61" s="12">
        <f>0.5+(G61/54)</f>
        <v/>
      </c>
      <c r="J61" s="13">
        <f>COUNTIF(K61:AL61,"")</f>
        <v/>
      </c>
      <c r="K61" s="34" t="n">
        <v>4</v>
      </c>
      <c r="L61" s="35" t="n">
        <v>1</v>
      </c>
      <c r="M61" s="35" t="n">
        <v>3</v>
      </c>
      <c r="N61" s="35" t="n">
        <v>2</v>
      </c>
      <c r="O61" s="35" t="n">
        <v>1</v>
      </c>
      <c r="P61" s="35" t="n">
        <v>3</v>
      </c>
      <c r="Q61" s="35" t="n">
        <v>2</v>
      </c>
      <c r="R61" s="35" t="n">
        <v>3</v>
      </c>
      <c r="S61" s="35" t="n">
        <v>1</v>
      </c>
      <c r="T61" s="35" t="n">
        <v>3</v>
      </c>
      <c r="U61" s="35" t="n">
        <v>1</v>
      </c>
      <c r="V61" s="35" t="n">
        <v>4</v>
      </c>
      <c r="W61" s="35" t="n">
        <v>2</v>
      </c>
      <c r="X61" s="41" t="n">
        <v>2</v>
      </c>
      <c r="Y61" s="35" t="n">
        <v>4</v>
      </c>
      <c r="Z61" s="35" t="n">
        <v>3</v>
      </c>
      <c r="AA61" s="35" t="n">
        <v>4</v>
      </c>
      <c r="AB61" s="35" t="n">
        <v>3</v>
      </c>
      <c r="AC61" s="35" t="n">
        <v>1</v>
      </c>
      <c r="AD61" s="35" t="n">
        <v>3</v>
      </c>
      <c r="AE61" s="41" t="n">
        <v>4</v>
      </c>
      <c r="AF61" s="35" t="n">
        <v>2</v>
      </c>
      <c r="AG61" s="35" t="n">
        <v>2</v>
      </c>
      <c r="AH61" s="35" t="n">
        <v>3</v>
      </c>
      <c r="AI61" s="35" t="n">
        <v>2</v>
      </c>
      <c r="AJ61" s="35" t="n">
        <v>4</v>
      </c>
      <c r="AK61" s="35" t="n">
        <v>1</v>
      </c>
      <c r="AL61" s="38" t="n">
        <v>2</v>
      </c>
      <c r="AM61" s="19">
        <f t="array" ref="AM61">IF(K61=VLOOKUP(VALUE(K$1),{Questions[#],Questions[Answer]},2,FALSE),1,0)</f>
        <v/>
      </c>
      <c r="AN61" s="41">
        <f t="array" ref="AN61">IF(L61=VLOOKUP(VALUE(L$1),{Questions[#],Questions[Answer]},2,FALSE),1,0)</f>
        <v/>
      </c>
      <c r="AO61" s="41">
        <f t="array" ref="AO61">IF(M61=VLOOKUP(VALUE(M$1),{Questions[#],Questions[Answer]},2,FALSE),1,0)</f>
        <v/>
      </c>
      <c r="AP61" s="41">
        <f t="array" ref="AP61">IF(N61=VLOOKUP(VALUE(N$1),{Questions[#],Questions[Answer]},2,FALSE),1,0)</f>
        <v/>
      </c>
      <c r="AQ61" s="41">
        <f t="array" ref="AQ61">IF(O61=VLOOKUP(VALUE(O$1),{Questions[#],Questions[Answer]},2,FALSE),1,0)</f>
        <v/>
      </c>
      <c r="AR61" s="41">
        <f t="array" ref="AR61">IF(P61=VLOOKUP(VALUE(P$1),{Questions[#],Questions[Answer]},2,FALSE),1,0)</f>
        <v/>
      </c>
      <c r="AS61" s="41">
        <f t="array" ref="AS61">IF(Q61=VLOOKUP(VALUE(Q$1),{Questions[#],Questions[Answer]},2,FALSE),1,0)</f>
        <v/>
      </c>
      <c r="AT61" s="41">
        <f t="array" ref="AT61">IF(R61=VLOOKUP(VALUE(R$1),{Questions[#],Questions[Answer]},2,FALSE),1,0)</f>
        <v/>
      </c>
      <c r="AU61" s="41">
        <f t="array" ref="AU61">IF(S61=VLOOKUP(VALUE(S$1),{Questions[#],Questions[Answer]},2,FALSE),1,0)</f>
        <v/>
      </c>
      <c r="AV61" s="41">
        <f t="array" ref="AV61">IF(T61=VLOOKUP(VALUE(T$1),{Questions[#],Questions[Answer]},2,FALSE),1,0)</f>
        <v/>
      </c>
      <c r="AW61" s="41">
        <f t="array" ref="AW61">IF(U61=VLOOKUP(VALUE(U$1),{Questions[#],Questions[Answer]},2,FALSE),1,0)</f>
        <v/>
      </c>
      <c r="AX61" s="41">
        <f t="array" ref="AX61">IF(V61=VLOOKUP(VALUE(V$1),{Questions[#],Questions[Answer]},2,FALSE),1,0)</f>
        <v/>
      </c>
      <c r="AY61" s="41">
        <f t="array" ref="AY61">IF(W61=VLOOKUP(VALUE(W$1),{Questions[#],Questions[Answer]},2,FALSE),1,0)</f>
        <v/>
      </c>
      <c r="AZ61" s="41">
        <f t="array" ref="AZ61">IF(X61=VLOOKUP(VALUE(X$1),{Questions[#],Questions[Answer]},2,FALSE),1,0)</f>
        <v/>
      </c>
      <c r="BA61" s="41">
        <f t="array" ref="BA61">IF(Y61=VLOOKUP(VALUE(Y$1),{Questions[#],Questions[Answer]},2,FALSE),1,0)</f>
        <v/>
      </c>
      <c r="BB61" s="41">
        <f t="array" ref="BB61">IF(Z61=VLOOKUP(VALUE(Z$1),{Questions[#],Questions[Answer]},2,FALSE),1,0)</f>
        <v/>
      </c>
      <c r="BC61" s="41">
        <f t="array" ref="BC61">IF(AA61=VLOOKUP(VALUE(AA$1),{Questions[#],Questions[Answer]},2,FALSE),1,0)</f>
        <v/>
      </c>
      <c r="BD61" s="41">
        <f t="array" ref="BD61">IF(AB61=VLOOKUP(VALUE(AB$1),{Questions[#],Questions[Answer]},2,FALSE),1,0)</f>
        <v/>
      </c>
      <c r="BE61" s="41">
        <f t="array" ref="BE61">IF(AC61=VLOOKUP(VALUE(AC$1),{Questions[#],Questions[Answer]},2,FALSE),1,0)</f>
        <v/>
      </c>
      <c r="BF61" s="41">
        <f t="array" ref="BF61">IF(AD61=VLOOKUP(VALUE(AD$1),{Questions[#],Questions[Answer]},2,FALSE),1,0)</f>
        <v/>
      </c>
      <c r="BG61" s="41">
        <f t="array" ref="BG61">IF(AE61=VLOOKUP(VALUE(AE$1),{Questions[#],Questions[Answer]},2,FALSE),1,0)</f>
        <v/>
      </c>
      <c r="BH61" s="41">
        <f t="array" ref="BH61">IF(AF61=VLOOKUP(VALUE(AF$1),{Questions[#],Questions[Answer]},2,FALSE),1,0)</f>
        <v/>
      </c>
      <c r="BI61" s="41">
        <f t="array" ref="BI61">IF(AG61=VLOOKUP(VALUE(AG$1),{Questions[#],Questions[Answer]},2,FALSE),1,0)</f>
        <v/>
      </c>
      <c r="BJ61" s="41">
        <f t="array" ref="BJ61">IF(AH61=VLOOKUP(VALUE(AH$1),{Questions[#],Questions[Answer]},2,FALSE),1,0)</f>
        <v/>
      </c>
      <c r="BK61" s="41">
        <f t="array" ref="BK61">IF(AI61=VLOOKUP(VALUE(AI$1),{Questions[#],Questions[Answer]},2,FALSE),1,0)</f>
        <v/>
      </c>
      <c r="BL61" s="41">
        <f t="array" ref="BL61">IF(AJ61=VLOOKUP(VALUE(AJ$1),{Questions[#],Questions[Answer]},2,FALSE),1,0)</f>
        <v/>
      </c>
      <c r="BM61" s="41">
        <f t="array" ref="BM61">IF(AK61=VLOOKUP(VALUE(AK$1),{Questions[#],Questions[Answer]},2,FALSE),1,0)</f>
        <v/>
      </c>
      <c r="BN61" s="41">
        <f t="array" ref="BN61">IF(AL61=VLOOKUP(VALUE(AL$1),{Questions[#],Questions[Answer]},2,FALSE),1,0)</f>
        <v/>
      </c>
    </row>
    <row r="62" ht="22.5" customHeight="1" s="93">
      <c r="A62" s="42" t="inlineStr">
        <is>
          <t>Dushin</t>
        </is>
      </c>
      <c r="B62" s="41" t="n">
        <v>10</v>
      </c>
      <c r="C62" s="41" t="n">
        <v>8</v>
      </c>
      <c r="D62" s="43" t="inlineStr">
        <is>
          <t>ANTHONY INVERARY</t>
        </is>
      </c>
      <c r="E62" s="41" t="n"/>
      <c r="F62" s="41" t="n"/>
      <c r="G62" s="11">
        <f>SUM(AM62:BN62)</f>
        <v/>
      </c>
      <c r="H62" s="40">
        <f>G62/9</f>
        <v/>
      </c>
      <c r="I62" s="12">
        <f>0.5+(G62/54)</f>
        <v/>
      </c>
      <c r="J62" s="41">
        <f>COUNTIF(K62:AL62,"")</f>
        <v/>
      </c>
      <c r="K62" s="34" t="n">
        <v>4</v>
      </c>
      <c r="L62" s="35" t="n">
        <v>1</v>
      </c>
      <c r="M62" s="35" t="n">
        <v>3</v>
      </c>
      <c r="N62" s="35" t="n">
        <v>2</v>
      </c>
      <c r="O62" s="35" t="n">
        <v>1</v>
      </c>
      <c r="P62" s="35" t="n">
        <v>3</v>
      </c>
      <c r="Q62" s="35" t="n">
        <v>2</v>
      </c>
      <c r="R62" s="35" t="n">
        <v>3</v>
      </c>
      <c r="S62" s="35" t="n">
        <v>1</v>
      </c>
      <c r="T62" s="35" t="n">
        <v>3</v>
      </c>
      <c r="U62" s="35" t="n">
        <v>1</v>
      </c>
      <c r="V62" s="35" t="n">
        <v>4</v>
      </c>
      <c r="W62" s="35" t="n">
        <v>2</v>
      </c>
      <c r="X62" s="41" t="n">
        <v>1</v>
      </c>
      <c r="Y62" s="35" t="n">
        <v>4</v>
      </c>
      <c r="Z62" s="35" t="n">
        <v>2</v>
      </c>
      <c r="AA62" s="35" t="n">
        <v>4</v>
      </c>
      <c r="AB62" s="35" t="n">
        <v>3</v>
      </c>
      <c r="AC62" s="35" t="n">
        <v>3</v>
      </c>
      <c r="AD62" s="35" t="n">
        <v>3</v>
      </c>
      <c r="AE62" s="41" t="n">
        <v>4</v>
      </c>
      <c r="AF62" s="35" t="n">
        <v>2</v>
      </c>
      <c r="AG62" s="35" t="n">
        <v>2</v>
      </c>
      <c r="AH62" s="35" t="n">
        <v>3</v>
      </c>
      <c r="AI62" s="35" t="n">
        <v>4</v>
      </c>
      <c r="AJ62" s="35" t="n">
        <v>4</v>
      </c>
      <c r="AK62" s="35" t="n">
        <v>1</v>
      </c>
      <c r="AL62" s="38" t="n">
        <v>2</v>
      </c>
      <c r="AM62" s="19">
        <f t="array" ref="AM62">IF(K62=VLOOKUP(VALUE(K$1),{Questions[#],Questions[Answer]},2,FALSE),1,0)</f>
        <v/>
      </c>
      <c r="AN62" s="41">
        <f t="array" ref="AN62">IF(L62=VLOOKUP(VALUE(L$1),{Questions[#],Questions[Answer]},2,FALSE),1,0)</f>
        <v/>
      </c>
      <c r="AO62" s="41">
        <f t="array" ref="AO62">IF(M62=VLOOKUP(VALUE(M$1),{Questions[#],Questions[Answer]},2,FALSE),1,0)</f>
        <v/>
      </c>
      <c r="AP62" s="41">
        <f t="array" ref="AP62">IF(N62=VLOOKUP(VALUE(N$1),{Questions[#],Questions[Answer]},2,FALSE),1,0)</f>
        <v/>
      </c>
      <c r="AQ62" s="41">
        <f t="array" ref="AQ62">IF(O62=VLOOKUP(VALUE(O$1),{Questions[#],Questions[Answer]},2,FALSE),1,0)</f>
        <v/>
      </c>
      <c r="AR62" s="41">
        <f t="array" ref="AR62">IF(P62=VLOOKUP(VALUE(P$1),{Questions[#],Questions[Answer]},2,FALSE),1,0)</f>
        <v/>
      </c>
      <c r="AS62" s="41">
        <f t="array" ref="AS62">IF(Q62=VLOOKUP(VALUE(Q$1),{Questions[#],Questions[Answer]},2,FALSE),1,0)</f>
        <v/>
      </c>
      <c r="AT62" s="41">
        <f t="array" ref="AT62">IF(R62=VLOOKUP(VALUE(R$1),{Questions[#],Questions[Answer]},2,FALSE),1,0)</f>
        <v/>
      </c>
      <c r="AU62" s="41">
        <f t="array" ref="AU62">IF(S62=VLOOKUP(VALUE(S$1),{Questions[#],Questions[Answer]},2,FALSE),1,0)</f>
        <v/>
      </c>
      <c r="AV62" s="41">
        <f t="array" ref="AV62">IF(T62=VLOOKUP(VALUE(T$1),{Questions[#],Questions[Answer]},2,FALSE),1,0)</f>
        <v/>
      </c>
      <c r="AW62" s="41">
        <f t="array" ref="AW62">IF(U62=VLOOKUP(VALUE(U$1),{Questions[#],Questions[Answer]},2,FALSE),1,0)</f>
        <v/>
      </c>
      <c r="AX62" s="41">
        <f t="array" ref="AX62">IF(V62=VLOOKUP(VALUE(V$1),{Questions[#],Questions[Answer]},2,FALSE),1,0)</f>
        <v/>
      </c>
      <c r="AY62" s="41">
        <f t="array" ref="AY62">IF(W62=VLOOKUP(VALUE(W$1),{Questions[#],Questions[Answer]},2,FALSE),1,0)</f>
        <v/>
      </c>
      <c r="AZ62" s="41">
        <f t="array" ref="AZ62">IF(X62=VLOOKUP(VALUE(X$1),{Questions[#],Questions[Answer]},2,FALSE),1,0)</f>
        <v/>
      </c>
      <c r="BA62" s="41">
        <f t="array" ref="BA62">IF(Y62=VLOOKUP(VALUE(Y$1),{Questions[#],Questions[Answer]},2,FALSE),1,0)</f>
        <v/>
      </c>
      <c r="BB62" s="41">
        <f t="array" ref="BB62">IF(Z62=VLOOKUP(VALUE(Z$1),{Questions[#],Questions[Answer]},2,FALSE),1,0)</f>
        <v/>
      </c>
      <c r="BC62" s="41">
        <f t="array" ref="BC62">IF(AA62=VLOOKUP(VALUE(AA$1),{Questions[#],Questions[Answer]},2,FALSE),1,0)</f>
        <v/>
      </c>
      <c r="BD62" s="41">
        <f t="array" ref="BD62">IF(AB62=VLOOKUP(VALUE(AB$1),{Questions[#],Questions[Answer]},2,FALSE),1,0)</f>
        <v/>
      </c>
      <c r="BE62" s="41">
        <f t="array" ref="BE62">IF(AC62=VLOOKUP(VALUE(AC$1),{Questions[#],Questions[Answer]},2,FALSE),1,0)</f>
        <v/>
      </c>
      <c r="BF62" s="41">
        <f t="array" ref="BF62">IF(AD62=VLOOKUP(VALUE(AD$1),{Questions[#],Questions[Answer]},2,FALSE),1,0)</f>
        <v/>
      </c>
      <c r="BG62" s="41">
        <f t="array" ref="BG62">IF(AE62=VLOOKUP(VALUE(AE$1),{Questions[#],Questions[Answer]},2,FALSE),1,0)</f>
        <v/>
      </c>
      <c r="BH62" s="41">
        <f t="array" ref="BH62">IF(AF62=VLOOKUP(VALUE(AF$1),{Questions[#],Questions[Answer]},2,FALSE),1,0)</f>
        <v/>
      </c>
      <c r="BI62" s="41">
        <f t="array" ref="BI62">IF(AG62=VLOOKUP(VALUE(AG$1),{Questions[#],Questions[Answer]},2,FALSE),1,0)</f>
        <v/>
      </c>
      <c r="BJ62" s="41">
        <f t="array" ref="BJ62">IF(AH62=VLOOKUP(VALUE(AH$1),{Questions[#],Questions[Answer]},2,FALSE),1,0)</f>
        <v/>
      </c>
      <c r="BK62" s="41">
        <f t="array" ref="BK62">IF(AI62=VLOOKUP(VALUE(AI$1),{Questions[#],Questions[Answer]},2,FALSE),1,0)</f>
        <v/>
      </c>
      <c r="BL62" s="41">
        <f t="array" ref="BL62">IF(AJ62=VLOOKUP(VALUE(AJ$1),{Questions[#],Questions[Answer]},2,FALSE),1,0)</f>
        <v/>
      </c>
      <c r="BM62" s="41">
        <f t="array" ref="BM62">IF(AK62=VLOOKUP(VALUE(AK$1),{Questions[#],Questions[Answer]},2,FALSE),1,0)</f>
        <v/>
      </c>
      <c r="BN62" s="41">
        <f t="array" ref="BN62">IF(AL62=VLOOKUP(VALUE(AL$1),{Questions[#],Questions[Answer]},2,FALSE),1,0)</f>
        <v/>
      </c>
    </row>
    <row r="63" ht="22.5" customHeight="1" s="93">
      <c r="A63" s="42" t="inlineStr">
        <is>
          <t>Dushin</t>
        </is>
      </c>
      <c r="B63" s="41" t="n">
        <v>10</v>
      </c>
      <c r="C63" s="41" t="n">
        <v>8</v>
      </c>
      <c r="D63" s="43" t="inlineStr">
        <is>
          <t>DANTE MENTER</t>
        </is>
      </c>
      <c r="E63" s="41" t="n"/>
      <c r="F63" s="41" t="n"/>
      <c r="G63" s="11">
        <f>SUM(AM63:BN63)</f>
        <v/>
      </c>
      <c r="H63" s="40">
        <f>G63/9</f>
        <v/>
      </c>
      <c r="I63" s="12">
        <f>0.5+(G63/54)</f>
        <v/>
      </c>
      <c r="J63" s="41">
        <f>COUNTIF(K63:AL63,"")</f>
        <v/>
      </c>
      <c r="K63" s="34" t="n">
        <v>2</v>
      </c>
      <c r="L63" s="35" t="n">
        <v>3</v>
      </c>
      <c r="M63" s="35" t="n">
        <v>3</v>
      </c>
      <c r="N63" s="35" t="n">
        <v>2</v>
      </c>
      <c r="O63" s="35" t="n">
        <v>1</v>
      </c>
      <c r="P63" s="35" t="n">
        <v>3</v>
      </c>
      <c r="Q63" s="35" t="n">
        <v>2</v>
      </c>
      <c r="R63" s="35" t="n">
        <v>3</v>
      </c>
      <c r="S63" s="35" t="n">
        <v>1</v>
      </c>
      <c r="T63" s="35" t="n">
        <v>4</v>
      </c>
      <c r="U63" s="35" t="n">
        <v>1</v>
      </c>
      <c r="V63" s="35" t="n">
        <v>2</v>
      </c>
      <c r="W63" s="35" t="n">
        <v>2</v>
      </c>
      <c r="X63" s="41" t="n">
        <v>2</v>
      </c>
      <c r="Y63" s="35" t="n">
        <v>4</v>
      </c>
      <c r="Z63" s="35" t="n">
        <v>3</v>
      </c>
      <c r="AA63" s="35" t="n">
        <v>4</v>
      </c>
      <c r="AB63" s="35" t="n">
        <v>3</v>
      </c>
      <c r="AC63" s="35" t="n">
        <v>1</v>
      </c>
      <c r="AD63" s="35" t="n">
        <v>2</v>
      </c>
      <c r="AE63" s="41" t="n">
        <v>4</v>
      </c>
      <c r="AF63" s="35" t="n">
        <v>2</v>
      </c>
      <c r="AG63" s="35" t="n">
        <v>3</v>
      </c>
      <c r="AH63" s="35" t="n">
        <v>3</v>
      </c>
      <c r="AI63" s="35" t="n">
        <v>1</v>
      </c>
      <c r="AJ63" s="35" t="n">
        <v>14</v>
      </c>
      <c r="AK63" s="35" t="n">
        <v>2</v>
      </c>
      <c r="AL63" s="38" t="n">
        <v>1</v>
      </c>
      <c r="AM63" s="19">
        <f t="array" ref="AM63">IF(K63=VLOOKUP(VALUE(K$1),{Questions[#],Questions[Answer]},2,FALSE),1,0)</f>
        <v/>
      </c>
      <c r="AN63" s="41">
        <f t="array" ref="AN63">IF(L63=VLOOKUP(VALUE(L$1),{Questions[#],Questions[Answer]},2,FALSE),1,0)</f>
        <v/>
      </c>
      <c r="AO63" s="41">
        <f t="array" ref="AO63">IF(M63=VLOOKUP(VALUE(M$1),{Questions[#],Questions[Answer]},2,FALSE),1,0)</f>
        <v/>
      </c>
      <c r="AP63" s="41">
        <f t="array" ref="AP63">IF(N63=VLOOKUP(VALUE(N$1),{Questions[#],Questions[Answer]},2,FALSE),1,0)</f>
        <v/>
      </c>
      <c r="AQ63" s="41">
        <f t="array" ref="AQ63">IF(O63=VLOOKUP(VALUE(O$1),{Questions[#],Questions[Answer]},2,FALSE),1,0)</f>
        <v/>
      </c>
      <c r="AR63" s="41">
        <f t="array" ref="AR63">IF(P63=VLOOKUP(VALUE(P$1),{Questions[#],Questions[Answer]},2,FALSE),1,0)</f>
        <v/>
      </c>
      <c r="AS63" s="41">
        <f t="array" ref="AS63">IF(Q63=VLOOKUP(VALUE(Q$1),{Questions[#],Questions[Answer]},2,FALSE),1,0)</f>
        <v/>
      </c>
      <c r="AT63" s="41">
        <f t="array" ref="AT63">IF(R63=VLOOKUP(VALUE(R$1),{Questions[#],Questions[Answer]},2,FALSE),1,0)</f>
        <v/>
      </c>
      <c r="AU63" s="41">
        <f t="array" ref="AU63">IF(S63=VLOOKUP(VALUE(S$1),{Questions[#],Questions[Answer]},2,FALSE),1,0)</f>
        <v/>
      </c>
      <c r="AV63" s="41">
        <f t="array" ref="AV63">IF(T63=VLOOKUP(VALUE(T$1),{Questions[#],Questions[Answer]},2,FALSE),1,0)</f>
        <v/>
      </c>
      <c r="AW63" s="41">
        <f t="array" ref="AW63">IF(U63=VLOOKUP(VALUE(U$1),{Questions[#],Questions[Answer]},2,FALSE),1,0)</f>
        <v/>
      </c>
      <c r="AX63" s="41">
        <f t="array" ref="AX63">IF(V63=VLOOKUP(VALUE(V$1),{Questions[#],Questions[Answer]},2,FALSE),1,0)</f>
        <v/>
      </c>
      <c r="AY63" s="41">
        <f t="array" ref="AY63">IF(W63=VLOOKUP(VALUE(W$1),{Questions[#],Questions[Answer]},2,FALSE),1,0)</f>
        <v/>
      </c>
      <c r="AZ63" s="41">
        <f t="array" ref="AZ63">IF(X63=VLOOKUP(VALUE(X$1),{Questions[#],Questions[Answer]},2,FALSE),1,0)</f>
        <v/>
      </c>
      <c r="BA63" s="41">
        <f t="array" ref="BA63">IF(Y63=VLOOKUP(VALUE(Y$1),{Questions[#],Questions[Answer]},2,FALSE),1,0)</f>
        <v/>
      </c>
      <c r="BB63" s="41">
        <f t="array" ref="BB63">IF(Z63=VLOOKUP(VALUE(Z$1),{Questions[#],Questions[Answer]},2,FALSE),1,0)</f>
        <v/>
      </c>
      <c r="BC63" s="41">
        <f t="array" ref="BC63">IF(AA63=VLOOKUP(VALUE(AA$1),{Questions[#],Questions[Answer]},2,FALSE),1,0)</f>
        <v/>
      </c>
      <c r="BD63" s="41">
        <f t="array" ref="BD63">IF(AB63=VLOOKUP(VALUE(AB$1),{Questions[#],Questions[Answer]},2,FALSE),1,0)</f>
        <v/>
      </c>
      <c r="BE63" s="41">
        <f t="array" ref="BE63">IF(AC63=VLOOKUP(VALUE(AC$1),{Questions[#],Questions[Answer]},2,FALSE),1,0)</f>
        <v/>
      </c>
      <c r="BF63" s="41">
        <f t="array" ref="BF63">IF(AD63=VLOOKUP(VALUE(AD$1),{Questions[#],Questions[Answer]},2,FALSE),1,0)</f>
        <v/>
      </c>
      <c r="BG63" s="41">
        <f t="array" ref="BG63">IF(AE63=VLOOKUP(VALUE(AE$1),{Questions[#],Questions[Answer]},2,FALSE),1,0)</f>
        <v/>
      </c>
      <c r="BH63" s="41">
        <f t="array" ref="BH63">IF(AF63=VLOOKUP(VALUE(AF$1),{Questions[#],Questions[Answer]},2,FALSE),1,0)</f>
        <v/>
      </c>
      <c r="BI63" s="41">
        <f t="array" ref="BI63">IF(AG63=VLOOKUP(VALUE(AG$1),{Questions[#],Questions[Answer]},2,FALSE),1,0)</f>
        <v/>
      </c>
      <c r="BJ63" s="41">
        <f t="array" ref="BJ63">IF(AH63=VLOOKUP(VALUE(AH$1),{Questions[#],Questions[Answer]},2,FALSE),1,0)</f>
        <v/>
      </c>
      <c r="BK63" s="41">
        <f t="array" ref="BK63">IF(AI63=VLOOKUP(VALUE(AI$1),{Questions[#],Questions[Answer]},2,FALSE),1,0)</f>
        <v/>
      </c>
      <c r="BL63" s="41">
        <f t="array" ref="BL63">IF(AJ63=VLOOKUP(VALUE(AJ$1),{Questions[#],Questions[Answer]},2,FALSE),1,0)</f>
        <v/>
      </c>
      <c r="BM63" s="41">
        <f t="array" ref="BM63">IF(AK63=VLOOKUP(VALUE(AK$1),{Questions[#],Questions[Answer]},2,FALSE),1,0)</f>
        <v/>
      </c>
      <c r="BN63" s="41">
        <f t="array" ref="BN63">IF(AL63=VLOOKUP(VALUE(AL$1),{Questions[#],Questions[Answer]},2,FALSE),1,0)</f>
        <v/>
      </c>
    </row>
    <row r="64" ht="22.5" customHeight="1" s="93">
      <c r="A64" s="42" t="inlineStr">
        <is>
          <t>Dushin</t>
        </is>
      </c>
      <c r="B64" s="41" t="n">
        <v>10</v>
      </c>
      <c r="C64" s="41" t="n">
        <v>8</v>
      </c>
      <c r="D64" s="43" t="inlineStr">
        <is>
          <t>TREVAUGHN MORRISON</t>
        </is>
      </c>
      <c r="E64" s="41" t="n"/>
      <c r="F64" s="41" t="n"/>
      <c r="G64" s="11">
        <f>SUM(AM64:BN64)</f>
        <v/>
      </c>
      <c r="H64" s="40">
        <f>G64/9</f>
        <v/>
      </c>
      <c r="I64" s="12">
        <f>0.5+(G64/54)</f>
        <v/>
      </c>
      <c r="J64" s="41">
        <f>COUNTIF(K64:AL64,"")</f>
        <v/>
      </c>
      <c r="K64" s="34" t="n">
        <v>4</v>
      </c>
      <c r="L64" s="35" t="n">
        <v>1</v>
      </c>
      <c r="M64" s="35" t="n">
        <v>2</v>
      </c>
      <c r="N64" s="35" t="n">
        <v>2</v>
      </c>
      <c r="O64" s="35" t="n">
        <v>4</v>
      </c>
      <c r="P64" s="35" t="n">
        <v>4</v>
      </c>
      <c r="Q64" s="35" t="n">
        <v>2</v>
      </c>
      <c r="R64" s="35" t="n">
        <v>3</v>
      </c>
      <c r="S64" s="35" t="n">
        <v>1</v>
      </c>
      <c r="T64" s="35" t="n">
        <v>4</v>
      </c>
      <c r="U64" s="35" t="n">
        <v>1</v>
      </c>
      <c r="V64" s="35" t="n">
        <v>4</v>
      </c>
      <c r="W64" s="35" t="n">
        <v>3</v>
      </c>
      <c r="X64" s="41" t="n">
        <v>2</v>
      </c>
      <c r="Y64" s="35" t="n">
        <v>3</v>
      </c>
      <c r="Z64" s="35" t="n">
        <v>3</v>
      </c>
      <c r="AA64" s="35" t="n">
        <v>4</v>
      </c>
      <c r="AB64" s="35" t="n">
        <v>4</v>
      </c>
      <c r="AC64" s="35" t="n">
        <v>1</v>
      </c>
      <c r="AD64" s="35" t="n">
        <v>2</v>
      </c>
      <c r="AE64" s="41" t="n">
        <v>1</v>
      </c>
      <c r="AF64" s="35" t="n">
        <v>3</v>
      </c>
      <c r="AG64" s="35" t="n">
        <v>3</v>
      </c>
      <c r="AH64" s="35" t="n">
        <v>1</v>
      </c>
      <c r="AI64" s="35" t="n">
        <v>1</v>
      </c>
      <c r="AJ64" s="35" t="n">
        <v>4</v>
      </c>
      <c r="AK64" s="35" t="n">
        <v>2</v>
      </c>
      <c r="AL64" s="38" t="n">
        <v>1</v>
      </c>
      <c r="AM64" s="19">
        <f t="array" ref="AM64">IF(K64=VLOOKUP(VALUE(K$1),{Questions[#],Questions[Answer]},2,FALSE),1,0)</f>
        <v/>
      </c>
      <c r="AN64" s="41">
        <f t="array" ref="AN64">IF(L64=VLOOKUP(VALUE(L$1),{Questions[#],Questions[Answer]},2,FALSE),1,0)</f>
        <v/>
      </c>
      <c r="AO64" s="41">
        <f t="array" ref="AO64">IF(M64=VLOOKUP(VALUE(M$1),{Questions[#],Questions[Answer]},2,FALSE),1,0)</f>
        <v/>
      </c>
      <c r="AP64" s="41">
        <f t="array" ref="AP64">IF(N64=VLOOKUP(VALUE(N$1),{Questions[#],Questions[Answer]},2,FALSE),1,0)</f>
        <v/>
      </c>
      <c r="AQ64" s="41">
        <f t="array" ref="AQ64">IF(O64=VLOOKUP(VALUE(O$1),{Questions[#],Questions[Answer]},2,FALSE),1,0)</f>
        <v/>
      </c>
      <c r="AR64" s="41">
        <f t="array" ref="AR64">IF(P64=VLOOKUP(VALUE(P$1),{Questions[#],Questions[Answer]},2,FALSE),1,0)</f>
        <v/>
      </c>
      <c r="AS64" s="41">
        <f t="array" ref="AS64">IF(Q64=VLOOKUP(VALUE(Q$1),{Questions[#],Questions[Answer]},2,FALSE),1,0)</f>
        <v/>
      </c>
      <c r="AT64" s="41">
        <f t="array" ref="AT64">IF(R64=VLOOKUP(VALUE(R$1),{Questions[#],Questions[Answer]},2,FALSE),1,0)</f>
        <v/>
      </c>
      <c r="AU64" s="41">
        <f t="array" ref="AU64">IF(S64=VLOOKUP(VALUE(S$1),{Questions[#],Questions[Answer]},2,FALSE),1,0)</f>
        <v/>
      </c>
      <c r="AV64" s="41">
        <f t="array" ref="AV64">IF(T64=VLOOKUP(VALUE(T$1),{Questions[#],Questions[Answer]},2,FALSE),1,0)</f>
        <v/>
      </c>
      <c r="AW64" s="41">
        <f t="array" ref="AW64">IF(U64=VLOOKUP(VALUE(U$1),{Questions[#],Questions[Answer]},2,FALSE),1,0)</f>
        <v/>
      </c>
      <c r="AX64" s="41">
        <f t="array" ref="AX64">IF(V64=VLOOKUP(VALUE(V$1),{Questions[#],Questions[Answer]},2,FALSE),1,0)</f>
        <v/>
      </c>
      <c r="AY64" s="41">
        <f t="array" ref="AY64">IF(W64=VLOOKUP(VALUE(W$1),{Questions[#],Questions[Answer]},2,FALSE),1,0)</f>
        <v/>
      </c>
      <c r="AZ64" s="41">
        <f t="array" ref="AZ64">IF(X64=VLOOKUP(VALUE(X$1),{Questions[#],Questions[Answer]},2,FALSE),1,0)</f>
        <v/>
      </c>
      <c r="BA64" s="41">
        <f t="array" ref="BA64">IF(Y64=VLOOKUP(VALUE(Y$1),{Questions[#],Questions[Answer]},2,FALSE),1,0)</f>
        <v/>
      </c>
      <c r="BB64" s="41">
        <f t="array" ref="BB64">IF(Z64=VLOOKUP(VALUE(Z$1),{Questions[#],Questions[Answer]},2,FALSE),1,0)</f>
        <v/>
      </c>
      <c r="BC64" s="41">
        <f t="array" ref="BC64">IF(AA64=VLOOKUP(VALUE(AA$1),{Questions[#],Questions[Answer]},2,FALSE),1,0)</f>
        <v/>
      </c>
      <c r="BD64" s="41">
        <f t="array" ref="BD64">IF(AB64=VLOOKUP(VALUE(AB$1),{Questions[#],Questions[Answer]},2,FALSE),1,0)</f>
        <v/>
      </c>
      <c r="BE64" s="41">
        <f t="array" ref="BE64">IF(AC64=VLOOKUP(VALUE(AC$1),{Questions[#],Questions[Answer]},2,FALSE),1,0)</f>
        <v/>
      </c>
      <c r="BF64" s="41">
        <f t="array" ref="BF64">IF(AD64=VLOOKUP(VALUE(AD$1),{Questions[#],Questions[Answer]},2,FALSE),1,0)</f>
        <v/>
      </c>
      <c r="BG64" s="41">
        <f t="array" ref="BG64">IF(AE64=VLOOKUP(VALUE(AE$1),{Questions[#],Questions[Answer]},2,FALSE),1,0)</f>
        <v/>
      </c>
      <c r="BH64" s="41">
        <f t="array" ref="BH64">IF(AF64=VLOOKUP(VALUE(AF$1),{Questions[#],Questions[Answer]},2,FALSE),1,0)</f>
        <v/>
      </c>
      <c r="BI64" s="41">
        <f t="array" ref="BI64">IF(AG64=VLOOKUP(VALUE(AG$1),{Questions[#],Questions[Answer]},2,FALSE),1,0)</f>
        <v/>
      </c>
      <c r="BJ64" s="41">
        <f t="array" ref="BJ64">IF(AH64=VLOOKUP(VALUE(AH$1),{Questions[#],Questions[Answer]},2,FALSE),1,0)</f>
        <v/>
      </c>
      <c r="BK64" s="41">
        <f t="array" ref="BK64">IF(AI64=VLOOKUP(VALUE(AI$1),{Questions[#],Questions[Answer]},2,FALSE),1,0)</f>
        <v/>
      </c>
      <c r="BL64" s="41">
        <f t="array" ref="BL64">IF(AJ64=VLOOKUP(VALUE(AJ$1),{Questions[#],Questions[Answer]},2,FALSE),1,0)</f>
        <v/>
      </c>
      <c r="BM64" s="41">
        <f t="array" ref="BM64">IF(AK64=VLOOKUP(VALUE(AK$1),{Questions[#],Questions[Answer]},2,FALSE),1,0)</f>
        <v/>
      </c>
      <c r="BN64" s="41">
        <f t="array" ref="BN64">IF(AL64=VLOOKUP(VALUE(AL$1),{Questions[#],Questions[Answer]},2,FALSE),1,0)</f>
        <v/>
      </c>
    </row>
    <row r="65" ht="22.5" customHeight="1" s="93">
      <c r="A65" s="42" t="inlineStr">
        <is>
          <t>Dushin</t>
        </is>
      </c>
      <c r="B65" s="41" t="n">
        <v>10</v>
      </c>
      <c r="C65" s="41" t="n">
        <v>8</v>
      </c>
      <c r="D65" s="43" t="inlineStr">
        <is>
          <t>DAMIAN MURRAY JR</t>
        </is>
      </c>
      <c r="E65" s="41" t="n"/>
      <c r="F65" s="41" t="n"/>
      <c r="G65" s="11">
        <f>SUM(AM65:BN65)</f>
        <v/>
      </c>
      <c r="H65" s="40">
        <f>G65/9</f>
        <v/>
      </c>
      <c r="I65" s="12">
        <f>0.5+(G65/54)</f>
        <v/>
      </c>
      <c r="J65" s="41">
        <f>COUNTIF(K65:AL65,"")</f>
        <v/>
      </c>
      <c r="K65" s="34" t="n">
        <v>4</v>
      </c>
      <c r="L65" s="35" t="n">
        <v>1</v>
      </c>
      <c r="M65" s="35" t="n">
        <v>3</v>
      </c>
      <c r="N65" s="35" t="n">
        <v>2</v>
      </c>
      <c r="O65" s="35" t="n">
        <v>1</v>
      </c>
      <c r="P65" s="35" t="n">
        <v>3</v>
      </c>
      <c r="Q65" s="35" t="n">
        <v>2</v>
      </c>
      <c r="R65" s="35" t="n">
        <v>3</v>
      </c>
      <c r="S65" s="35" t="n">
        <v>1</v>
      </c>
      <c r="T65" s="35" t="n">
        <v>3</v>
      </c>
      <c r="U65" s="35" t="n">
        <v>1</v>
      </c>
      <c r="V65" s="35" t="n">
        <v>1</v>
      </c>
      <c r="W65" s="35" t="n">
        <v>2</v>
      </c>
      <c r="X65" s="41" t="n">
        <v>4</v>
      </c>
      <c r="Y65" s="35" t="n">
        <v>4</v>
      </c>
      <c r="Z65" s="35" t="n">
        <v>3</v>
      </c>
      <c r="AA65" s="35" t="n">
        <v>4</v>
      </c>
      <c r="AB65" s="35" t="n">
        <v>3</v>
      </c>
      <c r="AC65" s="35" t="n">
        <v>1</v>
      </c>
      <c r="AD65" s="35" t="n">
        <v>3</v>
      </c>
      <c r="AE65" s="41" t="n">
        <v>4</v>
      </c>
      <c r="AF65" s="35" t="n">
        <v>2</v>
      </c>
      <c r="AG65" s="35" t="n">
        <v>2</v>
      </c>
      <c r="AH65" s="35" t="n">
        <v>3</v>
      </c>
      <c r="AI65" s="35" t="n">
        <v>2</v>
      </c>
      <c r="AJ65" s="35" t="n">
        <v>4</v>
      </c>
      <c r="AK65" s="35" t="n">
        <v>1</v>
      </c>
      <c r="AL65" s="38" t="n">
        <v>2</v>
      </c>
      <c r="AM65" s="19">
        <f t="array" ref="AM65">IF(K65=VLOOKUP(VALUE(K$1),{Questions[#],Questions[Answer]},2,FALSE),1,0)</f>
        <v/>
      </c>
      <c r="AN65" s="41">
        <f t="array" ref="AN65">IF(L65=VLOOKUP(VALUE(L$1),{Questions[#],Questions[Answer]},2,FALSE),1,0)</f>
        <v/>
      </c>
      <c r="AO65" s="41">
        <f t="array" ref="AO65">IF(M65=VLOOKUP(VALUE(M$1),{Questions[#],Questions[Answer]},2,FALSE),1,0)</f>
        <v/>
      </c>
      <c r="AP65" s="41">
        <f t="array" ref="AP65">IF(N65=VLOOKUP(VALUE(N$1),{Questions[#],Questions[Answer]},2,FALSE),1,0)</f>
        <v/>
      </c>
      <c r="AQ65" s="41">
        <f t="array" ref="AQ65">IF(O65=VLOOKUP(VALUE(O$1),{Questions[#],Questions[Answer]},2,FALSE),1,0)</f>
        <v/>
      </c>
      <c r="AR65" s="41">
        <f t="array" ref="AR65">IF(P65=VLOOKUP(VALUE(P$1),{Questions[#],Questions[Answer]},2,FALSE),1,0)</f>
        <v/>
      </c>
      <c r="AS65" s="41">
        <f t="array" ref="AS65">IF(Q65=VLOOKUP(VALUE(Q$1),{Questions[#],Questions[Answer]},2,FALSE),1,0)</f>
        <v/>
      </c>
      <c r="AT65" s="41">
        <f t="array" ref="AT65">IF(R65=VLOOKUP(VALUE(R$1),{Questions[#],Questions[Answer]},2,FALSE),1,0)</f>
        <v/>
      </c>
      <c r="AU65" s="41">
        <f t="array" ref="AU65">IF(S65=VLOOKUP(VALUE(S$1),{Questions[#],Questions[Answer]},2,FALSE),1,0)</f>
        <v/>
      </c>
      <c r="AV65" s="41">
        <f t="array" ref="AV65">IF(T65=VLOOKUP(VALUE(T$1),{Questions[#],Questions[Answer]},2,FALSE),1,0)</f>
        <v/>
      </c>
      <c r="AW65" s="41">
        <f t="array" ref="AW65">IF(U65=VLOOKUP(VALUE(U$1),{Questions[#],Questions[Answer]},2,FALSE),1,0)</f>
        <v/>
      </c>
      <c r="AX65" s="41">
        <f t="array" ref="AX65">IF(V65=VLOOKUP(VALUE(V$1),{Questions[#],Questions[Answer]},2,FALSE),1,0)</f>
        <v/>
      </c>
      <c r="AY65" s="41">
        <f t="array" ref="AY65">IF(W65=VLOOKUP(VALUE(W$1),{Questions[#],Questions[Answer]},2,FALSE),1,0)</f>
        <v/>
      </c>
      <c r="AZ65" s="41">
        <f t="array" ref="AZ65">IF(X65=VLOOKUP(VALUE(X$1),{Questions[#],Questions[Answer]},2,FALSE),1,0)</f>
        <v/>
      </c>
      <c r="BA65" s="41">
        <f t="array" ref="BA65">IF(Y65=VLOOKUP(VALUE(Y$1),{Questions[#],Questions[Answer]},2,FALSE),1,0)</f>
        <v/>
      </c>
      <c r="BB65" s="41">
        <f t="array" ref="BB65">IF(Z65=VLOOKUP(VALUE(Z$1),{Questions[#],Questions[Answer]},2,FALSE),1,0)</f>
        <v/>
      </c>
      <c r="BC65" s="41">
        <f t="array" ref="BC65">IF(AA65=VLOOKUP(VALUE(AA$1),{Questions[#],Questions[Answer]},2,FALSE),1,0)</f>
        <v/>
      </c>
      <c r="BD65" s="41">
        <f t="array" ref="BD65">IF(AB65=VLOOKUP(VALUE(AB$1),{Questions[#],Questions[Answer]},2,FALSE),1,0)</f>
        <v/>
      </c>
      <c r="BE65" s="41">
        <f t="array" ref="BE65">IF(AC65=VLOOKUP(VALUE(AC$1),{Questions[#],Questions[Answer]},2,FALSE),1,0)</f>
        <v/>
      </c>
      <c r="BF65" s="41">
        <f t="array" ref="BF65">IF(AD65=VLOOKUP(VALUE(AD$1),{Questions[#],Questions[Answer]},2,FALSE),1,0)</f>
        <v/>
      </c>
      <c r="BG65" s="41">
        <f t="array" ref="BG65">IF(AE65=VLOOKUP(VALUE(AE$1),{Questions[#],Questions[Answer]},2,FALSE),1,0)</f>
        <v/>
      </c>
      <c r="BH65" s="41">
        <f t="array" ref="BH65">IF(AF65=VLOOKUP(VALUE(AF$1),{Questions[#],Questions[Answer]},2,FALSE),1,0)</f>
        <v/>
      </c>
      <c r="BI65" s="41">
        <f t="array" ref="BI65">IF(AG65=VLOOKUP(VALUE(AG$1),{Questions[#],Questions[Answer]},2,FALSE),1,0)</f>
        <v/>
      </c>
      <c r="BJ65" s="41">
        <f t="array" ref="BJ65">IF(AH65=VLOOKUP(VALUE(AH$1),{Questions[#],Questions[Answer]},2,FALSE),1,0)</f>
        <v/>
      </c>
      <c r="BK65" s="41">
        <f t="array" ref="BK65">IF(AI65=VLOOKUP(VALUE(AI$1),{Questions[#],Questions[Answer]},2,FALSE),1,0)</f>
        <v/>
      </c>
      <c r="BL65" s="41">
        <f t="array" ref="BL65">IF(AJ65=VLOOKUP(VALUE(AJ$1),{Questions[#],Questions[Answer]},2,FALSE),1,0)</f>
        <v/>
      </c>
      <c r="BM65" s="41">
        <f t="array" ref="BM65">IF(AK65=VLOOKUP(VALUE(AK$1),{Questions[#],Questions[Answer]},2,FALSE),1,0)</f>
        <v/>
      </c>
      <c r="BN65" s="41">
        <f t="array" ref="BN65">IF(AL65=VLOOKUP(VALUE(AL$1),{Questions[#],Questions[Answer]},2,FALSE),1,0)</f>
        <v/>
      </c>
    </row>
    <row r="66" ht="22.5" customHeight="1" s="93">
      <c r="A66" s="42" t="inlineStr">
        <is>
          <t>Dushin</t>
        </is>
      </c>
      <c r="B66" s="41" t="n">
        <v>10</v>
      </c>
      <c r="C66" s="41" t="n">
        <v>8</v>
      </c>
      <c r="D66" s="43" t="inlineStr">
        <is>
          <t>CESAR SANCHEZ</t>
        </is>
      </c>
      <c r="E66" s="41" t="n"/>
      <c r="F66" s="41" t="n"/>
      <c r="G66" s="11">
        <f>SUM(AM66:BN66)</f>
        <v/>
      </c>
      <c r="H66" s="40">
        <f>G66/9</f>
        <v/>
      </c>
      <c r="I66" s="12">
        <f>0.5+(G66/54)</f>
        <v/>
      </c>
      <c r="J66" s="41">
        <f>COUNTIF(K66:AL66,"")</f>
        <v/>
      </c>
      <c r="K66" s="34" t="n">
        <v>4</v>
      </c>
      <c r="L66" s="35" t="n">
        <v>1</v>
      </c>
      <c r="M66" s="35" t="n">
        <v>3</v>
      </c>
      <c r="N66" s="35" t="n">
        <v>2</v>
      </c>
      <c r="O66" s="35" t="n">
        <v>1</v>
      </c>
      <c r="P66" s="35" t="n">
        <v>3</v>
      </c>
      <c r="Q66" s="35" t="n">
        <v>2</v>
      </c>
      <c r="R66" s="35" t="n">
        <v>3</v>
      </c>
      <c r="S66" s="35" t="n">
        <v>1</v>
      </c>
      <c r="T66" s="35" t="n">
        <v>3</v>
      </c>
      <c r="U66" s="35" t="n">
        <v>1</v>
      </c>
      <c r="V66" s="35" t="n">
        <v>4</v>
      </c>
      <c r="W66" s="35" t="n">
        <v>2</v>
      </c>
      <c r="X66" s="41" t="n">
        <v>2</v>
      </c>
      <c r="Y66" s="35" t="n">
        <v>4</v>
      </c>
      <c r="Z66" s="35" t="n">
        <v>3</v>
      </c>
      <c r="AA66" s="35" t="n">
        <v>4</v>
      </c>
      <c r="AB66" s="35" t="n">
        <v>3</v>
      </c>
      <c r="AC66" s="35" t="n">
        <v>1</v>
      </c>
      <c r="AD66" s="35" t="n">
        <v>3</v>
      </c>
      <c r="AE66" s="41" t="n">
        <v>4</v>
      </c>
      <c r="AF66" s="35" t="n">
        <v>2</v>
      </c>
      <c r="AG66" s="35" t="n">
        <v>3</v>
      </c>
      <c r="AH66" s="35" t="n">
        <v>3</v>
      </c>
      <c r="AI66" s="35" t="n">
        <v>2</v>
      </c>
      <c r="AJ66" s="35" t="n">
        <v>4</v>
      </c>
      <c r="AK66" s="35" t="n">
        <v>1</v>
      </c>
      <c r="AL66" s="38" t="n">
        <v>2</v>
      </c>
      <c r="AM66" s="19">
        <f t="array" ref="AM66">IF(K66=VLOOKUP(VALUE(K$1),{Questions[#],Questions[Answer]},2,FALSE),1,0)</f>
        <v/>
      </c>
      <c r="AN66" s="41">
        <f t="array" ref="AN66">IF(L66=VLOOKUP(VALUE(L$1),{Questions[#],Questions[Answer]},2,FALSE),1,0)</f>
        <v/>
      </c>
      <c r="AO66" s="41">
        <f t="array" ref="AO66">IF(M66=VLOOKUP(VALUE(M$1),{Questions[#],Questions[Answer]},2,FALSE),1,0)</f>
        <v/>
      </c>
      <c r="AP66" s="41">
        <f t="array" ref="AP66">IF(N66=VLOOKUP(VALUE(N$1),{Questions[#],Questions[Answer]},2,FALSE),1,0)</f>
        <v/>
      </c>
      <c r="AQ66" s="41">
        <f t="array" ref="AQ66">IF(O66=VLOOKUP(VALUE(O$1),{Questions[#],Questions[Answer]},2,FALSE),1,0)</f>
        <v/>
      </c>
      <c r="AR66" s="41">
        <f t="array" ref="AR66">IF(P66=VLOOKUP(VALUE(P$1),{Questions[#],Questions[Answer]},2,FALSE),1,0)</f>
        <v/>
      </c>
      <c r="AS66" s="41">
        <f t="array" ref="AS66">IF(Q66=VLOOKUP(VALUE(Q$1),{Questions[#],Questions[Answer]},2,FALSE),1,0)</f>
        <v/>
      </c>
      <c r="AT66" s="41">
        <f t="array" ref="AT66">IF(R66=VLOOKUP(VALUE(R$1),{Questions[#],Questions[Answer]},2,FALSE),1,0)</f>
        <v/>
      </c>
      <c r="AU66" s="41">
        <f t="array" ref="AU66">IF(S66=VLOOKUP(VALUE(S$1),{Questions[#],Questions[Answer]},2,FALSE),1,0)</f>
        <v/>
      </c>
      <c r="AV66" s="41">
        <f t="array" ref="AV66">IF(T66=VLOOKUP(VALUE(T$1),{Questions[#],Questions[Answer]},2,FALSE),1,0)</f>
        <v/>
      </c>
      <c r="AW66" s="41">
        <f t="array" ref="AW66">IF(U66=VLOOKUP(VALUE(U$1),{Questions[#],Questions[Answer]},2,FALSE),1,0)</f>
        <v/>
      </c>
      <c r="AX66" s="41">
        <f t="array" ref="AX66">IF(V66=VLOOKUP(VALUE(V$1),{Questions[#],Questions[Answer]},2,FALSE),1,0)</f>
        <v/>
      </c>
      <c r="AY66" s="41">
        <f t="array" ref="AY66">IF(W66=VLOOKUP(VALUE(W$1),{Questions[#],Questions[Answer]},2,FALSE),1,0)</f>
        <v/>
      </c>
      <c r="AZ66" s="41">
        <f t="array" ref="AZ66">IF(X66=VLOOKUP(VALUE(X$1),{Questions[#],Questions[Answer]},2,FALSE),1,0)</f>
        <v/>
      </c>
      <c r="BA66" s="41">
        <f t="array" ref="BA66">IF(Y66=VLOOKUP(VALUE(Y$1),{Questions[#],Questions[Answer]},2,FALSE),1,0)</f>
        <v/>
      </c>
      <c r="BB66" s="41">
        <f t="array" ref="BB66">IF(Z66=VLOOKUP(VALUE(Z$1),{Questions[#],Questions[Answer]},2,FALSE),1,0)</f>
        <v/>
      </c>
      <c r="BC66" s="41">
        <f t="array" ref="BC66">IF(AA66=VLOOKUP(VALUE(AA$1),{Questions[#],Questions[Answer]},2,FALSE),1,0)</f>
        <v/>
      </c>
      <c r="BD66" s="41">
        <f t="array" ref="BD66">IF(AB66=VLOOKUP(VALUE(AB$1),{Questions[#],Questions[Answer]},2,FALSE),1,0)</f>
        <v/>
      </c>
      <c r="BE66" s="41">
        <f t="array" ref="BE66">IF(AC66=VLOOKUP(VALUE(AC$1),{Questions[#],Questions[Answer]},2,FALSE),1,0)</f>
        <v/>
      </c>
      <c r="BF66" s="41">
        <f t="array" ref="BF66">IF(AD66=VLOOKUP(VALUE(AD$1),{Questions[#],Questions[Answer]},2,FALSE),1,0)</f>
        <v/>
      </c>
      <c r="BG66" s="41">
        <f t="array" ref="BG66">IF(AE66=VLOOKUP(VALUE(AE$1),{Questions[#],Questions[Answer]},2,FALSE),1,0)</f>
        <v/>
      </c>
      <c r="BH66" s="41">
        <f t="array" ref="BH66">IF(AF66=VLOOKUP(VALUE(AF$1),{Questions[#],Questions[Answer]},2,FALSE),1,0)</f>
        <v/>
      </c>
      <c r="BI66" s="41">
        <f t="array" ref="BI66">IF(AG66=VLOOKUP(VALUE(AG$1),{Questions[#],Questions[Answer]},2,FALSE),1,0)</f>
        <v/>
      </c>
      <c r="BJ66" s="41">
        <f t="array" ref="BJ66">IF(AH66=VLOOKUP(VALUE(AH$1),{Questions[#],Questions[Answer]},2,FALSE),1,0)</f>
        <v/>
      </c>
      <c r="BK66" s="41">
        <f t="array" ref="BK66">IF(AI66=VLOOKUP(VALUE(AI$1),{Questions[#],Questions[Answer]},2,FALSE),1,0)</f>
        <v/>
      </c>
      <c r="BL66" s="41">
        <f t="array" ref="BL66">IF(AJ66=VLOOKUP(VALUE(AJ$1),{Questions[#],Questions[Answer]},2,FALSE),1,0)</f>
        <v/>
      </c>
      <c r="BM66" s="41">
        <f t="array" ref="BM66">IF(AK66=VLOOKUP(VALUE(AK$1),{Questions[#],Questions[Answer]},2,FALSE),1,0)</f>
        <v/>
      </c>
      <c r="BN66" s="41">
        <f t="array" ref="BN66">IF(AL66=VLOOKUP(VALUE(AL$1),{Questions[#],Questions[Answer]},2,FALSE),1,0)</f>
        <v/>
      </c>
    </row>
    <row r="67" ht="22.5" customHeight="1" s="93">
      <c r="A67" s="42" t="inlineStr">
        <is>
          <t>Dushin</t>
        </is>
      </c>
      <c r="B67" s="41" t="n">
        <v>10</v>
      </c>
      <c r="C67" s="41" t="n">
        <v>8</v>
      </c>
      <c r="D67" s="43" t="inlineStr">
        <is>
          <t>LASORD SMITH</t>
        </is>
      </c>
      <c r="E67" s="41" t="n"/>
      <c r="F67" s="41" t="n"/>
      <c r="G67" s="11">
        <f>SUM(AM67:BN67)</f>
        <v/>
      </c>
      <c r="H67" s="40">
        <f>G67/9</f>
        <v/>
      </c>
      <c r="I67" s="12">
        <f>0.5+(G67/54)</f>
        <v/>
      </c>
      <c r="J67" s="41">
        <f>COUNTIF(K67:AL67,"")</f>
        <v/>
      </c>
      <c r="K67" s="34" t="n">
        <v>4</v>
      </c>
      <c r="L67" s="35" t="n">
        <v>1</v>
      </c>
      <c r="M67" s="35" t="n">
        <v>3</v>
      </c>
      <c r="N67" s="35" t="n">
        <v>2</v>
      </c>
      <c r="O67" s="35" t="n">
        <v>4</v>
      </c>
      <c r="P67" s="35" t="n">
        <v>1</v>
      </c>
      <c r="Q67" s="35" t="n">
        <v>2</v>
      </c>
      <c r="R67" s="35" t="n">
        <v>2</v>
      </c>
      <c r="S67" s="35" t="n">
        <v>1</v>
      </c>
      <c r="T67" s="35" t="n">
        <v>2</v>
      </c>
      <c r="U67" s="35" t="n">
        <v>1</v>
      </c>
      <c r="V67" s="35" t="n">
        <v>3</v>
      </c>
      <c r="W67" s="35" t="n">
        <v>14</v>
      </c>
      <c r="X67" s="41" t="n">
        <v>2</v>
      </c>
      <c r="Y67" s="35" t="n">
        <v>3</v>
      </c>
      <c r="Z67" s="35" t="n">
        <v>1</v>
      </c>
      <c r="AA67" s="35" t="n">
        <v>3</v>
      </c>
      <c r="AB67" s="35" t="n">
        <v>1</v>
      </c>
      <c r="AC67" s="35" t="n">
        <v>4</v>
      </c>
      <c r="AD67" s="35" t="n">
        <v>1</v>
      </c>
      <c r="AE67" s="41" t="n">
        <v>3</v>
      </c>
      <c r="AF67" s="35" t="n">
        <v>2</v>
      </c>
      <c r="AG67" s="35" t="n">
        <v>2</v>
      </c>
      <c r="AH67" s="35" t="n">
        <v>3</v>
      </c>
      <c r="AI67" s="35" t="n">
        <v>2</v>
      </c>
      <c r="AJ67" s="35" t="n">
        <v>3</v>
      </c>
      <c r="AK67" s="35" t="n">
        <v>2</v>
      </c>
      <c r="AL67" s="38" t="n">
        <v>2</v>
      </c>
      <c r="AM67" s="19">
        <f t="array" ref="AM67">IF(K67=VLOOKUP(VALUE(K$1),{Questions[#],Questions[Answer]},2,FALSE),1,0)</f>
        <v/>
      </c>
      <c r="AN67" s="41">
        <f t="array" ref="AN67">IF(L67=VLOOKUP(VALUE(L$1),{Questions[#],Questions[Answer]},2,FALSE),1,0)</f>
        <v/>
      </c>
      <c r="AO67" s="41">
        <f t="array" ref="AO67">IF(M67=VLOOKUP(VALUE(M$1),{Questions[#],Questions[Answer]},2,FALSE),1,0)</f>
        <v/>
      </c>
      <c r="AP67" s="41">
        <f t="array" ref="AP67">IF(N67=VLOOKUP(VALUE(N$1),{Questions[#],Questions[Answer]},2,FALSE),1,0)</f>
        <v/>
      </c>
      <c r="AQ67" s="41">
        <f t="array" ref="AQ67">IF(O67=VLOOKUP(VALUE(O$1),{Questions[#],Questions[Answer]},2,FALSE),1,0)</f>
        <v/>
      </c>
      <c r="AR67" s="41">
        <f t="array" ref="AR67">IF(P67=VLOOKUP(VALUE(P$1),{Questions[#],Questions[Answer]},2,FALSE),1,0)</f>
        <v/>
      </c>
      <c r="AS67" s="41">
        <f t="array" ref="AS67">IF(Q67=VLOOKUP(VALUE(Q$1),{Questions[#],Questions[Answer]},2,FALSE),1,0)</f>
        <v/>
      </c>
      <c r="AT67" s="41">
        <f t="array" ref="AT67">IF(R67=VLOOKUP(VALUE(R$1),{Questions[#],Questions[Answer]},2,FALSE),1,0)</f>
        <v/>
      </c>
      <c r="AU67" s="41">
        <f t="array" ref="AU67">IF(S67=VLOOKUP(VALUE(S$1),{Questions[#],Questions[Answer]},2,FALSE),1,0)</f>
        <v/>
      </c>
      <c r="AV67" s="41">
        <f t="array" ref="AV67">IF(T67=VLOOKUP(VALUE(T$1),{Questions[#],Questions[Answer]},2,FALSE),1,0)</f>
        <v/>
      </c>
      <c r="AW67" s="41">
        <f t="array" ref="AW67">IF(U67=VLOOKUP(VALUE(U$1),{Questions[#],Questions[Answer]},2,FALSE),1,0)</f>
        <v/>
      </c>
      <c r="AX67" s="41">
        <f t="array" ref="AX67">IF(V67=VLOOKUP(VALUE(V$1),{Questions[#],Questions[Answer]},2,FALSE),1,0)</f>
        <v/>
      </c>
      <c r="AY67" s="41">
        <f t="array" ref="AY67">IF(W67=VLOOKUP(VALUE(W$1),{Questions[#],Questions[Answer]},2,FALSE),1,0)</f>
        <v/>
      </c>
      <c r="AZ67" s="41">
        <f t="array" ref="AZ67">IF(X67=VLOOKUP(VALUE(X$1),{Questions[#],Questions[Answer]},2,FALSE),1,0)</f>
        <v/>
      </c>
      <c r="BA67" s="41">
        <f t="array" ref="BA67">IF(Y67=VLOOKUP(VALUE(Y$1),{Questions[#],Questions[Answer]},2,FALSE),1,0)</f>
        <v/>
      </c>
      <c r="BB67" s="41">
        <f t="array" ref="BB67">IF(Z67=VLOOKUP(VALUE(Z$1),{Questions[#],Questions[Answer]},2,FALSE),1,0)</f>
        <v/>
      </c>
      <c r="BC67" s="41">
        <f t="array" ref="BC67">IF(AA67=VLOOKUP(VALUE(AA$1),{Questions[#],Questions[Answer]},2,FALSE),1,0)</f>
        <v/>
      </c>
      <c r="BD67" s="41">
        <f t="array" ref="BD67">IF(AB67=VLOOKUP(VALUE(AB$1),{Questions[#],Questions[Answer]},2,FALSE),1,0)</f>
        <v/>
      </c>
      <c r="BE67" s="41">
        <f t="array" ref="BE67">IF(AC67=VLOOKUP(VALUE(AC$1),{Questions[#],Questions[Answer]},2,FALSE),1,0)</f>
        <v/>
      </c>
      <c r="BF67" s="41">
        <f t="array" ref="BF67">IF(AD67=VLOOKUP(VALUE(AD$1),{Questions[#],Questions[Answer]},2,FALSE),1,0)</f>
        <v/>
      </c>
      <c r="BG67" s="41">
        <f t="array" ref="BG67">IF(AE67=VLOOKUP(VALUE(AE$1),{Questions[#],Questions[Answer]},2,FALSE),1,0)</f>
        <v/>
      </c>
      <c r="BH67" s="41">
        <f t="array" ref="BH67">IF(AF67=VLOOKUP(VALUE(AF$1),{Questions[#],Questions[Answer]},2,FALSE),1,0)</f>
        <v/>
      </c>
      <c r="BI67" s="41">
        <f t="array" ref="BI67">IF(AG67=VLOOKUP(VALUE(AG$1),{Questions[#],Questions[Answer]},2,FALSE),1,0)</f>
        <v/>
      </c>
      <c r="BJ67" s="41">
        <f t="array" ref="BJ67">IF(AH67=VLOOKUP(VALUE(AH$1),{Questions[#],Questions[Answer]},2,FALSE),1,0)</f>
        <v/>
      </c>
      <c r="BK67" s="41">
        <f t="array" ref="BK67">IF(AI67=VLOOKUP(VALUE(AI$1),{Questions[#],Questions[Answer]},2,FALSE),1,0)</f>
        <v/>
      </c>
      <c r="BL67" s="41">
        <f t="array" ref="BL67">IF(AJ67=VLOOKUP(VALUE(AJ$1),{Questions[#],Questions[Answer]},2,FALSE),1,0)</f>
        <v/>
      </c>
      <c r="BM67" s="41">
        <f t="array" ref="BM67">IF(AK67=VLOOKUP(VALUE(AK$1),{Questions[#],Questions[Answer]},2,FALSE),1,0)</f>
        <v/>
      </c>
      <c r="BN67" s="41">
        <f t="array" ref="BN67">IF(AL67=VLOOKUP(VALUE(AL$1),{Questions[#],Questions[Answer]},2,FALSE),1,0)</f>
        <v/>
      </c>
    </row>
    <row r="68" ht="22.5" customHeight="1" s="93">
      <c r="A68" s="42" t="n"/>
      <c r="B68" s="41" t="n"/>
      <c r="C68" s="41" t="n"/>
      <c r="D68" s="43" t="n"/>
      <c r="E68" s="41" t="n"/>
      <c r="F68" s="41" t="n"/>
      <c r="G68" s="11">
        <f>SUM(AM68:BN68)</f>
        <v/>
      </c>
      <c r="H68" s="40">
        <f>G68/9</f>
        <v/>
      </c>
      <c r="I68" s="12">
        <f>0.5+(G68/54)</f>
        <v/>
      </c>
      <c r="J68" s="41">
        <f>COUNTIF(K68:AL68,"")</f>
        <v/>
      </c>
      <c r="K68" s="34" t="n"/>
      <c r="L68" s="35" t="n"/>
      <c r="M68" s="35" t="n"/>
      <c r="N68" s="35" t="n"/>
      <c r="O68" s="35" t="n"/>
      <c r="P68" s="35" t="n"/>
      <c r="Q68" s="35" t="n"/>
      <c r="R68" s="35" t="n"/>
      <c r="S68" s="35" t="n"/>
      <c r="T68" s="35" t="n"/>
      <c r="U68" s="35" t="n"/>
      <c r="V68" s="35" t="n"/>
      <c r="W68" s="35" t="n"/>
      <c r="X68" s="41" t="n"/>
      <c r="Y68" s="35" t="n"/>
      <c r="Z68" s="35" t="n"/>
      <c r="AA68" s="35" t="n"/>
      <c r="AB68" s="35" t="n"/>
      <c r="AC68" s="35" t="n"/>
      <c r="AD68" s="35" t="n"/>
      <c r="AE68" s="41" t="n"/>
      <c r="AF68" s="35" t="n"/>
      <c r="AG68" s="35" t="n"/>
      <c r="AH68" s="35" t="n"/>
      <c r="AI68" s="35" t="n"/>
      <c r="AJ68" s="35" t="n"/>
      <c r="AK68" s="35" t="n"/>
      <c r="AL68" s="38" t="n"/>
      <c r="AM68" s="19">
        <f t="array" ref="AM68">IF(K68=VLOOKUP(VALUE(K$1),{Questions[#],Questions[Answer]},2,FALSE),1,0)</f>
        <v/>
      </c>
      <c r="AN68" s="41">
        <f t="array" ref="AN68">IF(L68=VLOOKUP(VALUE(L$1),{Questions[#],Questions[Answer]},2,FALSE),1,0)</f>
        <v/>
      </c>
      <c r="AO68" s="41">
        <f t="array" ref="AO68">IF(M68=VLOOKUP(VALUE(M$1),{Questions[#],Questions[Answer]},2,FALSE),1,0)</f>
        <v/>
      </c>
      <c r="AP68" s="41">
        <f t="array" ref="AP68">IF(N68=VLOOKUP(VALUE(N$1),{Questions[#],Questions[Answer]},2,FALSE),1,0)</f>
        <v/>
      </c>
      <c r="AQ68" s="41">
        <f t="array" ref="AQ68">IF(O68=VLOOKUP(VALUE(O$1),{Questions[#],Questions[Answer]},2,FALSE),1,0)</f>
        <v/>
      </c>
      <c r="AR68" s="41">
        <f t="array" ref="AR68">IF(P68=VLOOKUP(VALUE(P$1),{Questions[#],Questions[Answer]},2,FALSE),1,0)</f>
        <v/>
      </c>
      <c r="AS68" s="41">
        <f t="array" ref="AS68">IF(Q68=VLOOKUP(VALUE(Q$1),{Questions[#],Questions[Answer]},2,FALSE),1,0)</f>
        <v/>
      </c>
      <c r="AT68" s="41">
        <f t="array" ref="AT68">IF(R68=VLOOKUP(VALUE(R$1),{Questions[#],Questions[Answer]},2,FALSE),1,0)</f>
        <v/>
      </c>
      <c r="AU68" s="41">
        <f t="array" ref="AU68">IF(S68=VLOOKUP(VALUE(S$1),{Questions[#],Questions[Answer]},2,FALSE),1,0)</f>
        <v/>
      </c>
      <c r="AV68" s="41">
        <f t="array" ref="AV68">IF(T68=VLOOKUP(VALUE(T$1),{Questions[#],Questions[Answer]},2,FALSE),1,0)</f>
        <v/>
      </c>
      <c r="AW68" s="41">
        <f t="array" ref="AW68">IF(U68=VLOOKUP(VALUE(U$1),{Questions[#],Questions[Answer]},2,FALSE),1,0)</f>
        <v/>
      </c>
      <c r="AX68" s="41">
        <f t="array" ref="AX68">IF(V68=VLOOKUP(VALUE(V$1),{Questions[#],Questions[Answer]},2,FALSE),1,0)</f>
        <v/>
      </c>
      <c r="AY68" s="41">
        <f t="array" ref="AY68">IF(W68=VLOOKUP(VALUE(W$1),{Questions[#],Questions[Answer]},2,FALSE),1,0)</f>
        <v/>
      </c>
      <c r="AZ68" s="41">
        <f t="array" ref="AZ68">IF(X68=VLOOKUP(VALUE(X$1),{Questions[#],Questions[Answer]},2,FALSE),1,0)</f>
        <v/>
      </c>
      <c r="BA68" s="41">
        <f t="array" ref="BA68">IF(Y68=VLOOKUP(VALUE(Y$1),{Questions[#],Questions[Answer]},2,FALSE),1,0)</f>
        <v/>
      </c>
      <c r="BB68" s="41">
        <f t="array" ref="BB68">IF(Z68=VLOOKUP(VALUE(Z$1),{Questions[#],Questions[Answer]},2,FALSE),1,0)</f>
        <v/>
      </c>
      <c r="BC68" s="41">
        <f t="array" ref="BC68">IF(AA68=VLOOKUP(VALUE(AA$1),{Questions[#],Questions[Answer]},2,FALSE),1,0)</f>
        <v/>
      </c>
      <c r="BD68" s="41">
        <f t="array" ref="BD68">IF(AB68=VLOOKUP(VALUE(AB$1),{Questions[#],Questions[Answer]},2,FALSE),1,0)</f>
        <v/>
      </c>
      <c r="BE68" s="41">
        <f t="array" ref="BE68">IF(AC68=VLOOKUP(VALUE(AC$1),{Questions[#],Questions[Answer]},2,FALSE),1,0)</f>
        <v/>
      </c>
      <c r="BF68" s="41">
        <f t="array" ref="BF68">IF(AD68=VLOOKUP(VALUE(AD$1),{Questions[#],Questions[Answer]},2,FALSE),1,0)</f>
        <v/>
      </c>
      <c r="BG68" s="41">
        <f t="array" ref="BG68">IF(AE68=VLOOKUP(VALUE(AE$1),{Questions[#],Questions[Answer]},2,FALSE),1,0)</f>
        <v/>
      </c>
      <c r="BH68" s="41">
        <f t="array" ref="BH68">IF(AF68=VLOOKUP(VALUE(AF$1),{Questions[#],Questions[Answer]},2,FALSE),1,0)</f>
        <v/>
      </c>
      <c r="BI68" s="41">
        <f t="array" ref="BI68">IF(AG68=VLOOKUP(VALUE(AG$1),{Questions[#],Questions[Answer]},2,FALSE),1,0)</f>
        <v/>
      </c>
      <c r="BJ68" s="41">
        <f t="array" ref="BJ68">IF(AH68=VLOOKUP(VALUE(AH$1),{Questions[#],Questions[Answer]},2,FALSE),1,0)</f>
        <v/>
      </c>
      <c r="BK68" s="41">
        <f t="array" ref="BK68">IF(AI68=VLOOKUP(VALUE(AI$1),{Questions[#],Questions[Answer]},2,FALSE),1,0)</f>
        <v/>
      </c>
      <c r="BL68" s="41">
        <f t="array" ref="BL68">IF(AJ68=VLOOKUP(VALUE(AJ$1),{Questions[#],Questions[Answer]},2,FALSE),1,0)</f>
        <v/>
      </c>
      <c r="BM68" s="41">
        <f t="array" ref="BM68">IF(AK68=VLOOKUP(VALUE(AK$1),{Questions[#],Questions[Answer]},2,FALSE),1,0)</f>
        <v/>
      </c>
      <c r="BN68" s="41">
        <f t="array" ref="BN68">IF(AL68=VLOOKUP(VALUE(AL$1),{Questions[#],Questions[Answer]},2,FALSE),1,0)</f>
        <v/>
      </c>
    </row>
    <row r="69" ht="22.5" customHeight="1" s="93">
      <c r="A69" s="42" t="n"/>
      <c r="B69" s="41" t="n"/>
      <c r="C69" s="41" t="n"/>
      <c r="D69" s="43" t="n"/>
      <c r="E69" s="41" t="n"/>
      <c r="F69" s="41" t="n"/>
      <c r="G69" s="11">
        <f>SUM(AM69:BN69)</f>
        <v/>
      </c>
      <c r="H69" s="40">
        <f>G69/9</f>
        <v/>
      </c>
      <c r="I69" s="12">
        <f>0.5+(G69/54)</f>
        <v/>
      </c>
      <c r="J69" s="41">
        <f>COUNTIF(K69:AL69,"")</f>
        <v/>
      </c>
      <c r="K69" s="34" t="n"/>
      <c r="L69" s="35" t="n"/>
      <c r="M69" s="35" t="n"/>
      <c r="N69" s="35" t="n"/>
      <c r="O69" s="35" t="n"/>
      <c r="P69" s="35" t="n"/>
      <c r="Q69" s="35" t="n"/>
      <c r="R69" s="35" t="n"/>
      <c r="S69" s="35" t="n"/>
      <c r="T69" s="35" t="n"/>
      <c r="U69" s="35" t="n"/>
      <c r="V69" s="35" t="n"/>
      <c r="W69" s="35" t="n"/>
      <c r="X69" s="41" t="n"/>
      <c r="Y69" s="35" t="n"/>
      <c r="Z69" s="35" t="n"/>
      <c r="AA69" s="35" t="n"/>
      <c r="AB69" s="35" t="n"/>
      <c r="AC69" s="35" t="n"/>
      <c r="AD69" s="35" t="n"/>
      <c r="AE69" s="41" t="n"/>
      <c r="AF69" s="35" t="n"/>
      <c r="AG69" s="35" t="n"/>
      <c r="AH69" s="35" t="n"/>
      <c r="AI69" s="35" t="n"/>
      <c r="AJ69" s="35" t="n"/>
      <c r="AK69" s="35" t="n"/>
      <c r="AL69" s="38" t="n"/>
      <c r="AM69" s="19">
        <f t="array" ref="AM69">IF(K69=VLOOKUP(VALUE(K$1),{Questions[#],Questions[Answer]},2,FALSE),1,0)</f>
        <v/>
      </c>
      <c r="AN69" s="41">
        <f t="array" ref="AN69">IF(L69=VLOOKUP(VALUE(L$1),{Questions[#],Questions[Answer]},2,FALSE),1,0)</f>
        <v/>
      </c>
      <c r="AO69" s="41">
        <f t="array" ref="AO69">IF(M69=VLOOKUP(VALUE(M$1),{Questions[#],Questions[Answer]},2,FALSE),1,0)</f>
        <v/>
      </c>
      <c r="AP69" s="41">
        <f t="array" ref="AP69">IF(N69=VLOOKUP(VALUE(N$1),{Questions[#],Questions[Answer]},2,FALSE),1,0)</f>
        <v/>
      </c>
      <c r="AQ69" s="41">
        <f t="array" ref="AQ69">IF(O69=VLOOKUP(VALUE(O$1),{Questions[#],Questions[Answer]},2,FALSE),1,0)</f>
        <v/>
      </c>
      <c r="AR69" s="41">
        <f t="array" ref="AR69">IF(P69=VLOOKUP(VALUE(P$1),{Questions[#],Questions[Answer]},2,FALSE),1,0)</f>
        <v/>
      </c>
      <c r="AS69" s="41">
        <f t="array" ref="AS69">IF(Q69=VLOOKUP(VALUE(Q$1),{Questions[#],Questions[Answer]},2,FALSE),1,0)</f>
        <v/>
      </c>
      <c r="AT69" s="41">
        <f t="array" ref="AT69">IF(R69=VLOOKUP(VALUE(R$1),{Questions[#],Questions[Answer]},2,FALSE),1,0)</f>
        <v/>
      </c>
      <c r="AU69" s="41">
        <f t="array" ref="AU69">IF(S69=VLOOKUP(VALUE(S$1),{Questions[#],Questions[Answer]},2,FALSE),1,0)</f>
        <v/>
      </c>
      <c r="AV69" s="41">
        <f t="array" ref="AV69">IF(T69=VLOOKUP(VALUE(T$1),{Questions[#],Questions[Answer]},2,FALSE),1,0)</f>
        <v/>
      </c>
      <c r="AW69" s="41">
        <f t="array" ref="AW69">IF(U69=VLOOKUP(VALUE(U$1),{Questions[#],Questions[Answer]},2,FALSE),1,0)</f>
        <v/>
      </c>
      <c r="AX69" s="41">
        <f t="array" ref="AX69">IF(V69=VLOOKUP(VALUE(V$1),{Questions[#],Questions[Answer]},2,FALSE),1,0)</f>
        <v/>
      </c>
      <c r="AY69" s="41">
        <f t="array" ref="AY69">IF(W69=VLOOKUP(VALUE(W$1),{Questions[#],Questions[Answer]},2,FALSE),1,0)</f>
        <v/>
      </c>
      <c r="AZ69" s="41">
        <f t="array" ref="AZ69">IF(X69=VLOOKUP(VALUE(X$1),{Questions[#],Questions[Answer]},2,FALSE),1,0)</f>
        <v/>
      </c>
      <c r="BA69" s="41">
        <f t="array" ref="BA69">IF(Y69=VLOOKUP(VALUE(Y$1),{Questions[#],Questions[Answer]},2,FALSE),1,0)</f>
        <v/>
      </c>
      <c r="BB69" s="41">
        <f t="array" ref="BB69">IF(Z69=VLOOKUP(VALUE(Z$1),{Questions[#],Questions[Answer]},2,FALSE),1,0)</f>
        <v/>
      </c>
      <c r="BC69" s="41">
        <f t="array" ref="BC69">IF(AA69=VLOOKUP(VALUE(AA$1),{Questions[#],Questions[Answer]},2,FALSE),1,0)</f>
        <v/>
      </c>
      <c r="BD69" s="41">
        <f t="array" ref="BD69">IF(AB69=VLOOKUP(VALUE(AB$1),{Questions[#],Questions[Answer]},2,FALSE),1,0)</f>
        <v/>
      </c>
      <c r="BE69" s="41">
        <f t="array" ref="BE69">IF(AC69=VLOOKUP(VALUE(AC$1),{Questions[#],Questions[Answer]},2,FALSE),1,0)</f>
        <v/>
      </c>
      <c r="BF69" s="41">
        <f t="array" ref="BF69">IF(AD69=VLOOKUP(VALUE(AD$1),{Questions[#],Questions[Answer]},2,FALSE),1,0)</f>
        <v/>
      </c>
      <c r="BG69" s="41">
        <f t="array" ref="BG69">IF(AE69=VLOOKUP(VALUE(AE$1),{Questions[#],Questions[Answer]},2,FALSE),1,0)</f>
        <v/>
      </c>
      <c r="BH69" s="41">
        <f t="array" ref="BH69">IF(AF69=VLOOKUP(VALUE(AF$1),{Questions[#],Questions[Answer]},2,FALSE),1,0)</f>
        <v/>
      </c>
      <c r="BI69" s="41">
        <f t="array" ref="BI69">IF(AG69=VLOOKUP(VALUE(AG$1),{Questions[#],Questions[Answer]},2,FALSE),1,0)</f>
        <v/>
      </c>
      <c r="BJ69" s="41">
        <f t="array" ref="BJ69">IF(AH69=VLOOKUP(VALUE(AH$1),{Questions[#],Questions[Answer]},2,FALSE),1,0)</f>
        <v/>
      </c>
      <c r="BK69" s="41">
        <f t="array" ref="BK69">IF(AI69=VLOOKUP(VALUE(AI$1),{Questions[#],Questions[Answer]},2,FALSE),1,0)</f>
        <v/>
      </c>
      <c r="BL69" s="41">
        <f t="array" ref="BL69">IF(AJ69=VLOOKUP(VALUE(AJ$1),{Questions[#],Questions[Answer]},2,FALSE),1,0)</f>
        <v/>
      </c>
      <c r="BM69" s="41">
        <f t="array" ref="BM69">IF(AK69=VLOOKUP(VALUE(AK$1),{Questions[#],Questions[Answer]},2,FALSE),1,0)</f>
        <v/>
      </c>
      <c r="BN69" s="41">
        <f t="array" ref="BN69">IF(AL69=VLOOKUP(VALUE(AL$1),{Questions[#],Questions[Answer]},2,FALSE),1,0)</f>
        <v/>
      </c>
    </row>
    <row r="70" ht="22.5" customHeight="1" s="93">
      <c r="A70" s="42" t="n"/>
      <c r="B70" s="41" t="n"/>
      <c r="C70" s="41" t="n"/>
      <c r="D70" s="43" t="n"/>
      <c r="E70" s="41" t="n"/>
      <c r="F70" s="41" t="n"/>
      <c r="G70" s="11">
        <f>SUM(AM70:BN70)</f>
        <v/>
      </c>
      <c r="H70" s="40">
        <f>G70/9</f>
        <v/>
      </c>
      <c r="I70" s="12">
        <f>0.5+(G70/54)</f>
        <v/>
      </c>
      <c r="J70" s="41">
        <f>COUNTIF(K70:AL70,"")</f>
        <v/>
      </c>
      <c r="K70" s="34" t="n"/>
      <c r="L70" s="35" t="n"/>
      <c r="M70" s="35" t="n"/>
      <c r="N70" s="35" t="n"/>
      <c r="O70" s="35" t="n"/>
      <c r="P70" s="35" t="n"/>
      <c r="Q70" s="35" t="n"/>
      <c r="R70" s="35" t="n"/>
      <c r="S70" s="35" t="n"/>
      <c r="T70" s="35" t="n"/>
      <c r="U70" s="35" t="n"/>
      <c r="V70" s="35" t="n"/>
      <c r="W70" s="35" t="n"/>
      <c r="X70" s="41" t="n"/>
      <c r="Y70" s="35" t="n"/>
      <c r="Z70" s="35" t="n"/>
      <c r="AA70" s="35" t="n"/>
      <c r="AB70" s="35" t="n"/>
      <c r="AC70" s="35" t="n"/>
      <c r="AD70" s="35" t="n"/>
      <c r="AE70" s="41" t="n"/>
      <c r="AF70" s="35" t="n"/>
      <c r="AG70" s="35" t="n"/>
      <c r="AH70" s="35" t="n"/>
      <c r="AI70" s="35" t="n"/>
      <c r="AJ70" s="35" t="n"/>
      <c r="AK70" s="35" t="n"/>
      <c r="AL70" s="38" t="n"/>
      <c r="AM70" s="19">
        <f t="array" ref="AM70">IF(K70=VLOOKUP(VALUE(K$1),{Questions[#],Questions[Answer]},2,FALSE),1,0)</f>
        <v/>
      </c>
      <c r="AN70" s="41">
        <f t="array" ref="AN70">IF(L70=VLOOKUP(VALUE(L$1),{Questions[#],Questions[Answer]},2,FALSE),1,0)</f>
        <v/>
      </c>
      <c r="AO70" s="41">
        <f t="array" ref="AO70">IF(M70=VLOOKUP(VALUE(M$1),{Questions[#],Questions[Answer]},2,FALSE),1,0)</f>
        <v/>
      </c>
      <c r="AP70" s="41">
        <f t="array" ref="AP70">IF(N70=VLOOKUP(VALUE(N$1),{Questions[#],Questions[Answer]},2,FALSE),1,0)</f>
        <v/>
      </c>
      <c r="AQ70" s="41">
        <f t="array" ref="AQ70">IF(O70=VLOOKUP(VALUE(O$1),{Questions[#],Questions[Answer]},2,FALSE),1,0)</f>
        <v/>
      </c>
      <c r="AR70" s="41">
        <f t="array" ref="AR70">IF(P70=VLOOKUP(VALUE(P$1),{Questions[#],Questions[Answer]},2,FALSE),1,0)</f>
        <v/>
      </c>
      <c r="AS70" s="41">
        <f t="array" ref="AS70">IF(Q70=VLOOKUP(VALUE(Q$1),{Questions[#],Questions[Answer]},2,FALSE),1,0)</f>
        <v/>
      </c>
      <c r="AT70" s="41">
        <f t="array" ref="AT70">IF(R70=VLOOKUP(VALUE(R$1),{Questions[#],Questions[Answer]},2,FALSE),1,0)</f>
        <v/>
      </c>
      <c r="AU70" s="41">
        <f t="array" ref="AU70">IF(S70=VLOOKUP(VALUE(S$1),{Questions[#],Questions[Answer]},2,FALSE),1,0)</f>
        <v/>
      </c>
      <c r="AV70" s="41">
        <f t="array" ref="AV70">IF(T70=VLOOKUP(VALUE(T$1),{Questions[#],Questions[Answer]},2,FALSE),1,0)</f>
        <v/>
      </c>
      <c r="AW70" s="41">
        <f t="array" ref="AW70">IF(U70=VLOOKUP(VALUE(U$1),{Questions[#],Questions[Answer]},2,FALSE),1,0)</f>
        <v/>
      </c>
      <c r="AX70" s="41">
        <f t="array" ref="AX70">IF(V70=VLOOKUP(VALUE(V$1),{Questions[#],Questions[Answer]},2,FALSE),1,0)</f>
        <v/>
      </c>
      <c r="AY70" s="41">
        <f t="array" ref="AY70">IF(W70=VLOOKUP(VALUE(W$1),{Questions[#],Questions[Answer]},2,FALSE),1,0)</f>
        <v/>
      </c>
      <c r="AZ70" s="41">
        <f t="array" ref="AZ70">IF(X70=VLOOKUP(VALUE(X$1),{Questions[#],Questions[Answer]},2,FALSE),1,0)</f>
        <v/>
      </c>
      <c r="BA70" s="41">
        <f t="array" ref="BA70">IF(Y70=VLOOKUP(VALUE(Y$1),{Questions[#],Questions[Answer]},2,FALSE),1,0)</f>
        <v/>
      </c>
      <c r="BB70" s="41">
        <f t="array" ref="BB70">IF(Z70=VLOOKUP(VALUE(Z$1),{Questions[#],Questions[Answer]},2,FALSE),1,0)</f>
        <v/>
      </c>
      <c r="BC70" s="41">
        <f t="array" ref="BC70">IF(AA70=VLOOKUP(VALUE(AA$1),{Questions[#],Questions[Answer]},2,FALSE),1,0)</f>
        <v/>
      </c>
      <c r="BD70" s="41">
        <f t="array" ref="BD70">IF(AB70=VLOOKUP(VALUE(AB$1),{Questions[#],Questions[Answer]},2,FALSE),1,0)</f>
        <v/>
      </c>
      <c r="BE70" s="41">
        <f t="array" ref="BE70">IF(AC70=VLOOKUP(VALUE(AC$1),{Questions[#],Questions[Answer]},2,FALSE),1,0)</f>
        <v/>
      </c>
      <c r="BF70" s="41">
        <f t="array" ref="BF70">IF(AD70=VLOOKUP(VALUE(AD$1),{Questions[#],Questions[Answer]},2,FALSE),1,0)</f>
        <v/>
      </c>
      <c r="BG70" s="41">
        <f t="array" ref="BG70">IF(AE70=VLOOKUP(VALUE(AE$1),{Questions[#],Questions[Answer]},2,FALSE),1,0)</f>
        <v/>
      </c>
      <c r="BH70" s="41">
        <f t="array" ref="BH70">IF(AF70=VLOOKUP(VALUE(AF$1),{Questions[#],Questions[Answer]},2,FALSE),1,0)</f>
        <v/>
      </c>
      <c r="BI70" s="41">
        <f t="array" ref="BI70">IF(AG70=VLOOKUP(VALUE(AG$1),{Questions[#],Questions[Answer]},2,FALSE),1,0)</f>
        <v/>
      </c>
      <c r="BJ70" s="41">
        <f t="array" ref="BJ70">IF(AH70=VLOOKUP(VALUE(AH$1),{Questions[#],Questions[Answer]},2,FALSE),1,0)</f>
        <v/>
      </c>
      <c r="BK70" s="41">
        <f t="array" ref="BK70">IF(AI70=VLOOKUP(VALUE(AI$1),{Questions[#],Questions[Answer]},2,FALSE),1,0)</f>
        <v/>
      </c>
      <c r="BL70" s="41">
        <f t="array" ref="BL70">IF(AJ70=VLOOKUP(VALUE(AJ$1),{Questions[#],Questions[Answer]},2,FALSE),1,0)</f>
        <v/>
      </c>
      <c r="BM70" s="41">
        <f t="array" ref="BM70">IF(AK70=VLOOKUP(VALUE(AK$1),{Questions[#],Questions[Answer]},2,FALSE),1,0)</f>
        <v/>
      </c>
      <c r="BN70" s="41">
        <f t="array" ref="BN70">IF(AL70=VLOOKUP(VALUE(AL$1),{Questions[#],Questions[Answer]},2,FALSE),1,0)</f>
        <v/>
      </c>
    </row>
    <row r="71" ht="22.5" customHeight="1" s="93">
      <c r="A71" s="42" t="n"/>
      <c r="B71" s="41" t="n"/>
      <c r="C71" s="41" t="n"/>
      <c r="D71" s="43" t="n"/>
      <c r="E71" s="41" t="n"/>
      <c r="F71" s="41" t="n"/>
      <c r="G71" s="11">
        <f>SUM(AM71:BN71)</f>
        <v/>
      </c>
      <c r="H71" s="40">
        <f>G71/9</f>
        <v/>
      </c>
      <c r="I71" s="12">
        <f>0.5+(G71/54)</f>
        <v/>
      </c>
      <c r="J71" s="41">
        <f>COUNTIF(K71:AL71,"")</f>
        <v/>
      </c>
      <c r="K71" s="34" t="n"/>
      <c r="L71" s="35" t="n"/>
      <c r="M71" s="35" t="n"/>
      <c r="N71" s="35" t="n"/>
      <c r="O71" s="35" t="n"/>
      <c r="P71" s="35" t="n"/>
      <c r="Q71" s="35" t="n"/>
      <c r="R71" s="35" t="n"/>
      <c r="S71" s="35" t="n"/>
      <c r="T71" s="35" t="n"/>
      <c r="U71" s="35" t="n"/>
      <c r="V71" s="35" t="n"/>
      <c r="W71" s="35" t="n"/>
      <c r="X71" s="41" t="n"/>
      <c r="Y71" s="35" t="n"/>
      <c r="Z71" s="35" t="n"/>
      <c r="AA71" s="35" t="n"/>
      <c r="AB71" s="35" t="n"/>
      <c r="AC71" s="35" t="n"/>
      <c r="AD71" s="35" t="n"/>
      <c r="AE71" s="41" t="n"/>
      <c r="AF71" s="35" t="n"/>
      <c r="AG71" s="35" t="n"/>
      <c r="AH71" s="35" t="n"/>
      <c r="AI71" s="35" t="n"/>
      <c r="AJ71" s="35" t="n"/>
      <c r="AK71" s="35" t="n"/>
      <c r="AL71" s="38" t="n"/>
      <c r="AM71" s="19">
        <f t="array" ref="AM71">IF(K71=VLOOKUP(VALUE(K$1),{Questions[#],Questions[Answer]},2,FALSE),1,0)</f>
        <v/>
      </c>
      <c r="AN71" s="41">
        <f t="array" ref="AN71">IF(L71=VLOOKUP(VALUE(L$1),{Questions[#],Questions[Answer]},2,FALSE),1,0)</f>
        <v/>
      </c>
      <c r="AO71" s="41">
        <f t="array" ref="AO71">IF(M71=VLOOKUP(VALUE(M$1),{Questions[#],Questions[Answer]},2,FALSE),1,0)</f>
        <v/>
      </c>
      <c r="AP71" s="41">
        <f t="array" ref="AP71">IF(N71=VLOOKUP(VALUE(N$1),{Questions[#],Questions[Answer]},2,FALSE),1,0)</f>
        <v/>
      </c>
      <c r="AQ71" s="41">
        <f t="array" ref="AQ71">IF(O71=VLOOKUP(VALUE(O$1),{Questions[#],Questions[Answer]},2,FALSE),1,0)</f>
        <v/>
      </c>
      <c r="AR71" s="41">
        <f t="array" ref="AR71">IF(P71=VLOOKUP(VALUE(P$1),{Questions[#],Questions[Answer]},2,FALSE),1,0)</f>
        <v/>
      </c>
      <c r="AS71" s="41">
        <f t="array" ref="AS71">IF(Q71=VLOOKUP(VALUE(Q$1),{Questions[#],Questions[Answer]},2,FALSE),1,0)</f>
        <v/>
      </c>
      <c r="AT71" s="41">
        <f t="array" ref="AT71">IF(R71=VLOOKUP(VALUE(R$1),{Questions[#],Questions[Answer]},2,FALSE),1,0)</f>
        <v/>
      </c>
      <c r="AU71" s="41">
        <f t="array" ref="AU71">IF(S71=VLOOKUP(VALUE(S$1),{Questions[#],Questions[Answer]},2,FALSE),1,0)</f>
        <v/>
      </c>
      <c r="AV71" s="41">
        <f t="array" ref="AV71">IF(T71=VLOOKUP(VALUE(T$1),{Questions[#],Questions[Answer]},2,FALSE),1,0)</f>
        <v/>
      </c>
      <c r="AW71" s="41">
        <f t="array" ref="AW71">IF(U71=VLOOKUP(VALUE(U$1),{Questions[#],Questions[Answer]},2,FALSE),1,0)</f>
        <v/>
      </c>
      <c r="AX71" s="41">
        <f t="array" ref="AX71">IF(V71=VLOOKUP(VALUE(V$1),{Questions[#],Questions[Answer]},2,FALSE),1,0)</f>
        <v/>
      </c>
      <c r="AY71" s="41">
        <f t="array" ref="AY71">IF(W71=VLOOKUP(VALUE(W$1),{Questions[#],Questions[Answer]},2,FALSE),1,0)</f>
        <v/>
      </c>
      <c r="AZ71" s="41">
        <f t="array" ref="AZ71">IF(X71=VLOOKUP(VALUE(X$1),{Questions[#],Questions[Answer]},2,FALSE),1,0)</f>
        <v/>
      </c>
      <c r="BA71" s="41">
        <f t="array" ref="BA71">IF(Y71=VLOOKUP(VALUE(Y$1),{Questions[#],Questions[Answer]},2,FALSE),1,0)</f>
        <v/>
      </c>
      <c r="BB71" s="41">
        <f t="array" ref="BB71">IF(Z71=VLOOKUP(VALUE(Z$1),{Questions[#],Questions[Answer]},2,FALSE),1,0)</f>
        <v/>
      </c>
      <c r="BC71" s="41">
        <f t="array" ref="BC71">IF(AA71=VLOOKUP(VALUE(AA$1),{Questions[#],Questions[Answer]},2,FALSE),1,0)</f>
        <v/>
      </c>
      <c r="BD71" s="41">
        <f t="array" ref="BD71">IF(AB71=VLOOKUP(VALUE(AB$1),{Questions[#],Questions[Answer]},2,FALSE),1,0)</f>
        <v/>
      </c>
      <c r="BE71" s="41">
        <f t="array" ref="BE71">IF(AC71=VLOOKUP(VALUE(AC$1),{Questions[#],Questions[Answer]},2,FALSE),1,0)</f>
        <v/>
      </c>
      <c r="BF71" s="41">
        <f t="array" ref="BF71">IF(AD71=VLOOKUP(VALUE(AD$1),{Questions[#],Questions[Answer]},2,FALSE),1,0)</f>
        <v/>
      </c>
      <c r="BG71" s="41">
        <f t="array" ref="BG71">IF(AE71=VLOOKUP(VALUE(AE$1),{Questions[#],Questions[Answer]},2,FALSE),1,0)</f>
        <v/>
      </c>
      <c r="BH71" s="41">
        <f t="array" ref="BH71">IF(AF71=VLOOKUP(VALUE(AF$1),{Questions[#],Questions[Answer]},2,FALSE),1,0)</f>
        <v/>
      </c>
      <c r="BI71" s="41">
        <f t="array" ref="BI71">IF(AG71=VLOOKUP(VALUE(AG$1),{Questions[#],Questions[Answer]},2,FALSE),1,0)</f>
        <v/>
      </c>
      <c r="BJ71" s="41">
        <f t="array" ref="BJ71">IF(AH71=VLOOKUP(VALUE(AH$1),{Questions[#],Questions[Answer]},2,FALSE),1,0)</f>
        <v/>
      </c>
      <c r="BK71" s="41">
        <f t="array" ref="BK71">IF(AI71=VLOOKUP(VALUE(AI$1),{Questions[#],Questions[Answer]},2,FALSE),1,0)</f>
        <v/>
      </c>
      <c r="BL71" s="41">
        <f t="array" ref="BL71">IF(AJ71=VLOOKUP(VALUE(AJ$1),{Questions[#],Questions[Answer]},2,FALSE),1,0)</f>
        <v/>
      </c>
      <c r="BM71" s="41">
        <f t="array" ref="BM71">IF(AK71=VLOOKUP(VALUE(AK$1),{Questions[#],Questions[Answer]},2,FALSE),1,0)</f>
        <v/>
      </c>
      <c r="BN71" s="41">
        <f t="array" ref="BN71">IF(AL71=VLOOKUP(VALUE(AL$1),{Questions[#],Questions[Answer]},2,FALSE),1,0)</f>
        <v/>
      </c>
    </row>
    <row r="72" ht="22.5" customHeight="1" s="93">
      <c r="A72" s="42" t="n"/>
      <c r="B72" s="41" t="n"/>
      <c r="C72" s="41" t="n"/>
      <c r="D72" s="43" t="n"/>
      <c r="E72" s="41" t="n"/>
      <c r="F72" s="41" t="n"/>
      <c r="G72" s="11">
        <f>SUM(AM72:BN72)</f>
        <v/>
      </c>
      <c r="H72" s="40">
        <f>G72/9</f>
        <v/>
      </c>
      <c r="I72" s="12">
        <f>0.5+(G72/54)</f>
        <v/>
      </c>
      <c r="J72" s="41">
        <f>COUNTIF(K72:AL72,"")</f>
        <v/>
      </c>
      <c r="K72" s="34" t="n"/>
      <c r="L72" s="35" t="n"/>
      <c r="M72" s="35" t="n"/>
      <c r="N72" s="35" t="n"/>
      <c r="O72" s="35" t="n"/>
      <c r="P72" s="35" t="n"/>
      <c r="Q72" s="35" t="n"/>
      <c r="R72" s="35" t="n"/>
      <c r="S72" s="35" t="n"/>
      <c r="T72" s="35" t="n"/>
      <c r="U72" s="35" t="n"/>
      <c r="V72" s="35" t="n"/>
      <c r="W72" s="35" t="n"/>
      <c r="X72" s="41" t="n"/>
      <c r="Y72" s="35" t="n"/>
      <c r="Z72" s="35" t="n"/>
      <c r="AA72" s="35" t="n"/>
      <c r="AB72" s="35" t="n"/>
      <c r="AC72" s="35" t="n"/>
      <c r="AD72" s="35" t="n"/>
      <c r="AE72" s="41" t="n"/>
      <c r="AF72" s="35" t="n"/>
      <c r="AG72" s="35" t="n"/>
      <c r="AH72" s="35" t="n"/>
      <c r="AI72" s="35" t="n"/>
      <c r="AJ72" s="35" t="n"/>
      <c r="AK72" s="35" t="n"/>
      <c r="AL72" s="38" t="n"/>
      <c r="AM72" s="19">
        <f t="array" ref="AM72">IF(K72=VLOOKUP(VALUE(K$1),{Questions[#],Questions[Answer]},2,FALSE),1,0)</f>
        <v/>
      </c>
      <c r="AN72" s="41">
        <f t="array" ref="AN72">IF(L72=VLOOKUP(VALUE(L$1),{Questions[#],Questions[Answer]},2,FALSE),1,0)</f>
        <v/>
      </c>
      <c r="AO72" s="41">
        <f t="array" ref="AO72">IF(M72=VLOOKUP(VALUE(M$1),{Questions[#],Questions[Answer]},2,FALSE),1,0)</f>
        <v/>
      </c>
      <c r="AP72" s="41">
        <f t="array" ref="AP72">IF(N72=VLOOKUP(VALUE(N$1),{Questions[#],Questions[Answer]},2,FALSE),1,0)</f>
        <v/>
      </c>
      <c r="AQ72" s="41">
        <f t="array" ref="AQ72">IF(O72=VLOOKUP(VALUE(O$1),{Questions[#],Questions[Answer]},2,FALSE),1,0)</f>
        <v/>
      </c>
      <c r="AR72" s="41">
        <f t="array" ref="AR72">IF(P72=VLOOKUP(VALUE(P$1),{Questions[#],Questions[Answer]},2,FALSE),1,0)</f>
        <v/>
      </c>
      <c r="AS72" s="41">
        <f t="array" ref="AS72">IF(Q72=VLOOKUP(VALUE(Q$1),{Questions[#],Questions[Answer]},2,FALSE),1,0)</f>
        <v/>
      </c>
      <c r="AT72" s="41">
        <f t="array" ref="AT72">IF(R72=VLOOKUP(VALUE(R$1),{Questions[#],Questions[Answer]},2,FALSE),1,0)</f>
        <v/>
      </c>
      <c r="AU72" s="41">
        <f t="array" ref="AU72">IF(S72=VLOOKUP(VALUE(S$1),{Questions[#],Questions[Answer]},2,FALSE),1,0)</f>
        <v/>
      </c>
      <c r="AV72" s="41">
        <f t="array" ref="AV72">IF(T72=VLOOKUP(VALUE(T$1),{Questions[#],Questions[Answer]},2,FALSE),1,0)</f>
        <v/>
      </c>
      <c r="AW72" s="41">
        <f t="array" ref="AW72">IF(U72=VLOOKUP(VALUE(U$1),{Questions[#],Questions[Answer]},2,FALSE),1,0)</f>
        <v/>
      </c>
      <c r="AX72" s="41">
        <f t="array" ref="AX72">IF(V72=VLOOKUP(VALUE(V$1),{Questions[#],Questions[Answer]},2,FALSE),1,0)</f>
        <v/>
      </c>
      <c r="AY72" s="41">
        <f t="array" ref="AY72">IF(W72=VLOOKUP(VALUE(W$1),{Questions[#],Questions[Answer]},2,FALSE),1,0)</f>
        <v/>
      </c>
      <c r="AZ72" s="41">
        <f t="array" ref="AZ72">IF(X72=VLOOKUP(VALUE(X$1),{Questions[#],Questions[Answer]},2,FALSE),1,0)</f>
        <v/>
      </c>
      <c r="BA72" s="41">
        <f t="array" ref="BA72">IF(Y72=VLOOKUP(VALUE(Y$1),{Questions[#],Questions[Answer]},2,FALSE),1,0)</f>
        <v/>
      </c>
      <c r="BB72" s="41">
        <f t="array" ref="BB72">IF(Z72=VLOOKUP(VALUE(Z$1),{Questions[#],Questions[Answer]},2,FALSE),1,0)</f>
        <v/>
      </c>
      <c r="BC72" s="41">
        <f t="array" ref="BC72">IF(AA72=VLOOKUP(VALUE(AA$1),{Questions[#],Questions[Answer]},2,FALSE),1,0)</f>
        <v/>
      </c>
      <c r="BD72" s="41">
        <f t="array" ref="BD72">IF(AB72=VLOOKUP(VALUE(AB$1),{Questions[#],Questions[Answer]},2,FALSE),1,0)</f>
        <v/>
      </c>
      <c r="BE72" s="41">
        <f t="array" ref="BE72">IF(AC72=VLOOKUP(VALUE(AC$1),{Questions[#],Questions[Answer]},2,FALSE),1,0)</f>
        <v/>
      </c>
      <c r="BF72" s="41">
        <f t="array" ref="BF72">IF(AD72=VLOOKUP(VALUE(AD$1),{Questions[#],Questions[Answer]},2,FALSE),1,0)</f>
        <v/>
      </c>
      <c r="BG72" s="41">
        <f t="array" ref="BG72">IF(AE72=VLOOKUP(VALUE(AE$1),{Questions[#],Questions[Answer]},2,FALSE),1,0)</f>
        <v/>
      </c>
      <c r="BH72" s="41">
        <f t="array" ref="BH72">IF(AF72=VLOOKUP(VALUE(AF$1),{Questions[#],Questions[Answer]},2,FALSE),1,0)</f>
        <v/>
      </c>
      <c r="BI72" s="41">
        <f t="array" ref="BI72">IF(AG72=VLOOKUP(VALUE(AG$1),{Questions[#],Questions[Answer]},2,FALSE),1,0)</f>
        <v/>
      </c>
      <c r="BJ72" s="41">
        <f t="array" ref="BJ72">IF(AH72=VLOOKUP(VALUE(AH$1),{Questions[#],Questions[Answer]},2,FALSE),1,0)</f>
        <v/>
      </c>
      <c r="BK72" s="41">
        <f t="array" ref="BK72">IF(AI72=VLOOKUP(VALUE(AI$1),{Questions[#],Questions[Answer]},2,FALSE),1,0)</f>
        <v/>
      </c>
      <c r="BL72" s="41">
        <f t="array" ref="BL72">IF(AJ72=VLOOKUP(VALUE(AJ$1),{Questions[#],Questions[Answer]},2,FALSE),1,0)</f>
        <v/>
      </c>
      <c r="BM72" s="41">
        <f t="array" ref="BM72">IF(AK72=VLOOKUP(VALUE(AK$1),{Questions[#],Questions[Answer]},2,FALSE),1,0)</f>
        <v/>
      </c>
      <c r="BN72" s="41">
        <f t="array" ref="BN72">IF(AL72=VLOOKUP(VALUE(AL$1),{Questions[#],Questions[Answer]},2,FALSE),1,0)</f>
        <v/>
      </c>
    </row>
    <row r="73" ht="22.5" customHeight="1" s="93">
      <c r="A73" s="42" t="n"/>
      <c r="B73" s="41" t="n"/>
      <c r="C73" s="41" t="n"/>
      <c r="D73" s="43" t="n"/>
      <c r="E73" s="41" t="n"/>
      <c r="F73" s="41" t="n"/>
      <c r="G73" s="11">
        <f>SUM(AM73:BN73)</f>
        <v/>
      </c>
      <c r="H73" s="40">
        <f>G73/9</f>
        <v/>
      </c>
      <c r="I73" s="12">
        <f>0.5+(G73/54)</f>
        <v/>
      </c>
      <c r="J73" s="41">
        <f>COUNTIF(K73:AL73,"")</f>
        <v/>
      </c>
      <c r="K73" s="34" t="n"/>
      <c r="L73" s="35" t="n"/>
      <c r="M73" s="35" t="n"/>
      <c r="N73" s="35" t="n"/>
      <c r="O73" s="35" t="n"/>
      <c r="P73" s="35" t="n"/>
      <c r="Q73" s="35" t="n"/>
      <c r="R73" s="35" t="n"/>
      <c r="S73" s="35" t="n"/>
      <c r="T73" s="35" t="n"/>
      <c r="U73" s="35" t="n"/>
      <c r="V73" s="35" t="n"/>
      <c r="W73" s="35" t="n"/>
      <c r="X73" s="41" t="n"/>
      <c r="Y73" s="35" t="n"/>
      <c r="Z73" s="35" t="n"/>
      <c r="AA73" s="35" t="n"/>
      <c r="AB73" s="35" t="n"/>
      <c r="AC73" s="35" t="n"/>
      <c r="AD73" s="35" t="n"/>
      <c r="AE73" s="41" t="n"/>
      <c r="AF73" s="35" t="n"/>
      <c r="AG73" s="35" t="n"/>
      <c r="AH73" s="35" t="n"/>
      <c r="AI73" s="35" t="n"/>
      <c r="AJ73" s="35" t="n"/>
      <c r="AK73" s="35" t="n"/>
      <c r="AL73" s="38" t="n"/>
      <c r="AM73" s="19">
        <f t="array" ref="AM73">IF(K73=VLOOKUP(VALUE(K$1),{Questions[#],Questions[Answer]},2,FALSE),1,0)</f>
        <v/>
      </c>
      <c r="AN73" s="41">
        <f t="array" ref="AN73">IF(L73=VLOOKUP(VALUE(L$1),{Questions[#],Questions[Answer]},2,FALSE),1,0)</f>
        <v/>
      </c>
      <c r="AO73" s="41">
        <f t="array" ref="AO73">IF(M73=VLOOKUP(VALUE(M$1),{Questions[#],Questions[Answer]},2,FALSE),1,0)</f>
        <v/>
      </c>
      <c r="AP73" s="41">
        <f t="array" ref="AP73">IF(N73=VLOOKUP(VALUE(N$1),{Questions[#],Questions[Answer]},2,FALSE),1,0)</f>
        <v/>
      </c>
      <c r="AQ73" s="41">
        <f t="array" ref="AQ73">IF(O73=VLOOKUP(VALUE(O$1),{Questions[#],Questions[Answer]},2,FALSE),1,0)</f>
        <v/>
      </c>
      <c r="AR73" s="41">
        <f t="array" ref="AR73">IF(P73=VLOOKUP(VALUE(P$1),{Questions[#],Questions[Answer]},2,FALSE),1,0)</f>
        <v/>
      </c>
      <c r="AS73" s="41">
        <f t="array" ref="AS73">IF(Q73=VLOOKUP(VALUE(Q$1),{Questions[#],Questions[Answer]},2,FALSE),1,0)</f>
        <v/>
      </c>
      <c r="AT73" s="41">
        <f t="array" ref="AT73">IF(R73=VLOOKUP(VALUE(R$1),{Questions[#],Questions[Answer]},2,FALSE),1,0)</f>
        <v/>
      </c>
      <c r="AU73" s="41">
        <f t="array" ref="AU73">IF(S73=VLOOKUP(VALUE(S$1),{Questions[#],Questions[Answer]},2,FALSE),1,0)</f>
        <v/>
      </c>
      <c r="AV73" s="41">
        <f t="array" ref="AV73">IF(T73=VLOOKUP(VALUE(T$1),{Questions[#],Questions[Answer]},2,FALSE),1,0)</f>
        <v/>
      </c>
      <c r="AW73" s="41">
        <f t="array" ref="AW73">IF(U73=VLOOKUP(VALUE(U$1),{Questions[#],Questions[Answer]},2,FALSE),1,0)</f>
        <v/>
      </c>
      <c r="AX73" s="41">
        <f t="array" ref="AX73">IF(V73=VLOOKUP(VALUE(V$1),{Questions[#],Questions[Answer]},2,FALSE),1,0)</f>
        <v/>
      </c>
      <c r="AY73" s="41">
        <f t="array" ref="AY73">IF(W73=VLOOKUP(VALUE(W$1),{Questions[#],Questions[Answer]},2,FALSE),1,0)</f>
        <v/>
      </c>
      <c r="AZ73" s="41">
        <f t="array" ref="AZ73">IF(X73=VLOOKUP(VALUE(X$1),{Questions[#],Questions[Answer]},2,FALSE),1,0)</f>
        <v/>
      </c>
      <c r="BA73" s="41">
        <f t="array" ref="BA73">IF(Y73=VLOOKUP(VALUE(Y$1),{Questions[#],Questions[Answer]},2,FALSE),1,0)</f>
        <v/>
      </c>
      <c r="BB73" s="41">
        <f t="array" ref="BB73">IF(Z73=VLOOKUP(VALUE(Z$1),{Questions[#],Questions[Answer]},2,FALSE),1,0)</f>
        <v/>
      </c>
      <c r="BC73" s="41">
        <f t="array" ref="BC73">IF(AA73=VLOOKUP(VALUE(AA$1),{Questions[#],Questions[Answer]},2,FALSE),1,0)</f>
        <v/>
      </c>
      <c r="BD73" s="41">
        <f t="array" ref="BD73">IF(AB73=VLOOKUP(VALUE(AB$1),{Questions[#],Questions[Answer]},2,FALSE),1,0)</f>
        <v/>
      </c>
      <c r="BE73" s="41">
        <f t="array" ref="BE73">IF(AC73=VLOOKUP(VALUE(AC$1),{Questions[#],Questions[Answer]},2,FALSE),1,0)</f>
        <v/>
      </c>
      <c r="BF73" s="41">
        <f t="array" ref="BF73">IF(AD73=VLOOKUP(VALUE(AD$1),{Questions[#],Questions[Answer]},2,FALSE),1,0)</f>
        <v/>
      </c>
      <c r="BG73" s="41">
        <f t="array" ref="BG73">IF(AE73=VLOOKUP(VALUE(AE$1),{Questions[#],Questions[Answer]},2,FALSE),1,0)</f>
        <v/>
      </c>
      <c r="BH73" s="41">
        <f t="array" ref="BH73">IF(AF73=VLOOKUP(VALUE(AF$1),{Questions[#],Questions[Answer]},2,FALSE),1,0)</f>
        <v/>
      </c>
      <c r="BI73" s="41">
        <f t="array" ref="BI73">IF(AG73=VLOOKUP(VALUE(AG$1),{Questions[#],Questions[Answer]},2,FALSE),1,0)</f>
        <v/>
      </c>
      <c r="BJ73" s="41">
        <f t="array" ref="BJ73">IF(AH73=VLOOKUP(VALUE(AH$1),{Questions[#],Questions[Answer]},2,FALSE),1,0)</f>
        <v/>
      </c>
      <c r="BK73" s="41">
        <f t="array" ref="BK73">IF(AI73=VLOOKUP(VALUE(AI$1),{Questions[#],Questions[Answer]},2,FALSE),1,0)</f>
        <v/>
      </c>
      <c r="BL73" s="41">
        <f t="array" ref="BL73">IF(AJ73=VLOOKUP(VALUE(AJ$1),{Questions[#],Questions[Answer]},2,FALSE),1,0)</f>
        <v/>
      </c>
      <c r="BM73" s="41">
        <f t="array" ref="BM73">IF(AK73=VLOOKUP(VALUE(AK$1),{Questions[#],Questions[Answer]},2,FALSE),1,0)</f>
        <v/>
      </c>
      <c r="BN73" s="41">
        <f t="array" ref="BN73">IF(AL73=VLOOKUP(VALUE(AL$1),{Questions[#],Questions[Answer]},2,FALSE),1,0)</f>
        <v/>
      </c>
    </row>
    <row r="74" ht="22.5" customHeight="1" s="93">
      <c r="A74" s="42" t="n"/>
      <c r="B74" s="41" t="n"/>
      <c r="C74" s="41" t="n"/>
      <c r="D74" s="43" t="n"/>
      <c r="E74" s="41" t="n"/>
      <c r="F74" s="41" t="n"/>
      <c r="G74" s="11">
        <f>SUM(AM74:BN74)</f>
        <v/>
      </c>
      <c r="H74" s="40">
        <f>G74/9</f>
        <v/>
      </c>
      <c r="I74" s="12">
        <f>0.5+(G74/54)</f>
        <v/>
      </c>
      <c r="J74" s="41">
        <f>COUNTIF(K74:AL74,"")</f>
        <v/>
      </c>
      <c r="K74" s="34" t="n"/>
      <c r="L74" s="35" t="n"/>
      <c r="M74" s="35" t="n"/>
      <c r="N74" s="35" t="n"/>
      <c r="O74" s="35" t="n"/>
      <c r="P74" s="35" t="n"/>
      <c r="Q74" s="35" t="n"/>
      <c r="R74" s="35" t="n"/>
      <c r="S74" s="35" t="n"/>
      <c r="T74" s="35" t="n"/>
      <c r="U74" s="35" t="n"/>
      <c r="V74" s="35" t="n"/>
      <c r="W74" s="35" t="n"/>
      <c r="X74" s="41" t="n"/>
      <c r="Y74" s="35" t="n"/>
      <c r="Z74" s="35" t="n"/>
      <c r="AA74" s="35" t="n"/>
      <c r="AB74" s="35" t="n"/>
      <c r="AC74" s="35" t="n"/>
      <c r="AD74" s="35" t="n"/>
      <c r="AE74" s="41" t="n"/>
      <c r="AF74" s="35" t="n"/>
      <c r="AG74" s="35" t="n"/>
      <c r="AH74" s="35" t="n"/>
      <c r="AI74" s="35" t="n"/>
      <c r="AJ74" s="35" t="n"/>
      <c r="AK74" s="35" t="n"/>
      <c r="AL74" s="38" t="n"/>
      <c r="AM74" s="19">
        <f t="array" ref="AM74">IF(K74=VLOOKUP(VALUE(K$1),{Questions[#],Questions[Answer]},2,FALSE),1,0)</f>
        <v/>
      </c>
      <c r="AN74" s="41">
        <f t="array" ref="AN74">IF(L74=VLOOKUP(VALUE(L$1),{Questions[#],Questions[Answer]},2,FALSE),1,0)</f>
        <v/>
      </c>
      <c r="AO74" s="41">
        <f t="array" ref="AO74">IF(M74=VLOOKUP(VALUE(M$1),{Questions[#],Questions[Answer]},2,FALSE),1,0)</f>
        <v/>
      </c>
      <c r="AP74" s="41">
        <f t="array" ref="AP74">IF(N74=VLOOKUP(VALUE(N$1),{Questions[#],Questions[Answer]},2,FALSE),1,0)</f>
        <v/>
      </c>
      <c r="AQ74" s="41">
        <f t="array" ref="AQ74">IF(O74=VLOOKUP(VALUE(O$1),{Questions[#],Questions[Answer]},2,FALSE),1,0)</f>
        <v/>
      </c>
      <c r="AR74" s="41">
        <f t="array" ref="AR74">IF(P74=VLOOKUP(VALUE(P$1),{Questions[#],Questions[Answer]},2,FALSE),1,0)</f>
        <v/>
      </c>
      <c r="AS74" s="41">
        <f t="array" ref="AS74">IF(Q74=VLOOKUP(VALUE(Q$1),{Questions[#],Questions[Answer]},2,FALSE),1,0)</f>
        <v/>
      </c>
      <c r="AT74" s="41">
        <f t="array" ref="AT74">IF(R74=VLOOKUP(VALUE(R$1),{Questions[#],Questions[Answer]},2,FALSE),1,0)</f>
        <v/>
      </c>
      <c r="AU74" s="41">
        <f t="array" ref="AU74">IF(S74=VLOOKUP(VALUE(S$1),{Questions[#],Questions[Answer]},2,FALSE),1,0)</f>
        <v/>
      </c>
      <c r="AV74" s="41">
        <f t="array" ref="AV74">IF(T74=VLOOKUP(VALUE(T$1),{Questions[#],Questions[Answer]},2,FALSE),1,0)</f>
        <v/>
      </c>
      <c r="AW74" s="41">
        <f t="array" ref="AW74">IF(U74=VLOOKUP(VALUE(U$1),{Questions[#],Questions[Answer]},2,FALSE),1,0)</f>
        <v/>
      </c>
      <c r="AX74" s="41">
        <f t="array" ref="AX74">IF(V74=VLOOKUP(VALUE(V$1),{Questions[#],Questions[Answer]},2,FALSE),1,0)</f>
        <v/>
      </c>
      <c r="AY74" s="41">
        <f t="array" ref="AY74">IF(W74=VLOOKUP(VALUE(W$1),{Questions[#],Questions[Answer]},2,FALSE),1,0)</f>
        <v/>
      </c>
      <c r="AZ74" s="41">
        <f t="array" ref="AZ74">IF(X74=VLOOKUP(VALUE(X$1),{Questions[#],Questions[Answer]},2,FALSE),1,0)</f>
        <v/>
      </c>
      <c r="BA74" s="41">
        <f t="array" ref="BA74">IF(Y74=VLOOKUP(VALUE(Y$1),{Questions[#],Questions[Answer]},2,FALSE),1,0)</f>
        <v/>
      </c>
      <c r="BB74" s="41">
        <f t="array" ref="BB74">IF(Z74=VLOOKUP(VALUE(Z$1),{Questions[#],Questions[Answer]},2,FALSE),1,0)</f>
        <v/>
      </c>
      <c r="BC74" s="41">
        <f t="array" ref="BC74">IF(AA74=VLOOKUP(VALUE(AA$1),{Questions[#],Questions[Answer]},2,FALSE),1,0)</f>
        <v/>
      </c>
      <c r="BD74" s="41">
        <f t="array" ref="BD74">IF(AB74=VLOOKUP(VALUE(AB$1),{Questions[#],Questions[Answer]},2,FALSE),1,0)</f>
        <v/>
      </c>
      <c r="BE74" s="41">
        <f t="array" ref="BE74">IF(AC74=VLOOKUP(VALUE(AC$1),{Questions[#],Questions[Answer]},2,FALSE),1,0)</f>
        <v/>
      </c>
      <c r="BF74" s="41">
        <f t="array" ref="BF74">IF(AD74=VLOOKUP(VALUE(AD$1),{Questions[#],Questions[Answer]},2,FALSE),1,0)</f>
        <v/>
      </c>
      <c r="BG74" s="41">
        <f t="array" ref="BG74">IF(AE74=VLOOKUP(VALUE(AE$1),{Questions[#],Questions[Answer]},2,FALSE),1,0)</f>
        <v/>
      </c>
      <c r="BH74" s="41">
        <f t="array" ref="BH74">IF(AF74=VLOOKUP(VALUE(AF$1),{Questions[#],Questions[Answer]},2,FALSE),1,0)</f>
        <v/>
      </c>
      <c r="BI74" s="41">
        <f t="array" ref="BI74">IF(AG74=VLOOKUP(VALUE(AG$1),{Questions[#],Questions[Answer]},2,FALSE),1,0)</f>
        <v/>
      </c>
      <c r="BJ74" s="41">
        <f t="array" ref="BJ74">IF(AH74=VLOOKUP(VALUE(AH$1),{Questions[#],Questions[Answer]},2,FALSE),1,0)</f>
        <v/>
      </c>
      <c r="BK74" s="41">
        <f t="array" ref="BK74">IF(AI74=VLOOKUP(VALUE(AI$1),{Questions[#],Questions[Answer]},2,FALSE),1,0)</f>
        <v/>
      </c>
      <c r="BL74" s="41">
        <f t="array" ref="BL74">IF(AJ74=VLOOKUP(VALUE(AJ$1),{Questions[#],Questions[Answer]},2,FALSE),1,0)</f>
        <v/>
      </c>
      <c r="BM74" s="41">
        <f t="array" ref="BM74">IF(AK74=VLOOKUP(VALUE(AK$1),{Questions[#],Questions[Answer]},2,FALSE),1,0)</f>
        <v/>
      </c>
      <c r="BN74" s="41">
        <f t="array" ref="BN74">IF(AL74=VLOOKUP(VALUE(AL$1),{Questions[#],Questions[Answer]},2,FALSE),1,0)</f>
        <v/>
      </c>
    </row>
    <row r="75" ht="22.5" customHeight="1" s="93">
      <c r="A75" s="42" t="n"/>
      <c r="B75" s="41" t="n"/>
      <c r="C75" s="41" t="n"/>
      <c r="D75" s="43" t="n"/>
      <c r="E75" s="41" t="n"/>
      <c r="F75" s="41" t="n"/>
      <c r="G75" s="11">
        <f>SUM(AM75:BN75)</f>
        <v/>
      </c>
      <c r="H75" s="40">
        <f>G75/9</f>
        <v/>
      </c>
      <c r="I75" s="12">
        <f>0.5+(G75/54)</f>
        <v/>
      </c>
      <c r="J75" s="41">
        <f>COUNTIF(K75:AL75,"")</f>
        <v/>
      </c>
      <c r="K75" s="34" t="n"/>
      <c r="L75" s="35" t="n"/>
      <c r="M75" s="35" t="n"/>
      <c r="N75" s="35" t="n"/>
      <c r="O75" s="35" t="n"/>
      <c r="P75" s="35" t="n"/>
      <c r="Q75" s="35" t="n"/>
      <c r="R75" s="35" t="n"/>
      <c r="S75" s="35" t="n"/>
      <c r="T75" s="35" t="n"/>
      <c r="U75" s="35" t="n"/>
      <c r="V75" s="35" t="n"/>
      <c r="W75" s="35" t="n"/>
      <c r="X75" s="41" t="n"/>
      <c r="Y75" s="35" t="n"/>
      <c r="Z75" s="35" t="n"/>
      <c r="AA75" s="35" t="n"/>
      <c r="AB75" s="35" t="n"/>
      <c r="AC75" s="35" t="n"/>
      <c r="AD75" s="35" t="n"/>
      <c r="AE75" s="41" t="n"/>
      <c r="AF75" s="35" t="n"/>
      <c r="AG75" s="35" t="n"/>
      <c r="AH75" s="35" t="n"/>
      <c r="AI75" s="35" t="n"/>
      <c r="AJ75" s="35" t="n"/>
      <c r="AK75" s="35" t="n"/>
      <c r="AL75" s="38" t="n"/>
      <c r="AM75" s="19">
        <f t="array" ref="AM75">IF(K75=VLOOKUP(VALUE(K$1),{Questions[#],Questions[Answer]},2,FALSE),1,0)</f>
        <v/>
      </c>
      <c r="AN75" s="41">
        <f t="array" ref="AN75">IF(L75=VLOOKUP(VALUE(L$1),{Questions[#],Questions[Answer]},2,FALSE),1,0)</f>
        <v/>
      </c>
      <c r="AO75" s="41">
        <f t="array" ref="AO75">IF(M75=VLOOKUP(VALUE(M$1),{Questions[#],Questions[Answer]},2,FALSE),1,0)</f>
        <v/>
      </c>
      <c r="AP75" s="41">
        <f t="array" ref="AP75">IF(N75=VLOOKUP(VALUE(N$1),{Questions[#],Questions[Answer]},2,FALSE),1,0)</f>
        <v/>
      </c>
      <c r="AQ75" s="41">
        <f t="array" ref="AQ75">IF(O75=VLOOKUP(VALUE(O$1),{Questions[#],Questions[Answer]},2,FALSE),1,0)</f>
        <v/>
      </c>
      <c r="AR75" s="41">
        <f t="array" ref="AR75">IF(P75=VLOOKUP(VALUE(P$1),{Questions[#],Questions[Answer]},2,FALSE),1,0)</f>
        <v/>
      </c>
      <c r="AS75" s="41">
        <f t="array" ref="AS75">IF(Q75=VLOOKUP(VALUE(Q$1),{Questions[#],Questions[Answer]},2,FALSE),1,0)</f>
        <v/>
      </c>
      <c r="AT75" s="41">
        <f t="array" ref="AT75">IF(R75=VLOOKUP(VALUE(R$1),{Questions[#],Questions[Answer]},2,FALSE),1,0)</f>
        <v/>
      </c>
      <c r="AU75" s="41">
        <f t="array" ref="AU75">IF(S75=VLOOKUP(VALUE(S$1),{Questions[#],Questions[Answer]},2,FALSE),1,0)</f>
        <v/>
      </c>
      <c r="AV75" s="41">
        <f t="array" ref="AV75">IF(T75=VLOOKUP(VALUE(T$1),{Questions[#],Questions[Answer]},2,FALSE),1,0)</f>
        <v/>
      </c>
      <c r="AW75" s="41">
        <f t="array" ref="AW75">IF(U75=VLOOKUP(VALUE(U$1),{Questions[#],Questions[Answer]},2,FALSE),1,0)</f>
        <v/>
      </c>
      <c r="AX75" s="41">
        <f t="array" ref="AX75">IF(V75=VLOOKUP(VALUE(V$1),{Questions[#],Questions[Answer]},2,FALSE),1,0)</f>
        <v/>
      </c>
      <c r="AY75" s="41">
        <f t="array" ref="AY75">IF(W75=VLOOKUP(VALUE(W$1),{Questions[#],Questions[Answer]},2,FALSE),1,0)</f>
        <v/>
      </c>
      <c r="AZ75" s="41">
        <f t="array" ref="AZ75">IF(X75=VLOOKUP(VALUE(X$1),{Questions[#],Questions[Answer]},2,FALSE),1,0)</f>
        <v/>
      </c>
      <c r="BA75" s="41">
        <f t="array" ref="BA75">IF(Y75=VLOOKUP(VALUE(Y$1),{Questions[#],Questions[Answer]},2,FALSE),1,0)</f>
        <v/>
      </c>
      <c r="BB75" s="41">
        <f t="array" ref="BB75">IF(Z75=VLOOKUP(VALUE(Z$1),{Questions[#],Questions[Answer]},2,FALSE),1,0)</f>
        <v/>
      </c>
      <c r="BC75" s="41">
        <f t="array" ref="BC75">IF(AA75=VLOOKUP(VALUE(AA$1),{Questions[#],Questions[Answer]},2,FALSE),1,0)</f>
        <v/>
      </c>
      <c r="BD75" s="41">
        <f t="array" ref="BD75">IF(AB75=VLOOKUP(VALUE(AB$1),{Questions[#],Questions[Answer]},2,FALSE),1,0)</f>
        <v/>
      </c>
      <c r="BE75" s="41">
        <f t="array" ref="BE75">IF(AC75=VLOOKUP(VALUE(AC$1),{Questions[#],Questions[Answer]},2,FALSE),1,0)</f>
        <v/>
      </c>
      <c r="BF75" s="41">
        <f t="array" ref="BF75">IF(AD75=VLOOKUP(VALUE(AD$1),{Questions[#],Questions[Answer]},2,FALSE),1,0)</f>
        <v/>
      </c>
      <c r="BG75" s="41">
        <f t="array" ref="BG75">IF(AE75=VLOOKUP(VALUE(AE$1),{Questions[#],Questions[Answer]},2,FALSE),1,0)</f>
        <v/>
      </c>
      <c r="BH75" s="41">
        <f t="array" ref="BH75">IF(AF75=VLOOKUP(VALUE(AF$1),{Questions[#],Questions[Answer]},2,FALSE),1,0)</f>
        <v/>
      </c>
      <c r="BI75" s="41">
        <f t="array" ref="BI75">IF(AG75=VLOOKUP(VALUE(AG$1),{Questions[#],Questions[Answer]},2,FALSE),1,0)</f>
        <v/>
      </c>
      <c r="BJ75" s="41">
        <f t="array" ref="BJ75">IF(AH75=VLOOKUP(VALUE(AH$1),{Questions[#],Questions[Answer]},2,FALSE),1,0)</f>
        <v/>
      </c>
      <c r="BK75" s="41">
        <f t="array" ref="BK75">IF(AI75=VLOOKUP(VALUE(AI$1),{Questions[#],Questions[Answer]},2,FALSE),1,0)</f>
        <v/>
      </c>
      <c r="BL75" s="41">
        <f t="array" ref="BL75">IF(AJ75=VLOOKUP(VALUE(AJ$1),{Questions[#],Questions[Answer]},2,FALSE),1,0)</f>
        <v/>
      </c>
      <c r="BM75" s="41">
        <f t="array" ref="BM75">IF(AK75=VLOOKUP(VALUE(AK$1),{Questions[#],Questions[Answer]},2,FALSE),1,0)</f>
        <v/>
      </c>
      <c r="BN75" s="41">
        <f t="array" ref="BN75">IF(AL75=VLOOKUP(VALUE(AL$1),{Questions[#],Questions[Answer]},2,FALSE),1,0)</f>
        <v/>
      </c>
    </row>
    <row r="76" ht="22.5" customHeight="1" s="93">
      <c r="A76" s="42" t="n"/>
      <c r="B76" s="41" t="n"/>
      <c r="C76" s="41" t="n"/>
      <c r="D76" s="43" t="n"/>
      <c r="E76" s="41" t="n"/>
      <c r="F76" s="41" t="n"/>
      <c r="G76" s="11">
        <f>SUM(AM76:BN76)</f>
        <v/>
      </c>
      <c r="H76" s="40">
        <f>G76/9</f>
        <v/>
      </c>
      <c r="I76" s="12">
        <f>0.5+(G76/54)</f>
        <v/>
      </c>
      <c r="J76" s="41">
        <f>COUNTIF(K76:AL76,"")</f>
        <v/>
      </c>
      <c r="K76" s="34" t="n"/>
      <c r="L76" s="35" t="n"/>
      <c r="M76" s="35" t="n"/>
      <c r="N76" s="35" t="n"/>
      <c r="O76" s="35" t="n"/>
      <c r="P76" s="35" t="n"/>
      <c r="Q76" s="35" t="n"/>
      <c r="R76" s="35" t="n"/>
      <c r="S76" s="35" t="n"/>
      <c r="T76" s="35" t="n"/>
      <c r="U76" s="35" t="n"/>
      <c r="V76" s="35" t="n"/>
      <c r="W76" s="35" t="n"/>
      <c r="X76" s="41" t="n"/>
      <c r="Y76" s="35" t="n"/>
      <c r="Z76" s="35" t="n"/>
      <c r="AA76" s="35" t="n"/>
      <c r="AB76" s="35" t="n"/>
      <c r="AC76" s="35" t="n"/>
      <c r="AD76" s="35" t="n"/>
      <c r="AE76" s="41" t="n"/>
      <c r="AF76" s="35" t="n"/>
      <c r="AG76" s="35" t="n"/>
      <c r="AH76" s="35" t="n"/>
      <c r="AI76" s="35" t="n"/>
      <c r="AJ76" s="35" t="n"/>
      <c r="AK76" s="35" t="n"/>
      <c r="AL76" s="38" t="n"/>
      <c r="AM76" s="19">
        <f t="array" ref="AM76">IF(K76=VLOOKUP(VALUE(K$1),{Questions[#],Questions[Answer]},2,FALSE),1,0)</f>
        <v/>
      </c>
      <c r="AN76" s="41">
        <f t="array" ref="AN76">IF(L76=VLOOKUP(VALUE(L$1),{Questions[#],Questions[Answer]},2,FALSE),1,0)</f>
        <v/>
      </c>
      <c r="AO76" s="41">
        <f t="array" ref="AO76">IF(M76=VLOOKUP(VALUE(M$1),{Questions[#],Questions[Answer]},2,FALSE),1,0)</f>
        <v/>
      </c>
      <c r="AP76" s="41">
        <f t="array" ref="AP76">IF(N76=VLOOKUP(VALUE(N$1),{Questions[#],Questions[Answer]},2,FALSE),1,0)</f>
        <v/>
      </c>
      <c r="AQ76" s="41">
        <f t="array" ref="AQ76">IF(O76=VLOOKUP(VALUE(O$1),{Questions[#],Questions[Answer]},2,FALSE),1,0)</f>
        <v/>
      </c>
      <c r="AR76" s="41">
        <f t="array" ref="AR76">IF(P76=VLOOKUP(VALUE(P$1),{Questions[#],Questions[Answer]},2,FALSE),1,0)</f>
        <v/>
      </c>
      <c r="AS76" s="41">
        <f t="array" ref="AS76">IF(Q76=VLOOKUP(VALUE(Q$1),{Questions[#],Questions[Answer]},2,FALSE),1,0)</f>
        <v/>
      </c>
      <c r="AT76" s="41">
        <f t="array" ref="AT76">IF(R76=VLOOKUP(VALUE(R$1),{Questions[#],Questions[Answer]},2,FALSE),1,0)</f>
        <v/>
      </c>
      <c r="AU76" s="41">
        <f t="array" ref="AU76">IF(S76=VLOOKUP(VALUE(S$1),{Questions[#],Questions[Answer]},2,FALSE),1,0)</f>
        <v/>
      </c>
      <c r="AV76" s="41">
        <f t="array" ref="AV76">IF(T76=VLOOKUP(VALUE(T$1),{Questions[#],Questions[Answer]},2,FALSE),1,0)</f>
        <v/>
      </c>
      <c r="AW76" s="41">
        <f t="array" ref="AW76">IF(U76=VLOOKUP(VALUE(U$1),{Questions[#],Questions[Answer]},2,FALSE),1,0)</f>
        <v/>
      </c>
      <c r="AX76" s="41">
        <f t="array" ref="AX76">IF(V76=VLOOKUP(VALUE(V$1),{Questions[#],Questions[Answer]},2,FALSE),1,0)</f>
        <v/>
      </c>
      <c r="AY76" s="41">
        <f t="array" ref="AY76">IF(W76=VLOOKUP(VALUE(W$1),{Questions[#],Questions[Answer]},2,FALSE),1,0)</f>
        <v/>
      </c>
      <c r="AZ76" s="41">
        <f t="array" ref="AZ76">IF(X76=VLOOKUP(VALUE(X$1),{Questions[#],Questions[Answer]},2,FALSE),1,0)</f>
        <v/>
      </c>
      <c r="BA76" s="41">
        <f t="array" ref="BA76">IF(Y76=VLOOKUP(VALUE(Y$1),{Questions[#],Questions[Answer]},2,FALSE),1,0)</f>
        <v/>
      </c>
      <c r="BB76" s="41">
        <f t="array" ref="BB76">IF(Z76=VLOOKUP(VALUE(Z$1),{Questions[#],Questions[Answer]},2,FALSE),1,0)</f>
        <v/>
      </c>
      <c r="BC76" s="41">
        <f t="array" ref="BC76">IF(AA76=VLOOKUP(VALUE(AA$1),{Questions[#],Questions[Answer]},2,FALSE),1,0)</f>
        <v/>
      </c>
      <c r="BD76" s="41">
        <f t="array" ref="BD76">IF(AB76=VLOOKUP(VALUE(AB$1),{Questions[#],Questions[Answer]},2,FALSE),1,0)</f>
        <v/>
      </c>
      <c r="BE76" s="41">
        <f t="array" ref="BE76">IF(AC76=VLOOKUP(VALUE(AC$1),{Questions[#],Questions[Answer]},2,FALSE),1,0)</f>
        <v/>
      </c>
      <c r="BF76" s="41">
        <f t="array" ref="BF76">IF(AD76=VLOOKUP(VALUE(AD$1),{Questions[#],Questions[Answer]},2,FALSE),1,0)</f>
        <v/>
      </c>
      <c r="BG76" s="41">
        <f t="array" ref="BG76">IF(AE76=VLOOKUP(VALUE(AE$1),{Questions[#],Questions[Answer]},2,FALSE),1,0)</f>
        <v/>
      </c>
      <c r="BH76" s="41">
        <f t="array" ref="BH76">IF(AF76=VLOOKUP(VALUE(AF$1),{Questions[#],Questions[Answer]},2,FALSE),1,0)</f>
        <v/>
      </c>
      <c r="BI76" s="41">
        <f t="array" ref="BI76">IF(AG76=VLOOKUP(VALUE(AG$1),{Questions[#],Questions[Answer]},2,FALSE),1,0)</f>
        <v/>
      </c>
      <c r="BJ76" s="41">
        <f t="array" ref="BJ76">IF(AH76=VLOOKUP(VALUE(AH$1),{Questions[#],Questions[Answer]},2,FALSE),1,0)</f>
        <v/>
      </c>
      <c r="BK76" s="41">
        <f t="array" ref="BK76">IF(AI76=VLOOKUP(VALUE(AI$1),{Questions[#],Questions[Answer]},2,FALSE),1,0)</f>
        <v/>
      </c>
      <c r="BL76" s="41">
        <f t="array" ref="BL76">IF(AJ76=VLOOKUP(VALUE(AJ$1),{Questions[#],Questions[Answer]},2,FALSE),1,0)</f>
        <v/>
      </c>
      <c r="BM76" s="41">
        <f t="array" ref="BM76">IF(AK76=VLOOKUP(VALUE(AK$1),{Questions[#],Questions[Answer]},2,FALSE),1,0)</f>
        <v/>
      </c>
      <c r="BN76" s="41">
        <f t="array" ref="BN76">IF(AL76=VLOOKUP(VALUE(AL$1),{Questions[#],Questions[Answer]},2,FALSE),1,0)</f>
        <v/>
      </c>
    </row>
    <row r="77" ht="22.5" customHeight="1" s="93">
      <c r="A77" s="42" t="n"/>
      <c r="B77" s="41" t="n"/>
      <c r="C77" s="41" t="n"/>
      <c r="D77" s="43" t="n"/>
      <c r="E77" s="41" t="n"/>
      <c r="F77" s="41" t="n"/>
      <c r="G77" s="11">
        <f>SUM(AM77:BN77)</f>
        <v/>
      </c>
      <c r="H77" s="40">
        <f>G77/9</f>
        <v/>
      </c>
      <c r="I77" s="12">
        <f>0.5+(G77/54)</f>
        <v/>
      </c>
      <c r="J77" s="41">
        <f>COUNTIF(K77:AL77,"")</f>
        <v/>
      </c>
      <c r="K77" s="34" t="n"/>
      <c r="L77" s="35" t="n"/>
      <c r="M77" s="35" t="n"/>
      <c r="N77" s="35" t="n"/>
      <c r="O77" s="35" t="n"/>
      <c r="P77" s="35" t="n"/>
      <c r="Q77" s="35" t="n"/>
      <c r="R77" s="35" t="n"/>
      <c r="S77" s="35" t="n"/>
      <c r="T77" s="35" t="n"/>
      <c r="U77" s="35" t="n"/>
      <c r="V77" s="35" t="n"/>
      <c r="W77" s="35" t="n"/>
      <c r="X77" s="41" t="n"/>
      <c r="Y77" s="35" t="n"/>
      <c r="Z77" s="35" t="n"/>
      <c r="AA77" s="35" t="n"/>
      <c r="AB77" s="35" t="n"/>
      <c r="AC77" s="35" t="n"/>
      <c r="AD77" s="35" t="n"/>
      <c r="AE77" s="41" t="n"/>
      <c r="AF77" s="35" t="n"/>
      <c r="AG77" s="35" t="n"/>
      <c r="AH77" s="35" t="n"/>
      <c r="AI77" s="35" t="n"/>
      <c r="AJ77" s="35" t="n"/>
      <c r="AK77" s="35" t="n"/>
      <c r="AL77" s="38" t="n"/>
      <c r="AM77" s="19">
        <f t="array" ref="AM77">IF(K77=VLOOKUP(VALUE(K$1),{Questions[#],Questions[Answer]},2,FALSE),1,0)</f>
        <v/>
      </c>
      <c r="AN77" s="41">
        <f t="array" ref="AN77">IF(L77=VLOOKUP(VALUE(L$1),{Questions[#],Questions[Answer]},2,FALSE),1,0)</f>
        <v/>
      </c>
      <c r="AO77" s="41">
        <f t="array" ref="AO77">IF(M77=VLOOKUP(VALUE(M$1),{Questions[#],Questions[Answer]},2,FALSE),1,0)</f>
        <v/>
      </c>
      <c r="AP77" s="41">
        <f t="array" ref="AP77">IF(N77=VLOOKUP(VALUE(N$1),{Questions[#],Questions[Answer]},2,FALSE),1,0)</f>
        <v/>
      </c>
      <c r="AQ77" s="41">
        <f t="array" ref="AQ77">IF(O77=VLOOKUP(VALUE(O$1),{Questions[#],Questions[Answer]},2,FALSE),1,0)</f>
        <v/>
      </c>
      <c r="AR77" s="41">
        <f t="array" ref="AR77">IF(P77=VLOOKUP(VALUE(P$1),{Questions[#],Questions[Answer]},2,FALSE),1,0)</f>
        <v/>
      </c>
      <c r="AS77" s="41">
        <f t="array" ref="AS77">IF(Q77=VLOOKUP(VALUE(Q$1),{Questions[#],Questions[Answer]},2,FALSE),1,0)</f>
        <v/>
      </c>
      <c r="AT77" s="41">
        <f t="array" ref="AT77">IF(R77=VLOOKUP(VALUE(R$1),{Questions[#],Questions[Answer]},2,FALSE),1,0)</f>
        <v/>
      </c>
      <c r="AU77" s="41">
        <f t="array" ref="AU77">IF(S77=VLOOKUP(VALUE(S$1),{Questions[#],Questions[Answer]},2,FALSE),1,0)</f>
        <v/>
      </c>
      <c r="AV77" s="41">
        <f t="array" ref="AV77">IF(T77=VLOOKUP(VALUE(T$1),{Questions[#],Questions[Answer]},2,FALSE),1,0)</f>
        <v/>
      </c>
      <c r="AW77" s="41">
        <f t="array" ref="AW77">IF(U77=VLOOKUP(VALUE(U$1),{Questions[#],Questions[Answer]},2,FALSE),1,0)</f>
        <v/>
      </c>
      <c r="AX77" s="41">
        <f t="array" ref="AX77">IF(V77=VLOOKUP(VALUE(V$1),{Questions[#],Questions[Answer]},2,FALSE),1,0)</f>
        <v/>
      </c>
      <c r="AY77" s="41">
        <f t="array" ref="AY77">IF(W77=VLOOKUP(VALUE(W$1),{Questions[#],Questions[Answer]},2,FALSE),1,0)</f>
        <v/>
      </c>
      <c r="AZ77" s="41">
        <f t="array" ref="AZ77">IF(X77=VLOOKUP(VALUE(X$1),{Questions[#],Questions[Answer]},2,FALSE),1,0)</f>
        <v/>
      </c>
      <c r="BA77" s="41">
        <f t="array" ref="BA77">IF(Y77=VLOOKUP(VALUE(Y$1),{Questions[#],Questions[Answer]},2,FALSE),1,0)</f>
        <v/>
      </c>
      <c r="BB77" s="41">
        <f t="array" ref="BB77">IF(Z77=VLOOKUP(VALUE(Z$1),{Questions[#],Questions[Answer]},2,FALSE),1,0)</f>
        <v/>
      </c>
      <c r="BC77" s="41">
        <f t="array" ref="BC77">IF(AA77=VLOOKUP(VALUE(AA$1),{Questions[#],Questions[Answer]},2,FALSE),1,0)</f>
        <v/>
      </c>
      <c r="BD77" s="41">
        <f t="array" ref="BD77">IF(AB77=VLOOKUP(VALUE(AB$1),{Questions[#],Questions[Answer]},2,FALSE),1,0)</f>
        <v/>
      </c>
      <c r="BE77" s="41">
        <f t="array" ref="BE77">IF(AC77=VLOOKUP(VALUE(AC$1),{Questions[#],Questions[Answer]},2,FALSE),1,0)</f>
        <v/>
      </c>
      <c r="BF77" s="41">
        <f t="array" ref="BF77">IF(AD77=VLOOKUP(VALUE(AD$1),{Questions[#],Questions[Answer]},2,FALSE),1,0)</f>
        <v/>
      </c>
      <c r="BG77" s="41">
        <f t="array" ref="BG77">IF(AE77=VLOOKUP(VALUE(AE$1),{Questions[#],Questions[Answer]},2,FALSE),1,0)</f>
        <v/>
      </c>
      <c r="BH77" s="41">
        <f t="array" ref="BH77">IF(AF77=VLOOKUP(VALUE(AF$1),{Questions[#],Questions[Answer]},2,FALSE),1,0)</f>
        <v/>
      </c>
      <c r="BI77" s="41">
        <f t="array" ref="BI77">IF(AG77=VLOOKUP(VALUE(AG$1),{Questions[#],Questions[Answer]},2,FALSE),1,0)</f>
        <v/>
      </c>
      <c r="BJ77" s="41">
        <f t="array" ref="BJ77">IF(AH77=VLOOKUP(VALUE(AH$1),{Questions[#],Questions[Answer]},2,FALSE),1,0)</f>
        <v/>
      </c>
      <c r="BK77" s="41">
        <f t="array" ref="BK77">IF(AI77=VLOOKUP(VALUE(AI$1),{Questions[#],Questions[Answer]},2,FALSE),1,0)</f>
        <v/>
      </c>
      <c r="BL77" s="41">
        <f t="array" ref="BL77">IF(AJ77=VLOOKUP(VALUE(AJ$1),{Questions[#],Questions[Answer]},2,FALSE),1,0)</f>
        <v/>
      </c>
      <c r="BM77" s="41">
        <f t="array" ref="BM77">IF(AK77=VLOOKUP(VALUE(AK$1),{Questions[#],Questions[Answer]},2,FALSE),1,0)</f>
        <v/>
      </c>
      <c r="BN77" s="41">
        <f t="array" ref="BN77">IF(AL77=VLOOKUP(VALUE(AL$1),{Questions[#],Questions[Answer]},2,FALSE),1,0)</f>
        <v/>
      </c>
    </row>
    <row r="78" ht="22.5" customHeight="1" s="93">
      <c r="A78" s="42" t="n"/>
      <c r="B78" s="41" t="n"/>
      <c r="C78" s="41" t="n"/>
      <c r="D78" s="43" t="n"/>
      <c r="E78" s="41" t="n"/>
      <c r="F78" s="41" t="n"/>
      <c r="G78" s="11">
        <f>SUM(AM78:BN78)</f>
        <v/>
      </c>
      <c r="H78" s="40">
        <f>G78/9</f>
        <v/>
      </c>
      <c r="I78" s="12">
        <f>0.5+(G78/54)</f>
        <v/>
      </c>
      <c r="J78" s="41">
        <f>COUNTIF(K78:AL78,"")</f>
        <v/>
      </c>
      <c r="K78" s="34" t="n"/>
      <c r="L78" s="35" t="n"/>
      <c r="M78" s="35" t="n"/>
      <c r="N78" s="35" t="n"/>
      <c r="O78" s="35" t="n"/>
      <c r="P78" s="35" t="n"/>
      <c r="Q78" s="35" t="n"/>
      <c r="R78" s="35" t="n"/>
      <c r="S78" s="35" t="n"/>
      <c r="T78" s="35" t="n"/>
      <c r="U78" s="35" t="n"/>
      <c r="V78" s="35" t="n"/>
      <c r="W78" s="35" t="n"/>
      <c r="X78" s="41" t="n"/>
      <c r="Y78" s="35" t="n"/>
      <c r="Z78" s="35" t="n"/>
      <c r="AA78" s="35" t="n"/>
      <c r="AB78" s="35" t="n"/>
      <c r="AC78" s="35" t="n"/>
      <c r="AD78" s="35" t="n"/>
      <c r="AE78" s="41" t="n"/>
      <c r="AF78" s="35" t="n"/>
      <c r="AG78" s="35" t="n"/>
      <c r="AH78" s="35" t="n"/>
      <c r="AI78" s="35" t="n"/>
      <c r="AJ78" s="35" t="n"/>
      <c r="AK78" s="35" t="n"/>
      <c r="AL78" s="38" t="n"/>
      <c r="AM78" s="19">
        <f t="array" ref="AM78">IF(K78=VLOOKUP(VALUE(K$1),{Questions[#],Questions[Answer]},2,FALSE),1,0)</f>
        <v/>
      </c>
      <c r="AN78" s="41">
        <f t="array" ref="AN78">IF(L78=VLOOKUP(VALUE(L$1),{Questions[#],Questions[Answer]},2,FALSE),1,0)</f>
        <v/>
      </c>
      <c r="AO78" s="41">
        <f t="array" ref="AO78">IF(M78=VLOOKUP(VALUE(M$1),{Questions[#],Questions[Answer]},2,FALSE),1,0)</f>
        <v/>
      </c>
      <c r="AP78" s="41">
        <f t="array" ref="AP78">IF(N78=VLOOKUP(VALUE(N$1),{Questions[#],Questions[Answer]},2,FALSE),1,0)</f>
        <v/>
      </c>
      <c r="AQ78" s="41">
        <f t="array" ref="AQ78">IF(O78=VLOOKUP(VALUE(O$1),{Questions[#],Questions[Answer]},2,FALSE),1,0)</f>
        <v/>
      </c>
      <c r="AR78" s="41">
        <f t="array" ref="AR78">IF(P78=VLOOKUP(VALUE(P$1),{Questions[#],Questions[Answer]},2,FALSE),1,0)</f>
        <v/>
      </c>
      <c r="AS78" s="41">
        <f t="array" ref="AS78">IF(Q78=VLOOKUP(VALUE(Q$1),{Questions[#],Questions[Answer]},2,FALSE),1,0)</f>
        <v/>
      </c>
      <c r="AT78" s="41">
        <f t="array" ref="AT78">IF(R78=VLOOKUP(VALUE(R$1),{Questions[#],Questions[Answer]},2,FALSE),1,0)</f>
        <v/>
      </c>
      <c r="AU78" s="41">
        <f t="array" ref="AU78">IF(S78=VLOOKUP(VALUE(S$1),{Questions[#],Questions[Answer]},2,FALSE),1,0)</f>
        <v/>
      </c>
      <c r="AV78" s="41">
        <f t="array" ref="AV78">IF(T78=VLOOKUP(VALUE(T$1),{Questions[#],Questions[Answer]},2,FALSE),1,0)</f>
        <v/>
      </c>
      <c r="AW78" s="41">
        <f t="array" ref="AW78">IF(U78=VLOOKUP(VALUE(U$1),{Questions[#],Questions[Answer]},2,FALSE),1,0)</f>
        <v/>
      </c>
      <c r="AX78" s="41">
        <f t="array" ref="AX78">IF(V78=VLOOKUP(VALUE(V$1),{Questions[#],Questions[Answer]},2,FALSE),1,0)</f>
        <v/>
      </c>
      <c r="AY78" s="41">
        <f t="array" ref="AY78">IF(W78=VLOOKUP(VALUE(W$1),{Questions[#],Questions[Answer]},2,FALSE),1,0)</f>
        <v/>
      </c>
      <c r="AZ78" s="41">
        <f t="array" ref="AZ78">IF(X78=VLOOKUP(VALUE(X$1),{Questions[#],Questions[Answer]},2,FALSE),1,0)</f>
        <v/>
      </c>
      <c r="BA78" s="41">
        <f t="array" ref="BA78">IF(Y78=VLOOKUP(VALUE(Y$1),{Questions[#],Questions[Answer]},2,FALSE),1,0)</f>
        <v/>
      </c>
      <c r="BB78" s="41">
        <f t="array" ref="BB78">IF(Z78=VLOOKUP(VALUE(Z$1),{Questions[#],Questions[Answer]},2,FALSE),1,0)</f>
        <v/>
      </c>
      <c r="BC78" s="41">
        <f t="array" ref="BC78">IF(AA78=VLOOKUP(VALUE(AA$1),{Questions[#],Questions[Answer]},2,FALSE),1,0)</f>
        <v/>
      </c>
      <c r="BD78" s="41">
        <f t="array" ref="BD78">IF(AB78=VLOOKUP(VALUE(AB$1),{Questions[#],Questions[Answer]},2,FALSE),1,0)</f>
        <v/>
      </c>
      <c r="BE78" s="41">
        <f t="array" ref="BE78">IF(AC78=VLOOKUP(VALUE(AC$1),{Questions[#],Questions[Answer]},2,FALSE),1,0)</f>
        <v/>
      </c>
      <c r="BF78" s="41">
        <f t="array" ref="BF78">IF(AD78=VLOOKUP(VALUE(AD$1),{Questions[#],Questions[Answer]},2,FALSE),1,0)</f>
        <v/>
      </c>
      <c r="BG78" s="41">
        <f t="array" ref="BG78">IF(AE78=VLOOKUP(VALUE(AE$1),{Questions[#],Questions[Answer]},2,FALSE),1,0)</f>
        <v/>
      </c>
      <c r="BH78" s="41">
        <f t="array" ref="BH78">IF(AF78=VLOOKUP(VALUE(AF$1),{Questions[#],Questions[Answer]},2,FALSE),1,0)</f>
        <v/>
      </c>
      <c r="BI78" s="41">
        <f t="array" ref="BI78">IF(AG78=VLOOKUP(VALUE(AG$1),{Questions[#],Questions[Answer]},2,FALSE),1,0)</f>
        <v/>
      </c>
      <c r="BJ78" s="41">
        <f t="array" ref="BJ78">IF(AH78=VLOOKUP(VALUE(AH$1),{Questions[#],Questions[Answer]},2,FALSE),1,0)</f>
        <v/>
      </c>
      <c r="BK78" s="41">
        <f t="array" ref="BK78">IF(AI78=VLOOKUP(VALUE(AI$1),{Questions[#],Questions[Answer]},2,FALSE),1,0)</f>
        <v/>
      </c>
      <c r="BL78" s="41">
        <f t="array" ref="BL78">IF(AJ78=VLOOKUP(VALUE(AJ$1),{Questions[#],Questions[Answer]},2,FALSE),1,0)</f>
        <v/>
      </c>
      <c r="BM78" s="41">
        <f t="array" ref="BM78">IF(AK78=VLOOKUP(VALUE(AK$1),{Questions[#],Questions[Answer]},2,FALSE),1,0)</f>
        <v/>
      </c>
      <c r="BN78" s="41">
        <f t="array" ref="BN78">IF(AL78=VLOOKUP(VALUE(AL$1),{Questions[#],Questions[Answer]},2,FALSE),1,0)</f>
        <v/>
      </c>
    </row>
    <row r="79" ht="22.5" customHeight="1" s="93">
      <c r="A79" s="42" t="n"/>
      <c r="B79" s="41" t="n"/>
      <c r="C79" s="41" t="n"/>
      <c r="D79" s="43" t="n"/>
      <c r="E79" s="41" t="n"/>
      <c r="F79" s="41" t="n"/>
      <c r="G79" s="11">
        <f>SUM(AM79:BN79)</f>
        <v/>
      </c>
      <c r="H79" s="40">
        <f>G79/9</f>
        <v/>
      </c>
      <c r="I79" s="12">
        <f>0.5+(G79/54)</f>
        <v/>
      </c>
      <c r="J79" s="41">
        <f>COUNTIF(K79:AL79,"")</f>
        <v/>
      </c>
      <c r="K79" s="34" t="n"/>
      <c r="L79" s="35" t="n"/>
      <c r="M79" s="35" t="n"/>
      <c r="N79" s="35" t="n"/>
      <c r="O79" s="35" t="n"/>
      <c r="P79" s="35" t="n"/>
      <c r="Q79" s="35" t="n"/>
      <c r="R79" s="35" t="n"/>
      <c r="S79" s="35" t="n"/>
      <c r="T79" s="35" t="n"/>
      <c r="U79" s="35" t="n"/>
      <c r="V79" s="35" t="n"/>
      <c r="W79" s="35" t="n"/>
      <c r="X79" s="41" t="n"/>
      <c r="Y79" s="35" t="n"/>
      <c r="Z79" s="35" t="n"/>
      <c r="AA79" s="35" t="n"/>
      <c r="AB79" s="35" t="n"/>
      <c r="AC79" s="35" t="n"/>
      <c r="AD79" s="35" t="n"/>
      <c r="AE79" s="41" t="n"/>
      <c r="AF79" s="35" t="n"/>
      <c r="AG79" s="35" t="n"/>
      <c r="AH79" s="35" t="n"/>
      <c r="AI79" s="35" t="n"/>
      <c r="AJ79" s="35" t="n"/>
      <c r="AK79" s="35" t="n"/>
      <c r="AL79" s="38" t="n"/>
      <c r="AM79" s="19">
        <f t="array" ref="AM79">IF(K79=VLOOKUP(VALUE(K$1),{Questions[#],Questions[Answer]},2,FALSE),1,0)</f>
        <v/>
      </c>
      <c r="AN79" s="41">
        <f t="array" ref="AN79">IF(L79=VLOOKUP(VALUE(L$1),{Questions[#],Questions[Answer]},2,FALSE),1,0)</f>
        <v/>
      </c>
      <c r="AO79" s="41">
        <f t="array" ref="AO79">IF(M79=VLOOKUP(VALUE(M$1),{Questions[#],Questions[Answer]},2,FALSE),1,0)</f>
        <v/>
      </c>
      <c r="AP79" s="41">
        <f t="array" ref="AP79">IF(N79=VLOOKUP(VALUE(N$1),{Questions[#],Questions[Answer]},2,FALSE),1,0)</f>
        <v/>
      </c>
      <c r="AQ79" s="41">
        <f t="array" ref="AQ79">IF(O79=VLOOKUP(VALUE(O$1),{Questions[#],Questions[Answer]},2,FALSE),1,0)</f>
        <v/>
      </c>
      <c r="AR79" s="41">
        <f t="array" ref="AR79">IF(P79=VLOOKUP(VALUE(P$1),{Questions[#],Questions[Answer]},2,FALSE),1,0)</f>
        <v/>
      </c>
      <c r="AS79" s="41">
        <f t="array" ref="AS79">IF(Q79=VLOOKUP(VALUE(Q$1),{Questions[#],Questions[Answer]},2,FALSE),1,0)</f>
        <v/>
      </c>
      <c r="AT79" s="41">
        <f t="array" ref="AT79">IF(R79=VLOOKUP(VALUE(R$1),{Questions[#],Questions[Answer]},2,FALSE),1,0)</f>
        <v/>
      </c>
      <c r="AU79" s="41">
        <f t="array" ref="AU79">IF(S79=VLOOKUP(VALUE(S$1),{Questions[#],Questions[Answer]},2,FALSE),1,0)</f>
        <v/>
      </c>
      <c r="AV79" s="41">
        <f t="array" ref="AV79">IF(T79=VLOOKUP(VALUE(T$1),{Questions[#],Questions[Answer]},2,FALSE),1,0)</f>
        <v/>
      </c>
      <c r="AW79" s="41">
        <f t="array" ref="AW79">IF(U79=VLOOKUP(VALUE(U$1),{Questions[#],Questions[Answer]},2,FALSE),1,0)</f>
        <v/>
      </c>
      <c r="AX79" s="41">
        <f t="array" ref="AX79">IF(V79=VLOOKUP(VALUE(V$1),{Questions[#],Questions[Answer]},2,FALSE),1,0)</f>
        <v/>
      </c>
      <c r="AY79" s="41">
        <f t="array" ref="AY79">IF(W79=VLOOKUP(VALUE(W$1),{Questions[#],Questions[Answer]},2,FALSE),1,0)</f>
        <v/>
      </c>
      <c r="AZ79" s="41">
        <f t="array" ref="AZ79">IF(X79=VLOOKUP(VALUE(X$1),{Questions[#],Questions[Answer]},2,FALSE),1,0)</f>
        <v/>
      </c>
      <c r="BA79" s="41">
        <f t="array" ref="BA79">IF(Y79=VLOOKUP(VALUE(Y$1),{Questions[#],Questions[Answer]},2,FALSE),1,0)</f>
        <v/>
      </c>
      <c r="BB79" s="41">
        <f t="array" ref="BB79">IF(Z79=VLOOKUP(VALUE(Z$1),{Questions[#],Questions[Answer]},2,FALSE),1,0)</f>
        <v/>
      </c>
      <c r="BC79" s="41">
        <f t="array" ref="BC79">IF(AA79=VLOOKUP(VALUE(AA$1),{Questions[#],Questions[Answer]},2,FALSE),1,0)</f>
        <v/>
      </c>
      <c r="BD79" s="41">
        <f t="array" ref="BD79">IF(AB79=VLOOKUP(VALUE(AB$1),{Questions[#],Questions[Answer]},2,FALSE),1,0)</f>
        <v/>
      </c>
      <c r="BE79" s="41">
        <f t="array" ref="BE79">IF(AC79=VLOOKUP(VALUE(AC$1),{Questions[#],Questions[Answer]},2,FALSE),1,0)</f>
        <v/>
      </c>
      <c r="BF79" s="41">
        <f t="array" ref="BF79">IF(AD79=VLOOKUP(VALUE(AD$1),{Questions[#],Questions[Answer]},2,FALSE),1,0)</f>
        <v/>
      </c>
      <c r="BG79" s="41">
        <f t="array" ref="BG79">IF(AE79=VLOOKUP(VALUE(AE$1),{Questions[#],Questions[Answer]},2,FALSE),1,0)</f>
        <v/>
      </c>
      <c r="BH79" s="41">
        <f t="array" ref="BH79">IF(AF79=VLOOKUP(VALUE(AF$1),{Questions[#],Questions[Answer]},2,FALSE),1,0)</f>
        <v/>
      </c>
      <c r="BI79" s="41">
        <f t="array" ref="BI79">IF(AG79=VLOOKUP(VALUE(AG$1),{Questions[#],Questions[Answer]},2,FALSE),1,0)</f>
        <v/>
      </c>
      <c r="BJ79" s="41">
        <f t="array" ref="BJ79">IF(AH79=VLOOKUP(VALUE(AH$1),{Questions[#],Questions[Answer]},2,FALSE),1,0)</f>
        <v/>
      </c>
      <c r="BK79" s="41">
        <f t="array" ref="BK79">IF(AI79=VLOOKUP(VALUE(AI$1),{Questions[#],Questions[Answer]},2,FALSE),1,0)</f>
        <v/>
      </c>
      <c r="BL79" s="41">
        <f t="array" ref="BL79">IF(AJ79=VLOOKUP(VALUE(AJ$1),{Questions[#],Questions[Answer]},2,FALSE),1,0)</f>
        <v/>
      </c>
      <c r="BM79" s="41">
        <f t="array" ref="BM79">IF(AK79=VLOOKUP(VALUE(AK$1),{Questions[#],Questions[Answer]},2,FALSE),1,0)</f>
        <v/>
      </c>
      <c r="BN79" s="41">
        <f t="array" ref="BN79">IF(AL79=VLOOKUP(VALUE(AL$1),{Questions[#],Questions[Answer]},2,FALSE),1,0)</f>
        <v/>
      </c>
    </row>
    <row r="80" ht="22.5" customHeight="1" s="93">
      <c r="A80" s="42" t="n"/>
      <c r="B80" s="41" t="n"/>
      <c r="C80" s="41" t="n"/>
      <c r="D80" s="43" t="n"/>
      <c r="E80" s="41" t="n"/>
      <c r="F80" s="41" t="n"/>
      <c r="G80" s="11">
        <f>SUM(AM80:BN80)</f>
        <v/>
      </c>
      <c r="H80" s="40">
        <f>G80/9</f>
        <v/>
      </c>
      <c r="I80" s="12">
        <f>0.5+(G80/54)</f>
        <v/>
      </c>
      <c r="J80" s="41">
        <f>COUNTIF(K80:AL80,"")</f>
        <v/>
      </c>
      <c r="K80" s="34" t="n"/>
      <c r="L80" s="35" t="n"/>
      <c r="M80" s="35" t="n"/>
      <c r="N80" s="35" t="n"/>
      <c r="O80" s="35" t="n"/>
      <c r="P80" s="35" t="n"/>
      <c r="Q80" s="35" t="n"/>
      <c r="R80" s="35" t="n"/>
      <c r="S80" s="35" t="n"/>
      <c r="T80" s="35" t="n"/>
      <c r="U80" s="35" t="n"/>
      <c r="V80" s="35" t="n"/>
      <c r="W80" s="35" t="n"/>
      <c r="X80" s="41" t="n"/>
      <c r="Y80" s="35" t="n"/>
      <c r="Z80" s="35" t="n"/>
      <c r="AA80" s="35" t="n"/>
      <c r="AB80" s="35" t="n"/>
      <c r="AC80" s="35" t="n"/>
      <c r="AD80" s="35" t="n"/>
      <c r="AE80" s="41" t="n"/>
      <c r="AF80" s="35" t="n"/>
      <c r="AG80" s="35" t="n"/>
      <c r="AH80" s="35" t="n"/>
      <c r="AI80" s="35" t="n"/>
      <c r="AJ80" s="35" t="n"/>
      <c r="AK80" s="35" t="n"/>
      <c r="AL80" s="38" t="n"/>
      <c r="AM80" s="19">
        <f t="array" ref="AM80">IF(K80=VLOOKUP(VALUE(K$1),{Questions[#],Questions[Answer]},2,FALSE),1,0)</f>
        <v/>
      </c>
      <c r="AN80" s="41">
        <f t="array" ref="AN80">IF(L80=VLOOKUP(VALUE(L$1),{Questions[#],Questions[Answer]},2,FALSE),1,0)</f>
        <v/>
      </c>
      <c r="AO80" s="41">
        <f t="array" ref="AO80">IF(M80=VLOOKUP(VALUE(M$1),{Questions[#],Questions[Answer]},2,FALSE),1,0)</f>
        <v/>
      </c>
      <c r="AP80" s="41">
        <f t="array" ref="AP80">IF(N80=VLOOKUP(VALUE(N$1),{Questions[#],Questions[Answer]},2,FALSE),1,0)</f>
        <v/>
      </c>
      <c r="AQ80" s="41">
        <f t="array" ref="AQ80">IF(O80=VLOOKUP(VALUE(O$1),{Questions[#],Questions[Answer]},2,FALSE),1,0)</f>
        <v/>
      </c>
      <c r="AR80" s="41">
        <f t="array" ref="AR80">IF(P80=VLOOKUP(VALUE(P$1),{Questions[#],Questions[Answer]},2,FALSE),1,0)</f>
        <v/>
      </c>
      <c r="AS80" s="41">
        <f t="array" ref="AS80">IF(Q80=VLOOKUP(VALUE(Q$1),{Questions[#],Questions[Answer]},2,FALSE),1,0)</f>
        <v/>
      </c>
      <c r="AT80" s="41">
        <f t="array" ref="AT80">IF(R80=VLOOKUP(VALUE(R$1),{Questions[#],Questions[Answer]},2,FALSE),1,0)</f>
        <v/>
      </c>
      <c r="AU80" s="41">
        <f t="array" ref="AU80">IF(S80=VLOOKUP(VALUE(S$1),{Questions[#],Questions[Answer]},2,FALSE),1,0)</f>
        <v/>
      </c>
      <c r="AV80" s="41">
        <f t="array" ref="AV80">IF(T80=VLOOKUP(VALUE(T$1),{Questions[#],Questions[Answer]},2,FALSE),1,0)</f>
        <v/>
      </c>
      <c r="AW80" s="41">
        <f t="array" ref="AW80">IF(U80=VLOOKUP(VALUE(U$1),{Questions[#],Questions[Answer]},2,FALSE),1,0)</f>
        <v/>
      </c>
      <c r="AX80" s="41">
        <f t="array" ref="AX80">IF(V80=VLOOKUP(VALUE(V$1),{Questions[#],Questions[Answer]},2,FALSE),1,0)</f>
        <v/>
      </c>
      <c r="AY80" s="41">
        <f t="array" ref="AY80">IF(W80=VLOOKUP(VALUE(W$1),{Questions[#],Questions[Answer]},2,FALSE),1,0)</f>
        <v/>
      </c>
      <c r="AZ80" s="41">
        <f t="array" ref="AZ80">IF(X80=VLOOKUP(VALUE(X$1),{Questions[#],Questions[Answer]},2,FALSE),1,0)</f>
        <v/>
      </c>
      <c r="BA80" s="41">
        <f t="array" ref="BA80">IF(Y80=VLOOKUP(VALUE(Y$1),{Questions[#],Questions[Answer]},2,FALSE),1,0)</f>
        <v/>
      </c>
      <c r="BB80" s="41">
        <f t="array" ref="BB80">IF(Z80=VLOOKUP(VALUE(Z$1),{Questions[#],Questions[Answer]},2,FALSE),1,0)</f>
        <v/>
      </c>
      <c r="BC80" s="41">
        <f t="array" ref="BC80">IF(AA80=VLOOKUP(VALUE(AA$1),{Questions[#],Questions[Answer]},2,FALSE),1,0)</f>
        <v/>
      </c>
      <c r="BD80" s="41">
        <f t="array" ref="BD80">IF(AB80=VLOOKUP(VALUE(AB$1),{Questions[#],Questions[Answer]},2,FALSE),1,0)</f>
        <v/>
      </c>
      <c r="BE80" s="41">
        <f t="array" ref="BE80">IF(AC80=VLOOKUP(VALUE(AC$1),{Questions[#],Questions[Answer]},2,FALSE),1,0)</f>
        <v/>
      </c>
      <c r="BF80" s="41">
        <f t="array" ref="BF80">IF(AD80=VLOOKUP(VALUE(AD$1),{Questions[#],Questions[Answer]},2,FALSE),1,0)</f>
        <v/>
      </c>
      <c r="BG80" s="41">
        <f t="array" ref="BG80">IF(AE80=VLOOKUP(VALUE(AE$1),{Questions[#],Questions[Answer]},2,FALSE),1,0)</f>
        <v/>
      </c>
      <c r="BH80" s="41">
        <f t="array" ref="BH80">IF(AF80=VLOOKUP(VALUE(AF$1),{Questions[#],Questions[Answer]},2,FALSE),1,0)</f>
        <v/>
      </c>
      <c r="BI80" s="41">
        <f t="array" ref="BI80">IF(AG80=VLOOKUP(VALUE(AG$1),{Questions[#],Questions[Answer]},2,FALSE),1,0)</f>
        <v/>
      </c>
      <c r="BJ80" s="41">
        <f t="array" ref="BJ80">IF(AH80=VLOOKUP(VALUE(AH$1),{Questions[#],Questions[Answer]},2,FALSE),1,0)</f>
        <v/>
      </c>
      <c r="BK80" s="41">
        <f t="array" ref="BK80">IF(AI80=VLOOKUP(VALUE(AI$1),{Questions[#],Questions[Answer]},2,FALSE),1,0)</f>
        <v/>
      </c>
      <c r="BL80" s="41">
        <f t="array" ref="BL80">IF(AJ80=VLOOKUP(VALUE(AJ$1),{Questions[#],Questions[Answer]},2,FALSE),1,0)</f>
        <v/>
      </c>
      <c r="BM80" s="41">
        <f t="array" ref="BM80">IF(AK80=VLOOKUP(VALUE(AK$1),{Questions[#],Questions[Answer]},2,FALSE),1,0)</f>
        <v/>
      </c>
      <c r="BN80" s="41">
        <f t="array" ref="BN80">IF(AL80=VLOOKUP(VALUE(AL$1),{Questions[#],Questions[Answer]},2,FALSE),1,0)</f>
        <v/>
      </c>
    </row>
    <row r="81" ht="22.5" customHeight="1" s="93">
      <c r="A81" s="42" t="n"/>
      <c r="B81" s="41" t="n"/>
      <c r="C81" s="41" t="n"/>
      <c r="D81" s="43" t="n"/>
      <c r="E81" s="41" t="n"/>
      <c r="F81" s="41" t="n"/>
      <c r="G81" s="11">
        <f>SUM(AM81:BN81)</f>
        <v/>
      </c>
      <c r="H81" s="40">
        <f>G81/9</f>
        <v/>
      </c>
      <c r="I81" s="12">
        <f>0.5+(G81/54)</f>
        <v/>
      </c>
      <c r="J81" s="41">
        <f>COUNTIF(K81:AL81,"")</f>
        <v/>
      </c>
      <c r="K81" s="34" t="n"/>
      <c r="L81" s="35" t="n"/>
      <c r="M81" s="35" t="n"/>
      <c r="N81" s="35" t="n"/>
      <c r="O81" s="35" t="n"/>
      <c r="P81" s="35" t="n"/>
      <c r="Q81" s="35" t="n"/>
      <c r="R81" s="35" t="n"/>
      <c r="S81" s="35" t="n"/>
      <c r="T81" s="35" t="n"/>
      <c r="U81" s="35" t="n"/>
      <c r="V81" s="35" t="n"/>
      <c r="W81" s="35" t="n"/>
      <c r="X81" s="41" t="n"/>
      <c r="Y81" s="35" t="n"/>
      <c r="Z81" s="35" t="n"/>
      <c r="AA81" s="35" t="n"/>
      <c r="AB81" s="35" t="n"/>
      <c r="AC81" s="35" t="n"/>
      <c r="AD81" s="35" t="n"/>
      <c r="AE81" s="41" t="n"/>
      <c r="AF81" s="35" t="n"/>
      <c r="AG81" s="35" t="n"/>
      <c r="AH81" s="35" t="n"/>
      <c r="AI81" s="35" t="n"/>
      <c r="AJ81" s="35" t="n"/>
      <c r="AK81" s="35" t="n"/>
      <c r="AL81" s="38" t="n"/>
      <c r="AM81" s="19">
        <f t="array" ref="AM81">IF(K81=VLOOKUP(VALUE(K$1),{Questions[#],Questions[Answer]},2,FALSE),1,0)</f>
        <v/>
      </c>
      <c r="AN81" s="41">
        <f t="array" ref="AN81">IF(L81=VLOOKUP(VALUE(L$1),{Questions[#],Questions[Answer]},2,FALSE),1,0)</f>
        <v/>
      </c>
      <c r="AO81" s="41">
        <f t="array" ref="AO81">IF(M81=VLOOKUP(VALUE(M$1),{Questions[#],Questions[Answer]},2,FALSE),1,0)</f>
        <v/>
      </c>
      <c r="AP81" s="41">
        <f t="array" ref="AP81">IF(N81=VLOOKUP(VALUE(N$1),{Questions[#],Questions[Answer]},2,FALSE),1,0)</f>
        <v/>
      </c>
      <c r="AQ81" s="41">
        <f t="array" ref="AQ81">IF(O81=VLOOKUP(VALUE(O$1),{Questions[#],Questions[Answer]},2,FALSE),1,0)</f>
        <v/>
      </c>
      <c r="AR81" s="41">
        <f t="array" ref="AR81">IF(P81=VLOOKUP(VALUE(P$1),{Questions[#],Questions[Answer]},2,FALSE),1,0)</f>
        <v/>
      </c>
      <c r="AS81" s="41">
        <f t="array" ref="AS81">IF(Q81=VLOOKUP(VALUE(Q$1),{Questions[#],Questions[Answer]},2,FALSE),1,0)</f>
        <v/>
      </c>
      <c r="AT81" s="41">
        <f t="array" ref="AT81">IF(R81=VLOOKUP(VALUE(R$1),{Questions[#],Questions[Answer]},2,FALSE),1,0)</f>
        <v/>
      </c>
      <c r="AU81" s="41">
        <f t="array" ref="AU81">IF(S81=VLOOKUP(VALUE(S$1),{Questions[#],Questions[Answer]},2,FALSE),1,0)</f>
        <v/>
      </c>
      <c r="AV81" s="41">
        <f t="array" ref="AV81">IF(T81=VLOOKUP(VALUE(T$1),{Questions[#],Questions[Answer]},2,FALSE),1,0)</f>
        <v/>
      </c>
      <c r="AW81" s="41">
        <f t="array" ref="AW81">IF(U81=VLOOKUP(VALUE(U$1),{Questions[#],Questions[Answer]},2,FALSE),1,0)</f>
        <v/>
      </c>
      <c r="AX81" s="41">
        <f t="array" ref="AX81">IF(V81=VLOOKUP(VALUE(V$1),{Questions[#],Questions[Answer]},2,FALSE),1,0)</f>
        <v/>
      </c>
      <c r="AY81" s="41">
        <f t="array" ref="AY81">IF(W81=VLOOKUP(VALUE(W$1),{Questions[#],Questions[Answer]},2,FALSE),1,0)</f>
        <v/>
      </c>
      <c r="AZ81" s="41">
        <f t="array" ref="AZ81">IF(X81=VLOOKUP(VALUE(X$1),{Questions[#],Questions[Answer]},2,FALSE),1,0)</f>
        <v/>
      </c>
      <c r="BA81" s="41">
        <f t="array" ref="BA81">IF(Y81=VLOOKUP(VALUE(Y$1),{Questions[#],Questions[Answer]},2,FALSE),1,0)</f>
        <v/>
      </c>
      <c r="BB81" s="41">
        <f t="array" ref="BB81">IF(Z81=VLOOKUP(VALUE(Z$1),{Questions[#],Questions[Answer]},2,FALSE),1,0)</f>
        <v/>
      </c>
      <c r="BC81" s="41">
        <f t="array" ref="BC81">IF(AA81=VLOOKUP(VALUE(AA$1),{Questions[#],Questions[Answer]},2,FALSE),1,0)</f>
        <v/>
      </c>
      <c r="BD81" s="41">
        <f t="array" ref="BD81">IF(AB81=VLOOKUP(VALUE(AB$1),{Questions[#],Questions[Answer]},2,FALSE),1,0)</f>
        <v/>
      </c>
      <c r="BE81" s="41">
        <f t="array" ref="BE81">IF(AC81=VLOOKUP(VALUE(AC$1),{Questions[#],Questions[Answer]},2,FALSE),1,0)</f>
        <v/>
      </c>
      <c r="BF81" s="41">
        <f t="array" ref="BF81">IF(AD81=VLOOKUP(VALUE(AD$1),{Questions[#],Questions[Answer]},2,FALSE),1,0)</f>
        <v/>
      </c>
      <c r="BG81" s="41">
        <f t="array" ref="BG81">IF(AE81=VLOOKUP(VALUE(AE$1),{Questions[#],Questions[Answer]},2,FALSE),1,0)</f>
        <v/>
      </c>
      <c r="BH81" s="41">
        <f t="array" ref="BH81">IF(AF81=VLOOKUP(VALUE(AF$1),{Questions[#],Questions[Answer]},2,FALSE),1,0)</f>
        <v/>
      </c>
      <c r="BI81" s="41">
        <f t="array" ref="BI81">IF(AG81=VLOOKUP(VALUE(AG$1),{Questions[#],Questions[Answer]},2,FALSE),1,0)</f>
        <v/>
      </c>
      <c r="BJ81" s="41">
        <f t="array" ref="BJ81">IF(AH81=VLOOKUP(VALUE(AH$1),{Questions[#],Questions[Answer]},2,FALSE),1,0)</f>
        <v/>
      </c>
      <c r="BK81" s="41">
        <f t="array" ref="BK81">IF(AI81=VLOOKUP(VALUE(AI$1),{Questions[#],Questions[Answer]},2,FALSE),1,0)</f>
        <v/>
      </c>
      <c r="BL81" s="41">
        <f t="array" ref="BL81">IF(AJ81=VLOOKUP(VALUE(AJ$1),{Questions[#],Questions[Answer]},2,FALSE),1,0)</f>
        <v/>
      </c>
      <c r="BM81" s="41">
        <f t="array" ref="BM81">IF(AK81=VLOOKUP(VALUE(AK$1),{Questions[#],Questions[Answer]},2,FALSE),1,0)</f>
        <v/>
      </c>
      <c r="BN81" s="41">
        <f t="array" ref="BN81">IF(AL81=VLOOKUP(VALUE(AL$1),{Questions[#],Questions[Answer]},2,FALSE),1,0)</f>
        <v/>
      </c>
    </row>
    <row r="82" ht="22.5" customHeight="1" s="93">
      <c r="A82" s="42" t="n"/>
      <c r="B82" s="41" t="n"/>
      <c r="C82" s="41" t="n"/>
      <c r="D82" s="43" t="n"/>
      <c r="E82" s="41" t="n"/>
      <c r="F82" s="41" t="n"/>
      <c r="G82" s="11">
        <f>SUM(AM82:BN82)</f>
        <v/>
      </c>
      <c r="H82" s="40">
        <f>G82/9</f>
        <v/>
      </c>
      <c r="I82" s="12">
        <f>0.5+(G82/54)</f>
        <v/>
      </c>
      <c r="J82" s="41">
        <f>COUNTIF(K82:AL82,"")</f>
        <v/>
      </c>
      <c r="K82" s="34" t="n"/>
      <c r="L82" s="35" t="n"/>
      <c r="M82" s="35" t="n"/>
      <c r="N82" s="35" t="n"/>
      <c r="O82" s="35" t="n"/>
      <c r="P82" s="35" t="n"/>
      <c r="Q82" s="35" t="n"/>
      <c r="R82" s="35" t="n"/>
      <c r="S82" s="35" t="n"/>
      <c r="T82" s="35" t="n"/>
      <c r="U82" s="35" t="n"/>
      <c r="V82" s="35" t="n"/>
      <c r="W82" s="35" t="n"/>
      <c r="X82" s="41" t="n"/>
      <c r="Y82" s="35" t="n"/>
      <c r="Z82" s="35" t="n"/>
      <c r="AA82" s="35" t="n"/>
      <c r="AB82" s="35" t="n"/>
      <c r="AC82" s="35" t="n"/>
      <c r="AD82" s="35" t="n"/>
      <c r="AE82" s="41" t="n"/>
      <c r="AF82" s="35" t="n"/>
      <c r="AG82" s="35" t="n"/>
      <c r="AH82" s="35" t="n"/>
      <c r="AI82" s="35" t="n"/>
      <c r="AJ82" s="35" t="n"/>
      <c r="AK82" s="35" t="n"/>
      <c r="AL82" s="38" t="n"/>
      <c r="AM82" s="19">
        <f t="array" ref="AM82">IF(K82=VLOOKUP(VALUE(K$1),{Questions[#],Questions[Answer]},2,FALSE),1,0)</f>
        <v/>
      </c>
      <c r="AN82" s="41">
        <f t="array" ref="AN82">IF(L82=VLOOKUP(VALUE(L$1),{Questions[#],Questions[Answer]},2,FALSE),1,0)</f>
        <v/>
      </c>
      <c r="AO82" s="41">
        <f t="array" ref="AO82">IF(M82=VLOOKUP(VALUE(M$1),{Questions[#],Questions[Answer]},2,FALSE),1,0)</f>
        <v/>
      </c>
      <c r="AP82" s="41">
        <f t="array" ref="AP82">IF(N82=VLOOKUP(VALUE(N$1),{Questions[#],Questions[Answer]},2,FALSE),1,0)</f>
        <v/>
      </c>
      <c r="AQ82" s="41">
        <f t="array" ref="AQ82">IF(O82=VLOOKUP(VALUE(O$1),{Questions[#],Questions[Answer]},2,FALSE),1,0)</f>
        <v/>
      </c>
      <c r="AR82" s="41">
        <f t="array" ref="AR82">IF(P82=VLOOKUP(VALUE(P$1),{Questions[#],Questions[Answer]},2,FALSE),1,0)</f>
        <v/>
      </c>
      <c r="AS82" s="41">
        <f t="array" ref="AS82">IF(Q82=VLOOKUP(VALUE(Q$1),{Questions[#],Questions[Answer]},2,FALSE),1,0)</f>
        <v/>
      </c>
      <c r="AT82" s="41">
        <f t="array" ref="AT82">IF(R82=VLOOKUP(VALUE(R$1),{Questions[#],Questions[Answer]},2,FALSE),1,0)</f>
        <v/>
      </c>
      <c r="AU82" s="41">
        <f t="array" ref="AU82">IF(S82=VLOOKUP(VALUE(S$1),{Questions[#],Questions[Answer]},2,FALSE),1,0)</f>
        <v/>
      </c>
      <c r="AV82" s="41">
        <f t="array" ref="AV82">IF(T82=VLOOKUP(VALUE(T$1),{Questions[#],Questions[Answer]},2,FALSE),1,0)</f>
        <v/>
      </c>
      <c r="AW82" s="41">
        <f t="array" ref="AW82">IF(U82=VLOOKUP(VALUE(U$1),{Questions[#],Questions[Answer]},2,FALSE),1,0)</f>
        <v/>
      </c>
      <c r="AX82" s="41">
        <f t="array" ref="AX82">IF(V82=VLOOKUP(VALUE(V$1),{Questions[#],Questions[Answer]},2,FALSE),1,0)</f>
        <v/>
      </c>
      <c r="AY82" s="41">
        <f t="array" ref="AY82">IF(W82=VLOOKUP(VALUE(W$1),{Questions[#],Questions[Answer]},2,FALSE),1,0)</f>
        <v/>
      </c>
      <c r="AZ82" s="41">
        <f t="array" ref="AZ82">IF(X82=VLOOKUP(VALUE(X$1),{Questions[#],Questions[Answer]},2,FALSE),1,0)</f>
        <v/>
      </c>
      <c r="BA82" s="41">
        <f t="array" ref="BA82">IF(Y82=VLOOKUP(VALUE(Y$1),{Questions[#],Questions[Answer]},2,FALSE),1,0)</f>
        <v/>
      </c>
      <c r="BB82" s="41">
        <f t="array" ref="BB82">IF(Z82=VLOOKUP(VALUE(Z$1),{Questions[#],Questions[Answer]},2,FALSE),1,0)</f>
        <v/>
      </c>
      <c r="BC82" s="41">
        <f t="array" ref="BC82">IF(AA82=VLOOKUP(VALUE(AA$1),{Questions[#],Questions[Answer]},2,FALSE),1,0)</f>
        <v/>
      </c>
      <c r="BD82" s="41">
        <f t="array" ref="BD82">IF(AB82=VLOOKUP(VALUE(AB$1),{Questions[#],Questions[Answer]},2,FALSE),1,0)</f>
        <v/>
      </c>
      <c r="BE82" s="41">
        <f t="array" ref="BE82">IF(AC82=VLOOKUP(VALUE(AC$1),{Questions[#],Questions[Answer]},2,FALSE),1,0)</f>
        <v/>
      </c>
      <c r="BF82" s="41">
        <f t="array" ref="BF82">IF(AD82=VLOOKUP(VALUE(AD$1),{Questions[#],Questions[Answer]},2,FALSE),1,0)</f>
        <v/>
      </c>
      <c r="BG82" s="41">
        <f t="array" ref="BG82">IF(AE82=VLOOKUP(VALUE(AE$1),{Questions[#],Questions[Answer]},2,FALSE),1,0)</f>
        <v/>
      </c>
      <c r="BH82" s="41">
        <f t="array" ref="BH82">IF(AF82=VLOOKUP(VALUE(AF$1),{Questions[#],Questions[Answer]},2,FALSE),1,0)</f>
        <v/>
      </c>
      <c r="BI82" s="41">
        <f t="array" ref="BI82">IF(AG82=VLOOKUP(VALUE(AG$1),{Questions[#],Questions[Answer]},2,FALSE),1,0)</f>
        <v/>
      </c>
      <c r="BJ82" s="41">
        <f t="array" ref="BJ82">IF(AH82=VLOOKUP(VALUE(AH$1),{Questions[#],Questions[Answer]},2,FALSE),1,0)</f>
        <v/>
      </c>
      <c r="BK82" s="41">
        <f t="array" ref="BK82">IF(AI82=VLOOKUP(VALUE(AI$1),{Questions[#],Questions[Answer]},2,FALSE),1,0)</f>
        <v/>
      </c>
      <c r="BL82" s="41">
        <f t="array" ref="BL82">IF(AJ82=VLOOKUP(VALUE(AJ$1),{Questions[#],Questions[Answer]},2,FALSE),1,0)</f>
        <v/>
      </c>
      <c r="BM82" s="41">
        <f t="array" ref="BM82">IF(AK82=VLOOKUP(VALUE(AK$1),{Questions[#],Questions[Answer]},2,FALSE),1,0)</f>
        <v/>
      </c>
      <c r="BN82" s="41">
        <f t="array" ref="BN82">IF(AL82=VLOOKUP(VALUE(AL$1),{Questions[#],Questions[Answer]},2,FALSE),1,0)</f>
        <v/>
      </c>
    </row>
    <row r="83" ht="22.5" customHeight="1" s="93">
      <c r="A83" s="42" t="n"/>
      <c r="B83" s="41" t="n"/>
      <c r="C83" s="41" t="n"/>
      <c r="D83" s="43" t="n"/>
      <c r="E83" s="41" t="n"/>
      <c r="F83" s="41" t="n"/>
      <c r="G83" s="11">
        <f>SUM(AM83:BN83)</f>
        <v/>
      </c>
      <c r="H83" s="40">
        <f>G83/9</f>
        <v/>
      </c>
      <c r="I83" s="12">
        <f>0.5+(G83/54)</f>
        <v/>
      </c>
      <c r="J83" s="41">
        <f>COUNTIF(K83:AL83,"")</f>
        <v/>
      </c>
      <c r="K83" s="34" t="n"/>
      <c r="L83" s="35" t="n"/>
      <c r="M83" s="35" t="n"/>
      <c r="N83" s="35" t="n"/>
      <c r="O83" s="35" t="n"/>
      <c r="P83" s="35" t="n"/>
      <c r="Q83" s="35" t="n"/>
      <c r="R83" s="35" t="n"/>
      <c r="S83" s="35" t="n"/>
      <c r="T83" s="35" t="n"/>
      <c r="U83" s="35" t="n"/>
      <c r="V83" s="35" t="n"/>
      <c r="W83" s="35" t="n"/>
      <c r="X83" s="41" t="n"/>
      <c r="Y83" s="35" t="n"/>
      <c r="Z83" s="35" t="n"/>
      <c r="AA83" s="35" t="n"/>
      <c r="AB83" s="35" t="n"/>
      <c r="AC83" s="35" t="n"/>
      <c r="AD83" s="35" t="n"/>
      <c r="AE83" s="41" t="n"/>
      <c r="AF83" s="35" t="n"/>
      <c r="AG83" s="35" t="n"/>
      <c r="AH83" s="35" t="n"/>
      <c r="AI83" s="35" t="n"/>
      <c r="AJ83" s="35" t="n"/>
      <c r="AK83" s="35" t="n"/>
      <c r="AL83" s="38" t="n"/>
      <c r="AM83" s="19">
        <f t="array" ref="AM83">IF(K83=VLOOKUP(VALUE(K$1),{Questions[#],Questions[Answer]},2,FALSE),1,0)</f>
        <v/>
      </c>
      <c r="AN83" s="41">
        <f t="array" ref="AN83">IF(L83=VLOOKUP(VALUE(L$1),{Questions[#],Questions[Answer]},2,FALSE),1,0)</f>
        <v/>
      </c>
      <c r="AO83" s="41">
        <f t="array" ref="AO83">IF(M83=VLOOKUP(VALUE(M$1),{Questions[#],Questions[Answer]},2,FALSE),1,0)</f>
        <v/>
      </c>
      <c r="AP83" s="41">
        <f t="array" ref="AP83">IF(N83=VLOOKUP(VALUE(N$1),{Questions[#],Questions[Answer]},2,FALSE),1,0)</f>
        <v/>
      </c>
      <c r="AQ83" s="41">
        <f t="array" ref="AQ83">IF(O83=VLOOKUP(VALUE(O$1),{Questions[#],Questions[Answer]},2,FALSE),1,0)</f>
        <v/>
      </c>
      <c r="AR83" s="41">
        <f t="array" ref="AR83">IF(P83=VLOOKUP(VALUE(P$1),{Questions[#],Questions[Answer]},2,FALSE),1,0)</f>
        <v/>
      </c>
      <c r="AS83" s="41">
        <f t="array" ref="AS83">IF(Q83=VLOOKUP(VALUE(Q$1),{Questions[#],Questions[Answer]},2,FALSE),1,0)</f>
        <v/>
      </c>
      <c r="AT83" s="41">
        <f t="array" ref="AT83">IF(R83=VLOOKUP(VALUE(R$1),{Questions[#],Questions[Answer]},2,FALSE),1,0)</f>
        <v/>
      </c>
      <c r="AU83" s="41">
        <f t="array" ref="AU83">IF(S83=VLOOKUP(VALUE(S$1),{Questions[#],Questions[Answer]},2,FALSE),1,0)</f>
        <v/>
      </c>
      <c r="AV83" s="41">
        <f t="array" ref="AV83">IF(T83=VLOOKUP(VALUE(T$1),{Questions[#],Questions[Answer]},2,FALSE),1,0)</f>
        <v/>
      </c>
      <c r="AW83" s="41">
        <f t="array" ref="AW83">IF(U83=VLOOKUP(VALUE(U$1),{Questions[#],Questions[Answer]},2,FALSE),1,0)</f>
        <v/>
      </c>
      <c r="AX83" s="41">
        <f t="array" ref="AX83">IF(V83=VLOOKUP(VALUE(V$1),{Questions[#],Questions[Answer]},2,FALSE),1,0)</f>
        <v/>
      </c>
      <c r="AY83" s="41">
        <f t="array" ref="AY83">IF(W83=VLOOKUP(VALUE(W$1),{Questions[#],Questions[Answer]},2,FALSE),1,0)</f>
        <v/>
      </c>
      <c r="AZ83" s="41">
        <f t="array" ref="AZ83">IF(X83=VLOOKUP(VALUE(X$1),{Questions[#],Questions[Answer]},2,FALSE),1,0)</f>
        <v/>
      </c>
      <c r="BA83" s="41">
        <f t="array" ref="BA83">IF(Y83=VLOOKUP(VALUE(Y$1),{Questions[#],Questions[Answer]},2,FALSE),1,0)</f>
        <v/>
      </c>
      <c r="BB83" s="41">
        <f t="array" ref="BB83">IF(Z83=VLOOKUP(VALUE(Z$1),{Questions[#],Questions[Answer]},2,FALSE),1,0)</f>
        <v/>
      </c>
      <c r="BC83" s="41">
        <f t="array" ref="BC83">IF(AA83=VLOOKUP(VALUE(AA$1),{Questions[#],Questions[Answer]},2,FALSE),1,0)</f>
        <v/>
      </c>
      <c r="BD83" s="41">
        <f t="array" ref="BD83">IF(AB83=VLOOKUP(VALUE(AB$1),{Questions[#],Questions[Answer]},2,FALSE),1,0)</f>
        <v/>
      </c>
      <c r="BE83" s="41">
        <f t="array" ref="BE83">IF(AC83=VLOOKUP(VALUE(AC$1),{Questions[#],Questions[Answer]},2,FALSE),1,0)</f>
        <v/>
      </c>
      <c r="BF83" s="41">
        <f t="array" ref="BF83">IF(AD83=VLOOKUP(VALUE(AD$1),{Questions[#],Questions[Answer]},2,FALSE),1,0)</f>
        <v/>
      </c>
      <c r="BG83" s="41">
        <f t="array" ref="BG83">IF(AE83=VLOOKUP(VALUE(AE$1),{Questions[#],Questions[Answer]},2,FALSE),1,0)</f>
        <v/>
      </c>
      <c r="BH83" s="41">
        <f t="array" ref="BH83">IF(AF83=VLOOKUP(VALUE(AF$1),{Questions[#],Questions[Answer]},2,FALSE),1,0)</f>
        <v/>
      </c>
      <c r="BI83" s="41">
        <f t="array" ref="BI83">IF(AG83=VLOOKUP(VALUE(AG$1),{Questions[#],Questions[Answer]},2,FALSE),1,0)</f>
        <v/>
      </c>
      <c r="BJ83" s="41">
        <f t="array" ref="BJ83">IF(AH83=VLOOKUP(VALUE(AH$1),{Questions[#],Questions[Answer]},2,FALSE),1,0)</f>
        <v/>
      </c>
      <c r="BK83" s="41">
        <f t="array" ref="BK83">IF(AI83=VLOOKUP(VALUE(AI$1),{Questions[#],Questions[Answer]},2,FALSE),1,0)</f>
        <v/>
      </c>
      <c r="BL83" s="41">
        <f t="array" ref="BL83">IF(AJ83=VLOOKUP(VALUE(AJ$1),{Questions[#],Questions[Answer]},2,FALSE),1,0)</f>
        <v/>
      </c>
      <c r="BM83" s="41">
        <f t="array" ref="BM83">IF(AK83=VLOOKUP(VALUE(AK$1),{Questions[#],Questions[Answer]},2,FALSE),1,0)</f>
        <v/>
      </c>
      <c r="BN83" s="41">
        <f t="array" ref="BN83">IF(AL83=VLOOKUP(VALUE(AL$1),{Questions[#],Questions[Answer]},2,FALSE),1,0)</f>
        <v/>
      </c>
    </row>
    <row r="84" ht="22.5" customHeight="1" s="93">
      <c r="A84" s="42" t="n"/>
      <c r="B84" s="41" t="n"/>
      <c r="C84" s="41" t="n"/>
      <c r="D84" s="43" t="n"/>
      <c r="E84" s="41" t="n"/>
      <c r="F84" s="41" t="n"/>
      <c r="G84" s="11">
        <f>SUM(AM84:BN84)</f>
        <v/>
      </c>
      <c r="H84" s="40">
        <f>G84/9</f>
        <v/>
      </c>
      <c r="I84" s="12">
        <f>0.5+(G84/54)</f>
        <v/>
      </c>
      <c r="J84" s="41">
        <f>COUNTIF(K84:AL84,"")</f>
        <v/>
      </c>
      <c r="K84" s="34" t="n"/>
      <c r="L84" s="35" t="n"/>
      <c r="M84" s="35" t="n"/>
      <c r="N84" s="35" t="n"/>
      <c r="O84" s="35" t="n"/>
      <c r="P84" s="35" t="n"/>
      <c r="Q84" s="35" t="n"/>
      <c r="R84" s="35" t="n"/>
      <c r="S84" s="35" t="n"/>
      <c r="T84" s="35" t="n"/>
      <c r="U84" s="35" t="n"/>
      <c r="V84" s="35" t="n"/>
      <c r="W84" s="35" t="n"/>
      <c r="X84" s="41" t="n"/>
      <c r="Y84" s="35" t="n"/>
      <c r="Z84" s="35" t="n"/>
      <c r="AA84" s="35" t="n"/>
      <c r="AB84" s="35" t="n"/>
      <c r="AC84" s="35" t="n"/>
      <c r="AD84" s="35" t="n"/>
      <c r="AE84" s="41" t="n"/>
      <c r="AF84" s="35" t="n"/>
      <c r="AG84" s="35" t="n"/>
      <c r="AH84" s="35" t="n"/>
      <c r="AI84" s="35" t="n"/>
      <c r="AJ84" s="35" t="n"/>
      <c r="AK84" s="35" t="n"/>
      <c r="AL84" s="38" t="n"/>
      <c r="AM84" s="19">
        <f t="array" ref="AM84">IF(K84=VLOOKUP(VALUE(K$1),{Questions[#],Questions[Answer]},2,FALSE),1,0)</f>
        <v/>
      </c>
      <c r="AN84" s="41">
        <f t="array" ref="AN84">IF(L84=VLOOKUP(VALUE(L$1),{Questions[#],Questions[Answer]},2,FALSE),1,0)</f>
        <v/>
      </c>
      <c r="AO84" s="41">
        <f t="array" ref="AO84">IF(M84=VLOOKUP(VALUE(M$1),{Questions[#],Questions[Answer]},2,FALSE),1,0)</f>
        <v/>
      </c>
      <c r="AP84" s="41">
        <f t="array" ref="AP84">IF(N84=VLOOKUP(VALUE(N$1),{Questions[#],Questions[Answer]},2,FALSE),1,0)</f>
        <v/>
      </c>
      <c r="AQ84" s="41">
        <f t="array" ref="AQ84">IF(O84=VLOOKUP(VALUE(O$1),{Questions[#],Questions[Answer]},2,FALSE),1,0)</f>
        <v/>
      </c>
      <c r="AR84" s="41">
        <f t="array" ref="AR84">IF(P84=VLOOKUP(VALUE(P$1),{Questions[#],Questions[Answer]},2,FALSE),1,0)</f>
        <v/>
      </c>
      <c r="AS84" s="41">
        <f t="array" ref="AS84">IF(Q84=VLOOKUP(VALUE(Q$1),{Questions[#],Questions[Answer]},2,FALSE),1,0)</f>
        <v/>
      </c>
      <c r="AT84" s="41">
        <f t="array" ref="AT84">IF(R84=VLOOKUP(VALUE(R$1),{Questions[#],Questions[Answer]},2,FALSE),1,0)</f>
        <v/>
      </c>
      <c r="AU84" s="41">
        <f t="array" ref="AU84">IF(S84=VLOOKUP(VALUE(S$1),{Questions[#],Questions[Answer]},2,FALSE),1,0)</f>
        <v/>
      </c>
      <c r="AV84" s="41">
        <f t="array" ref="AV84">IF(T84=VLOOKUP(VALUE(T$1),{Questions[#],Questions[Answer]},2,FALSE),1,0)</f>
        <v/>
      </c>
      <c r="AW84" s="41">
        <f t="array" ref="AW84">IF(U84=VLOOKUP(VALUE(U$1),{Questions[#],Questions[Answer]},2,FALSE),1,0)</f>
        <v/>
      </c>
      <c r="AX84" s="41">
        <f t="array" ref="AX84">IF(V84=VLOOKUP(VALUE(V$1),{Questions[#],Questions[Answer]},2,FALSE),1,0)</f>
        <v/>
      </c>
      <c r="AY84" s="41">
        <f t="array" ref="AY84">IF(W84=VLOOKUP(VALUE(W$1),{Questions[#],Questions[Answer]},2,FALSE),1,0)</f>
        <v/>
      </c>
      <c r="AZ84" s="41">
        <f t="array" ref="AZ84">IF(X84=VLOOKUP(VALUE(X$1),{Questions[#],Questions[Answer]},2,FALSE),1,0)</f>
        <v/>
      </c>
      <c r="BA84" s="41">
        <f t="array" ref="BA84">IF(Y84=VLOOKUP(VALUE(Y$1),{Questions[#],Questions[Answer]},2,FALSE),1,0)</f>
        <v/>
      </c>
      <c r="BB84" s="41">
        <f t="array" ref="BB84">IF(Z84=VLOOKUP(VALUE(Z$1),{Questions[#],Questions[Answer]},2,FALSE),1,0)</f>
        <v/>
      </c>
      <c r="BC84" s="41">
        <f t="array" ref="BC84">IF(AA84=VLOOKUP(VALUE(AA$1),{Questions[#],Questions[Answer]},2,FALSE),1,0)</f>
        <v/>
      </c>
      <c r="BD84" s="41">
        <f t="array" ref="BD84">IF(AB84=VLOOKUP(VALUE(AB$1),{Questions[#],Questions[Answer]},2,FALSE),1,0)</f>
        <v/>
      </c>
      <c r="BE84" s="41">
        <f t="array" ref="BE84">IF(AC84=VLOOKUP(VALUE(AC$1),{Questions[#],Questions[Answer]},2,FALSE),1,0)</f>
        <v/>
      </c>
      <c r="BF84" s="41">
        <f t="array" ref="BF84">IF(AD84=VLOOKUP(VALUE(AD$1),{Questions[#],Questions[Answer]},2,FALSE),1,0)</f>
        <v/>
      </c>
      <c r="BG84" s="41">
        <f t="array" ref="BG84">IF(AE84=VLOOKUP(VALUE(AE$1),{Questions[#],Questions[Answer]},2,FALSE),1,0)</f>
        <v/>
      </c>
      <c r="BH84" s="41">
        <f t="array" ref="BH84">IF(AF84=VLOOKUP(VALUE(AF$1),{Questions[#],Questions[Answer]},2,FALSE),1,0)</f>
        <v/>
      </c>
      <c r="BI84" s="41">
        <f t="array" ref="BI84">IF(AG84=VLOOKUP(VALUE(AG$1),{Questions[#],Questions[Answer]},2,FALSE),1,0)</f>
        <v/>
      </c>
      <c r="BJ84" s="41">
        <f t="array" ref="BJ84">IF(AH84=VLOOKUP(VALUE(AH$1),{Questions[#],Questions[Answer]},2,FALSE),1,0)</f>
        <v/>
      </c>
      <c r="BK84" s="41">
        <f t="array" ref="BK84">IF(AI84=VLOOKUP(VALUE(AI$1),{Questions[#],Questions[Answer]},2,FALSE),1,0)</f>
        <v/>
      </c>
      <c r="BL84" s="41">
        <f t="array" ref="BL84">IF(AJ84=VLOOKUP(VALUE(AJ$1),{Questions[#],Questions[Answer]},2,FALSE),1,0)</f>
        <v/>
      </c>
      <c r="BM84" s="41">
        <f t="array" ref="BM84">IF(AK84=VLOOKUP(VALUE(AK$1),{Questions[#],Questions[Answer]},2,FALSE),1,0)</f>
        <v/>
      </c>
      <c r="BN84" s="41">
        <f t="array" ref="BN84">IF(AL84=VLOOKUP(VALUE(AL$1),{Questions[#],Questions[Answer]},2,FALSE),1,0)</f>
        <v/>
      </c>
    </row>
    <row r="85" ht="22.5" customHeight="1" s="93">
      <c r="A85" s="42" t="n"/>
      <c r="B85" s="41" t="n"/>
      <c r="C85" s="41" t="n"/>
      <c r="D85" s="43" t="n"/>
      <c r="E85" s="41" t="n"/>
      <c r="F85" s="41" t="n"/>
      <c r="G85" s="11">
        <f>SUM(AM85:BN85)</f>
        <v/>
      </c>
      <c r="H85" s="40">
        <f>G85/9</f>
        <v/>
      </c>
      <c r="I85" s="12">
        <f>0.5+(G85/54)</f>
        <v/>
      </c>
      <c r="J85" s="41">
        <f>COUNTIF(K85:AL85,"")</f>
        <v/>
      </c>
      <c r="K85" s="34" t="n"/>
      <c r="L85" s="35" t="n"/>
      <c r="M85" s="35" t="n"/>
      <c r="N85" s="35" t="n"/>
      <c r="O85" s="35" t="n"/>
      <c r="P85" s="35" t="n"/>
      <c r="Q85" s="35" t="n"/>
      <c r="R85" s="35" t="n"/>
      <c r="S85" s="35" t="n"/>
      <c r="T85" s="35" t="n"/>
      <c r="U85" s="35" t="n"/>
      <c r="V85" s="35" t="n"/>
      <c r="W85" s="35" t="n"/>
      <c r="X85" s="41" t="n"/>
      <c r="Y85" s="35" t="n"/>
      <c r="Z85" s="35" t="n"/>
      <c r="AA85" s="35" t="n"/>
      <c r="AB85" s="35" t="n"/>
      <c r="AC85" s="35" t="n"/>
      <c r="AD85" s="35" t="n"/>
      <c r="AE85" s="41" t="n"/>
      <c r="AF85" s="35" t="n"/>
      <c r="AG85" s="35" t="n"/>
      <c r="AH85" s="35" t="n"/>
      <c r="AI85" s="35" t="n"/>
      <c r="AJ85" s="35" t="n"/>
      <c r="AK85" s="35" t="n"/>
      <c r="AL85" s="38" t="n"/>
      <c r="AM85" s="19">
        <f t="array" ref="AM85">IF(K85=VLOOKUP(VALUE(K$1),{Questions[#],Questions[Answer]},2,FALSE),1,0)</f>
        <v/>
      </c>
      <c r="AN85" s="41">
        <f t="array" ref="AN85">IF(L85=VLOOKUP(VALUE(L$1),{Questions[#],Questions[Answer]},2,FALSE),1,0)</f>
        <v/>
      </c>
      <c r="AO85" s="41">
        <f t="array" ref="AO85">IF(M85=VLOOKUP(VALUE(M$1),{Questions[#],Questions[Answer]},2,FALSE),1,0)</f>
        <v/>
      </c>
      <c r="AP85" s="41">
        <f t="array" ref="AP85">IF(N85=VLOOKUP(VALUE(N$1),{Questions[#],Questions[Answer]},2,FALSE),1,0)</f>
        <v/>
      </c>
      <c r="AQ85" s="41">
        <f t="array" ref="AQ85">IF(O85=VLOOKUP(VALUE(O$1),{Questions[#],Questions[Answer]},2,FALSE),1,0)</f>
        <v/>
      </c>
      <c r="AR85" s="41">
        <f t="array" ref="AR85">IF(P85=VLOOKUP(VALUE(P$1),{Questions[#],Questions[Answer]},2,FALSE),1,0)</f>
        <v/>
      </c>
      <c r="AS85" s="41">
        <f t="array" ref="AS85">IF(Q85=VLOOKUP(VALUE(Q$1),{Questions[#],Questions[Answer]},2,FALSE),1,0)</f>
        <v/>
      </c>
      <c r="AT85" s="41">
        <f t="array" ref="AT85">IF(R85=VLOOKUP(VALUE(R$1),{Questions[#],Questions[Answer]},2,FALSE),1,0)</f>
        <v/>
      </c>
      <c r="AU85" s="41">
        <f t="array" ref="AU85">IF(S85=VLOOKUP(VALUE(S$1),{Questions[#],Questions[Answer]},2,FALSE),1,0)</f>
        <v/>
      </c>
      <c r="AV85" s="41">
        <f t="array" ref="AV85">IF(T85=VLOOKUP(VALUE(T$1),{Questions[#],Questions[Answer]},2,FALSE),1,0)</f>
        <v/>
      </c>
      <c r="AW85" s="41">
        <f t="array" ref="AW85">IF(U85=VLOOKUP(VALUE(U$1),{Questions[#],Questions[Answer]},2,FALSE),1,0)</f>
        <v/>
      </c>
      <c r="AX85" s="41">
        <f t="array" ref="AX85">IF(V85=VLOOKUP(VALUE(V$1),{Questions[#],Questions[Answer]},2,FALSE),1,0)</f>
        <v/>
      </c>
      <c r="AY85" s="41">
        <f t="array" ref="AY85">IF(W85=VLOOKUP(VALUE(W$1),{Questions[#],Questions[Answer]},2,FALSE),1,0)</f>
        <v/>
      </c>
      <c r="AZ85" s="41">
        <f t="array" ref="AZ85">IF(X85=VLOOKUP(VALUE(X$1),{Questions[#],Questions[Answer]},2,FALSE),1,0)</f>
        <v/>
      </c>
      <c r="BA85" s="41">
        <f t="array" ref="BA85">IF(Y85=VLOOKUP(VALUE(Y$1),{Questions[#],Questions[Answer]},2,FALSE),1,0)</f>
        <v/>
      </c>
      <c r="BB85" s="41">
        <f t="array" ref="BB85">IF(Z85=VLOOKUP(VALUE(Z$1),{Questions[#],Questions[Answer]},2,FALSE),1,0)</f>
        <v/>
      </c>
      <c r="BC85" s="41">
        <f t="array" ref="BC85">IF(AA85=VLOOKUP(VALUE(AA$1),{Questions[#],Questions[Answer]},2,FALSE),1,0)</f>
        <v/>
      </c>
      <c r="BD85" s="41">
        <f t="array" ref="BD85">IF(AB85=VLOOKUP(VALUE(AB$1),{Questions[#],Questions[Answer]},2,FALSE),1,0)</f>
        <v/>
      </c>
      <c r="BE85" s="41">
        <f t="array" ref="BE85">IF(AC85=VLOOKUP(VALUE(AC$1),{Questions[#],Questions[Answer]},2,FALSE),1,0)</f>
        <v/>
      </c>
      <c r="BF85" s="41">
        <f t="array" ref="BF85">IF(AD85=VLOOKUP(VALUE(AD$1),{Questions[#],Questions[Answer]},2,FALSE),1,0)</f>
        <v/>
      </c>
      <c r="BG85" s="41">
        <f t="array" ref="BG85">IF(AE85=VLOOKUP(VALUE(AE$1),{Questions[#],Questions[Answer]},2,FALSE),1,0)</f>
        <v/>
      </c>
      <c r="BH85" s="41">
        <f t="array" ref="BH85">IF(AF85=VLOOKUP(VALUE(AF$1),{Questions[#],Questions[Answer]},2,FALSE),1,0)</f>
        <v/>
      </c>
      <c r="BI85" s="41">
        <f t="array" ref="BI85">IF(AG85=VLOOKUP(VALUE(AG$1),{Questions[#],Questions[Answer]},2,FALSE),1,0)</f>
        <v/>
      </c>
      <c r="BJ85" s="41">
        <f t="array" ref="BJ85">IF(AH85=VLOOKUP(VALUE(AH$1),{Questions[#],Questions[Answer]},2,FALSE),1,0)</f>
        <v/>
      </c>
      <c r="BK85" s="41">
        <f t="array" ref="BK85">IF(AI85=VLOOKUP(VALUE(AI$1),{Questions[#],Questions[Answer]},2,FALSE),1,0)</f>
        <v/>
      </c>
      <c r="BL85" s="41">
        <f t="array" ref="BL85">IF(AJ85=VLOOKUP(VALUE(AJ$1),{Questions[#],Questions[Answer]},2,FALSE),1,0)</f>
        <v/>
      </c>
      <c r="BM85" s="41">
        <f t="array" ref="BM85">IF(AK85=VLOOKUP(VALUE(AK$1),{Questions[#],Questions[Answer]},2,FALSE),1,0)</f>
        <v/>
      </c>
      <c r="BN85" s="41">
        <f t="array" ref="BN85">IF(AL85=VLOOKUP(VALUE(AL$1),{Questions[#],Questions[Answer]},2,FALSE),1,0)</f>
        <v/>
      </c>
    </row>
    <row r="86" ht="22.5" customHeight="1" s="93">
      <c r="A86" s="42" t="n"/>
      <c r="B86" s="41" t="n"/>
      <c r="C86" s="41" t="n"/>
      <c r="D86" s="43" t="n"/>
      <c r="E86" s="41" t="n"/>
      <c r="F86" s="41" t="n"/>
      <c r="G86" s="11">
        <f>SUM(AM86:BN86)</f>
        <v/>
      </c>
      <c r="H86" s="40">
        <f>G86/9</f>
        <v/>
      </c>
      <c r="I86" s="12">
        <f>0.5+(G86/54)</f>
        <v/>
      </c>
      <c r="J86" s="41">
        <f>COUNTIF(K86:AL86,"")</f>
        <v/>
      </c>
      <c r="K86" s="34" t="n"/>
      <c r="L86" s="35" t="n"/>
      <c r="M86" s="35" t="n"/>
      <c r="N86" s="35" t="n"/>
      <c r="O86" s="35" t="n"/>
      <c r="P86" s="35" t="n"/>
      <c r="Q86" s="35" t="n"/>
      <c r="R86" s="35" t="n"/>
      <c r="S86" s="35" t="n"/>
      <c r="T86" s="35" t="n"/>
      <c r="U86" s="35" t="n"/>
      <c r="V86" s="35" t="n"/>
      <c r="W86" s="35" t="n"/>
      <c r="X86" s="41" t="n"/>
      <c r="Y86" s="35" t="n"/>
      <c r="Z86" s="35" t="n"/>
      <c r="AA86" s="35" t="n"/>
      <c r="AB86" s="35" t="n"/>
      <c r="AC86" s="35" t="n"/>
      <c r="AD86" s="35" t="n"/>
      <c r="AE86" s="41" t="n"/>
      <c r="AF86" s="35" t="n"/>
      <c r="AG86" s="35" t="n"/>
      <c r="AH86" s="35" t="n"/>
      <c r="AI86" s="35" t="n"/>
      <c r="AJ86" s="35" t="n"/>
      <c r="AK86" s="35" t="n"/>
      <c r="AL86" s="38" t="n"/>
      <c r="AM86" s="19">
        <f t="array" ref="AM86">IF(K86=VLOOKUP(VALUE(K$1),{Questions[#],Questions[Answer]},2,FALSE),1,0)</f>
        <v/>
      </c>
      <c r="AN86" s="41">
        <f t="array" ref="AN86">IF(L86=VLOOKUP(VALUE(L$1),{Questions[#],Questions[Answer]},2,FALSE),1,0)</f>
        <v/>
      </c>
      <c r="AO86" s="41">
        <f t="array" ref="AO86">IF(M86=VLOOKUP(VALUE(M$1),{Questions[#],Questions[Answer]},2,FALSE),1,0)</f>
        <v/>
      </c>
      <c r="AP86" s="41">
        <f t="array" ref="AP86">IF(N86=VLOOKUP(VALUE(N$1),{Questions[#],Questions[Answer]},2,FALSE),1,0)</f>
        <v/>
      </c>
      <c r="AQ86" s="41">
        <f t="array" ref="AQ86">IF(O86=VLOOKUP(VALUE(O$1),{Questions[#],Questions[Answer]},2,FALSE),1,0)</f>
        <v/>
      </c>
      <c r="AR86" s="41">
        <f t="array" ref="AR86">IF(P86=VLOOKUP(VALUE(P$1),{Questions[#],Questions[Answer]},2,FALSE),1,0)</f>
        <v/>
      </c>
      <c r="AS86" s="41">
        <f t="array" ref="AS86">IF(Q86=VLOOKUP(VALUE(Q$1),{Questions[#],Questions[Answer]},2,FALSE),1,0)</f>
        <v/>
      </c>
      <c r="AT86" s="41">
        <f t="array" ref="AT86">IF(R86=VLOOKUP(VALUE(R$1),{Questions[#],Questions[Answer]},2,FALSE),1,0)</f>
        <v/>
      </c>
      <c r="AU86" s="41">
        <f t="array" ref="AU86">IF(S86=VLOOKUP(VALUE(S$1),{Questions[#],Questions[Answer]},2,FALSE),1,0)</f>
        <v/>
      </c>
      <c r="AV86" s="41">
        <f t="array" ref="AV86">IF(T86=VLOOKUP(VALUE(T$1),{Questions[#],Questions[Answer]},2,FALSE),1,0)</f>
        <v/>
      </c>
      <c r="AW86" s="41">
        <f t="array" ref="AW86">IF(U86=VLOOKUP(VALUE(U$1),{Questions[#],Questions[Answer]},2,FALSE),1,0)</f>
        <v/>
      </c>
      <c r="AX86" s="41">
        <f t="array" ref="AX86">IF(V86=VLOOKUP(VALUE(V$1),{Questions[#],Questions[Answer]},2,FALSE),1,0)</f>
        <v/>
      </c>
      <c r="AY86" s="41">
        <f t="array" ref="AY86">IF(W86=VLOOKUP(VALUE(W$1),{Questions[#],Questions[Answer]},2,FALSE),1,0)</f>
        <v/>
      </c>
      <c r="AZ86" s="41">
        <f t="array" ref="AZ86">IF(X86=VLOOKUP(VALUE(X$1),{Questions[#],Questions[Answer]},2,FALSE),1,0)</f>
        <v/>
      </c>
      <c r="BA86" s="41">
        <f t="array" ref="BA86">IF(Y86=VLOOKUP(VALUE(Y$1),{Questions[#],Questions[Answer]},2,FALSE),1,0)</f>
        <v/>
      </c>
      <c r="BB86" s="41">
        <f t="array" ref="BB86">IF(Z86=VLOOKUP(VALUE(Z$1),{Questions[#],Questions[Answer]},2,FALSE),1,0)</f>
        <v/>
      </c>
      <c r="BC86" s="41">
        <f t="array" ref="BC86">IF(AA86=VLOOKUP(VALUE(AA$1),{Questions[#],Questions[Answer]},2,FALSE),1,0)</f>
        <v/>
      </c>
      <c r="BD86" s="41">
        <f t="array" ref="BD86">IF(AB86=VLOOKUP(VALUE(AB$1),{Questions[#],Questions[Answer]},2,FALSE),1,0)</f>
        <v/>
      </c>
      <c r="BE86" s="41">
        <f t="array" ref="BE86">IF(AC86=VLOOKUP(VALUE(AC$1),{Questions[#],Questions[Answer]},2,FALSE),1,0)</f>
        <v/>
      </c>
      <c r="BF86" s="41">
        <f t="array" ref="BF86">IF(AD86=VLOOKUP(VALUE(AD$1),{Questions[#],Questions[Answer]},2,FALSE),1,0)</f>
        <v/>
      </c>
      <c r="BG86" s="41">
        <f t="array" ref="BG86">IF(AE86=VLOOKUP(VALUE(AE$1),{Questions[#],Questions[Answer]},2,FALSE),1,0)</f>
        <v/>
      </c>
      <c r="BH86" s="41">
        <f t="array" ref="BH86">IF(AF86=VLOOKUP(VALUE(AF$1),{Questions[#],Questions[Answer]},2,FALSE),1,0)</f>
        <v/>
      </c>
      <c r="BI86" s="41">
        <f t="array" ref="BI86">IF(AG86=VLOOKUP(VALUE(AG$1),{Questions[#],Questions[Answer]},2,FALSE),1,0)</f>
        <v/>
      </c>
      <c r="BJ86" s="41">
        <f t="array" ref="BJ86">IF(AH86=VLOOKUP(VALUE(AH$1),{Questions[#],Questions[Answer]},2,FALSE),1,0)</f>
        <v/>
      </c>
      <c r="BK86" s="41">
        <f t="array" ref="BK86">IF(AI86=VLOOKUP(VALUE(AI$1),{Questions[#],Questions[Answer]},2,FALSE),1,0)</f>
        <v/>
      </c>
      <c r="BL86" s="41">
        <f t="array" ref="BL86">IF(AJ86=VLOOKUP(VALUE(AJ$1),{Questions[#],Questions[Answer]},2,FALSE),1,0)</f>
        <v/>
      </c>
      <c r="BM86" s="41">
        <f t="array" ref="BM86">IF(AK86=VLOOKUP(VALUE(AK$1),{Questions[#],Questions[Answer]},2,FALSE),1,0)</f>
        <v/>
      </c>
      <c r="BN86" s="41">
        <f t="array" ref="BN86">IF(AL86=VLOOKUP(VALUE(AL$1),{Questions[#],Questions[Answer]},2,FALSE),1,0)</f>
        <v/>
      </c>
    </row>
    <row r="87" ht="22.5" customHeight="1" s="93">
      <c r="A87" s="42" t="n"/>
      <c r="B87" s="41" t="n"/>
      <c r="C87" s="41" t="n"/>
      <c r="D87" s="43" t="n"/>
      <c r="E87" s="41" t="n"/>
      <c r="F87" s="41" t="n"/>
      <c r="G87" s="11">
        <f>SUM(AM87:BN87)</f>
        <v/>
      </c>
      <c r="H87" s="40">
        <f>G87/9</f>
        <v/>
      </c>
      <c r="I87" s="12">
        <f>0.5+(G87/54)</f>
        <v/>
      </c>
      <c r="J87" s="41">
        <f>COUNTIF(K87:AL87,"")</f>
        <v/>
      </c>
      <c r="K87" s="34" t="n"/>
      <c r="L87" s="35" t="n"/>
      <c r="M87" s="35" t="n"/>
      <c r="N87" s="35" t="n"/>
      <c r="O87" s="35" t="n"/>
      <c r="P87" s="35" t="n"/>
      <c r="Q87" s="35" t="n"/>
      <c r="R87" s="35" t="n"/>
      <c r="S87" s="35" t="n"/>
      <c r="T87" s="35" t="n"/>
      <c r="U87" s="35" t="n"/>
      <c r="V87" s="35" t="n"/>
      <c r="W87" s="35" t="n"/>
      <c r="X87" s="41" t="n"/>
      <c r="Y87" s="35" t="n"/>
      <c r="Z87" s="35" t="n"/>
      <c r="AA87" s="35" t="n"/>
      <c r="AB87" s="35" t="n"/>
      <c r="AC87" s="35" t="n"/>
      <c r="AD87" s="35" t="n"/>
      <c r="AE87" s="41" t="n"/>
      <c r="AF87" s="35" t="n"/>
      <c r="AG87" s="35" t="n"/>
      <c r="AH87" s="35" t="n"/>
      <c r="AI87" s="35" t="n"/>
      <c r="AJ87" s="35" t="n"/>
      <c r="AK87" s="35" t="n"/>
      <c r="AL87" s="38" t="n"/>
      <c r="AM87" s="19">
        <f t="array" ref="AM87">IF(K87=VLOOKUP(VALUE(K$1),{Questions[#],Questions[Answer]},2,FALSE),1,0)</f>
        <v/>
      </c>
      <c r="AN87" s="41">
        <f t="array" ref="AN87">IF(L87=VLOOKUP(VALUE(L$1),{Questions[#],Questions[Answer]},2,FALSE),1,0)</f>
        <v/>
      </c>
      <c r="AO87" s="41">
        <f t="array" ref="AO87">IF(M87=VLOOKUP(VALUE(M$1),{Questions[#],Questions[Answer]},2,FALSE),1,0)</f>
        <v/>
      </c>
      <c r="AP87" s="41">
        <f t="array" ref="AP87">IF(N87=VLOOKUP(VALUE(N$1),{Questions[#],Questions[Answer]},2,FALSE),1,0)</f>
        <v/>
      </c>
      <c r="AQ87" s="41">
        <f t="array" ref="AQ87">IF(O87=VLOOKUP(VALUE(O$1),{Questions[#],Questions[Answer]},2,FALSE),1,0)</f>
        <v/>
      </c>
      <c r="AR87" s="41">
        <f t="array" ref="AR87">IF(P87=VLOOKUP(VALUE(P$1),{Questions[#],Questions[Answer]},2,FALSE),1,0)</f>
        <v/>
      </c>
      <c r="AS87" s="41">
        <f t="array" ref="AS87">IF(Q87=VLOOKUP(VALUE(Q$1),{Questions[#],Questions[Answer]},2,FALSE),1,0)</f>
        <v/>
      </c>
      <c r="AT87" s="41">
        <f t="array" ref="AT87">IF(R87=VLOOKUP(VALUE(R$1),{Questions[#],Questions[Answer]},2,FALSE),1,0)</f>
        <v/>
      </c>
      <c r="AU87" s="41">
        <f t="array" ref="AU87">IF(S87=VLOOKUP(VALUE(S$1),{Questions[#],Questions[Answer]},2,FALSE),1,0)</f>
        <v/>
      </c>
      <c r="AV87" s="41">
        <f t="array" ref="AV87">IF(T87=VLOOKUP(VALUE(T$1),{Questions[#],Questions[Answer]},2,FALSE),1,0)</f>
        <v/>
      </c>
      <c r="AW87" s="41">
        <f t="array" ref="AW87">IF(U87=VLOOKUP(VALUE(U$1),{Questions[#],Questions[Answer]},2,FALSE),1,0)</f>
        <v/>
      </c>
      <c r="AX87" s="41">
        <f t="array" ref="AX87">IF(V87=VLOOKUP(VALUE(V$1),{Questions[#],Questions[Answer]},2,FALSE),1,0)</f>
        <v/>
      </c>
      <c r="AY87" s="41">
        <f t="array" ref="AY87">IF(W87=VLOOKUP(VALUE(W$1),{Questions[#],Questions[Answer]},2,FALSE),1,0)</f>
        <v/>
      </c>
      <c r="AZ87" s="41">
        <f t="array" ref="AZ87">IF(X87=VLOOKUP(VALUE(X$1),{Questions[#],Questions[Answer]},2,FALSE),1,0)</f>
        <v/>
      </c>
      <c r="BA87" s="41">
        <f t="array" ref="BA87">IF(Y87=VLOOKUP(VALUE(Y$1),{Questions[#],Questions[Answer]},2,FALSE),1,0)</f>
        <v/>
      </c>
      <c r="BB87" s="41">
        <f t="array" ref="BB87">IF(Z87=VLOOKUP(VALUE(Z$1),{Questions[#],Questions[Answer]},2,FALSE),1,0)</f>
        <v/>
      </c>
      <c r="BC87" s="41">
        <f t="array" ref="BC87">IF(AA87=VLOOKUP(VALUE(AA$1),{Questions[#],Questions[Answer]},2,FALSE),1,0)</f>
        <v/>
      </c>
      <c r="BD87" s="41">
        <f t="array" ref="BD87">IF(AB87=VLOOKUP(VALUE(AB$1),{Questions[#],Questions[Answer]},2,FALSE),1,0)</f>
        <v/>
      </c>
      <c r="BE87" s="41">
        <f t="array" ref="BE87">IF(AC87=VLOOKUP(VALUE(AC$1),{Questions[#],Questions[Answer]},2,FALSE),1,0)</f>
        <v/>
      </c>
      <c r="BF87" s="41">
        <f t="array" ref="BF87">IF(AD87=VLOOKUP(VALUE(AD$1),{Questions[#],Questions[Answer]},2,FALSE),1,0)</f>
        <v/>
      </c>
      <c r="BG87" s="41">
        <f t="array" ref="BG87">IF(AE87=VLOOKUP(VALUE(AE$1),{Questions[#],Questions[Answer]},2,FALSE),1,0)</f>
        <v/>
      </c>
      <c r="BH87" s="41">
        <f t="array" ref="BH87">IF(AF87=VLOOKUP(VALUE(AF$1),{Questions[#],Questions[Answer]},2,FALSE),1,0)</f>
        <v/>
      </c>
      <c r="BI87" s="41">
        <f t="array" ref="BI87">IF(AG87=VLOOKUP(VALUE(AG$1),{Questions[#],Questions[Answer]},2,FALSE),1,0)</f>
        <v/>
      </c>
      <c r="BJ87" s="41">
        <f t="array" ref="BJ87">IF(AH87=VLOOKUP(VALUE(AH$1),{Questions[#],Questions[Answer]},2,FALSE),1,0)</f>
        <v/>
      </c>
      <c r="BK87" s="41">
        <f t="array" ref="BK87">IF(AI87=VLOOKUP(VALUE(AI$1),{Questions[#],Questions[Answer]},2,FALSE),1,0)</f>
        <v/>
      </c>
      <c r="BL87" s="41">
        <f t="array" ref="BL87">IF(AJ87=VLOOKUP(VALUE(AJ$1),{Questions[#],Questions[Answer]},2,FALSE),1,0)</f>
        <v/>
      </c>
      <c r="BM87" s="41">
        <f t="array" ref="BM87">IF(AK87=VLOOKUP(VALUE(AK$1),{Questions[#],Questions[Answer]},2,FALSE),1,0)</f>
        <v/>
      </c>
      <c r="BN87" s="41">
        <f t="array" ref="BN87">IF(AL87=VLOOKUP(VALUE(AL$1),{Questions[#],Questions[Answer]},2,FALSE),1,0)</f>
        <v/>
      </c>
    </row>
    <row r="88" ht="22.5" customHeight="1" s="93">
      <c r="A88" s="42" t="n"/>
      <c r="B88" s="41" t="n"/>
      <c r="C88" s="41" t="n"/>
      <c r="D88" s="43" t="n"/>
      <c r="E88" s="41" t="n"/>
      <c r="F88" s="41" t="n"/>
      <c r="G88" s="11">
        <f>SUM(AM88:BN88)</f>
        <v/>
      </c>
      <c r="H88" s="40">
        <f>G88/9</f>
        <v/>
      </c>
      <c r="I88" s="12">
        <f>0.5+(G88/54)</f>
        <v/>
      </c>
      <c r="J88" s="41">
        <f>COUNTIF(K88:AL88,"")</f>
        <v/>
      </c>
      <c r="K88" s="34" t="n"/>
      <c r="L88" s="35" t="n"/>
      <c r="M88" s="35" t="n"/>
      <c r="N88" s="35" t="n"/>
      <c r="O88" s="35" t="n"/>
      <c r="P88" s="35" t="n"/>
      <c r="Q88" s="35" t="n"/>
      <c r="R88" s="35" t="n"/>
      <c r="S88" s="35" t="n"/>
      <c r="T88" s="35" t="n"/>
      <c r="U88" s="35" t="n"/>
      <c r="V88" s="35" t="n"/>
      <c r="W88" s="35" t="n"/>
      <c r="X88" s="41" t="n"/>
      <c r="Y88" s="35" t="n"/>
      <c r="Z88" s="35" t="n"/>
      <c r="AA88" s="35" t="n"/>
      <c r="AB88" s="35" t="n"/>
      <c r="AC88" s="35" t="n"/>
      <c r="AD88" s="35" t="n"/>
      <c r="AE88" s="41" t="n"/>
      <c r="AF88" s="35" t="n"/>
      <c r="AG88" s="35" t="n"/>
      <c r="AH88" s="35" t="n"/>
      <c r="AI88" s="35" t="n"/>
      <c r="AJ88" s="35" t="n"/>
      <c r="AK88" s="35" t="n"/>
      <c r="AL88" s="38" t="n"/>
      <c r="AM88" s="19">
        <f t="array" ref="AM88">IF(K88=VLOOKUP(VALUE(K$1),{Questions[#],Questions[Answer]},2,FALSE),1,0)</f>
        <v/>
      </c>
      <c r="AN88" s="41">
        <f t="array" ref="AN88">IF(L88=VLOOKUP(VALUE(L$1),{Questions[#],Questions[Answer]},2,FALSE),1,0)</f>
        <v/>
      </c>
      <c r="AO88" s="41">
        <f t="array" ref="AO88">IF(M88=VLOOKUP(VALUE(M$1),{Questions[#],Questions[Answer]},2,FALSE),1,0)</f>
        <v/>
      </c>
      <c r="AP88" s="41">
        <f t="array" ref="AP88">IF(N88=VLOOKUP(VALUE(N$1),{Questions[#],Questions[Answer]},2,FALSE),1,0)</f>
        <v/>
      </c>
      <c r="AQ88" s="41">
        <f t="array" ref="AQ88">IF(O88=VLOOKUP(VALUE(O$1),{Questions[#],Questions[Answer]},2,FALSE),1,0)</f>
        <v/>
      </c>
      <c r="AR88" s="41">
        <f t="array" ref="AR88">IF(P88=VLOOKUP(VALUE(P$1),{Questions[#],Questions[Answer]},2,FALSE),1,0)</f>
        <v/>
      </c>
      <c r="AS88" s="41">
        <f t="array" ref="AS88">IF(Q88=VLOOKUP(VALUE(Q$1),{Questions[#],Questions[Answer]},2,FALSE),1,0)</f>
        <v/>
      </c>
      <c r="AT88" s="41">
        <f t="array" ref="AT88">IF(R88=VLOOKUP(VALUE(R$1),{Questions[#],Questions[Answer]},2,FALSE),1,0)</f>
        <v/>
      </c>
      <c r="AU88" s="41">
        <f t="array" ref="AU88">IF(S88=VLOOKUP(VALUE(S$1),{Questions[#],Questions[Answer]},2,FALSE),1,0)</f>
        <v/>
      </c>
      <c r="AV88" s="41">
        <f t="array" ref="AV88">IF(T88=VLOOKUP(VALUE(T$1),{Questions[#],Questions[Answer]},2,FALSE),1,0)</f>
        <v/>
      </c>
      <c r="AW88" s="41">
        <f t="array" ref="AW88">IF(U88=VLOOKUP(VALUE(U$1),{Questions[#],Questions[Answer]},2,FALSE),1,0)</f>
        <v/>
      </c>
      <c r="AX88" s="41">
        <f t="array" ref="AX88">IF(V88=VLOOKUP(VALUE(V$1),{Questions[#],Questions[Answer]},2,FALSE),1,0)</f>
        <v/>
      </c>
      <c r="AY88" s="41">
        <f t="array" ref="AY88">IF(W88=VLOOKUP(VALUE(W$1),{Questions[#],Questions[Answer]},2,FALSE),1,0)</f>
        <v/>
      </c>
      <c r="AZ88" s="41">
        <f t="array" ref="AZ88">IF(X88=VLOOKUP(VALUE(X$1),{Questions[#],Questions[Answer]},2,FALSE),1,0)</f>
        <v/>
      </c>
      <c r="BA88" s="41">
        <f t="array" ref="BA88">IF(Y88=VLOOKUP(VALUE(Y$1),{Questions[#],Questions[Answer]},2,FALSE),1,0)</f>
        <v/>
      </c>
      <c r="BB88" s="41">
        <f t="array" ref="BB88">IF(Z88=VLOOKUP(VALUE(Z$1),{Questions[#],Questions[Answer]},2,FALSE),1,0)</f>
        <v/>
      </c>
      <c r="BC88" s="41">
        <f t="array" ref="BC88">IF(AA88=VLOOKUP(VALUE(AA$1),{Questions[#],Questions[Answer]},2,FALSE),1,0)</f>
        <v/>
      </c>
      <c r="BD88" s="41">
        <f t="array" ref="BD88">IF(AB88=VLOOKUP(VALUE(AB$1),{Questions[#],Questions[Answer]},2,FALSE),1,0)</f>
        <v/>
      </c>
      <c r="BE88" s="41">
        <f t="array" ref="BE88">IF(AC88=VLOOKUP(VALUE(AC$1),{Questions[#],Questions[Answer]},2,FALSE),1,0)</f>
        <v/>
      </c>
      <c r="BF88" s="41">
        <f t="array" ref="BF88">IF(AD88=VLOOKUP(VALUE(AD$1),{Questions[#],Questions[Answer]},2,FALSE),1,0)</f>
        <v/>
      </c>
      <c r="BG88" s="41">
        <f t="array" ref="BG88">IF(AE88=VLOOKUP(VALUE(AE$1),{Questions[#],Questions[Answer]},2,FALSE),1,0)</f>
        <v/>
      </c>
      <c r="BH88" s="41">
        <f t="array" ref="BH88">IF(AF88=VLOOKUP(VALUE(AF$1),{Questions[#],Questions[Answer]},2,FALSE),1,0)</f>
        <v/>
      </c>
      <c r="BI88" s="41">
        <f t="array" ref="BI88">IF(AG88=VLOOKUP(VALUE(AG$1),{Questions[#],Questions[Answer]},2,FALSE),1,0)</f>
        <v/>
      </c>
      <c r="BJ88" s="41">
        <f t="array" ref="BJ88">IF(AH88=VLOOKUP(VALUE(AH$1),{Questions[#],Questions[Answer]},2,FALSE),1,0)</f>
        <v/>
      </c>
      <c r="BK88" s="41">
        <f t="array" ref="BK88">IF(AI88=VLOOKUP(VALUE(AI$1),{Questions[#],Questions[Answer]},2,FALSE),1,0)</f>
        <v/>
      </c>
      <c r="BL88" s="41">
        <f t="array" ref="BL88">IF(AJ88=VLOOKUP(VALUE(AJ$1),{Questions[#],Questions[Answer]},2,FALSE),1,0)</f>
        <v/>
      </c>
      <c r="BM88" s="41">
        <f t="array" ref="BM88">IF(AK88=VLOOKUP(VALUE(AK$1),{Questions[#],Questions[Answer]},2,FALSE),1,0)</f>
        <v/>
      </c>
      <c r="BN88" s="41">
        <f t="array" ref="BN88">IF(AL88=VLOOKUP(VALUE(AL$1),{Questions[#],Questions[Answer]},2,FALSE),1,0)</f>
        <v/>
      </c>
    </row>
    <row r="89" ht="22.5" customHeight="1" s="93">
      <c r="A89" s="42" t="n"/>
      <c r="B89" s="41" t="n"/>
      <c r="C89" s="41" t="n"/>
      <c r="D89" s="43" t="n"/>
      <c r="E89" s="41" t="n"/>
      <c r="F89" s="41" t="n"/>
      <c r="G89" s="11">
        <f>SUM(AM89:BN89)</f>
        <v/>
      </c>
      <c r="H89" s="40">
        <f>G89/9</f>
        <v/>
      </c>
      <c r="I89" s="12">
        <f>0.5+(G89/54)</f>
        <v/>
      </c>
      <c r="J89" s="41">
        <f>COUNTIF(K89:AL89,"")</f>
        <v/>
      </c>
      <c r="K89" s="34" t="n"/>
      <c r="L89" s="35" t="n"/>
      <c r="M89" s="35" t="n"/>
      <c r="N89" s="35" t="n"/>
      <c r="O89" s="35" t="n"/>
      <c r="P89" s="35" t="n"/>
      <c r="Q89" s="35" t="n"/>
      <c r="R89" s="35" t="n"/>
      <c r="S89" s="35" t="n"/>
      <c r="T89" s="35" t="n"/>
      <c r="U89" s="35" t="n"/>
      <c r="V89" s="35" t="n"/>
      <c r="W89" s="35" t="n"/>
      <c r="X89" s="41" t="n"/>
      <c r="Y89" s="35" t="n"/>
      <c r="Z89" s="35" t="n"/>
      <c r="AA89" s="35" t="n"/>
      <c r="AB89" s="35" t="n"/>
      <c r="AC89" s="35" t="n"/>
      <c r="AD89" s="35" t="n"/>
      <c r="AE89" s="41" t="n"/>
      <c r="AF89" s="35" t="n"/>
      <c r="AG89" s="35" t="n"/>
      <c r="AH89" s="35" t="n"/>
      <c r="AI89" s="35" t="n"/>
      <c r="AJ89" s="35" t="n"/>
      <c r="AK89" s="35" t="n"/>
      <c r="AL89" s="38" t="n"/>
      <c r="AM89" s="19">
        <f t="array" ref="AM89">IF(K89=VLOOKUP(VALUE(K$1),{Questions[#],Questions[Answer]},2,FALSE),1,0)</f>
        <v/>
      </c>
      <c r="AN89" s="41">
        <f t="array" ref="AN89">IF(L89=VLOOKUP(VALUE(L$1),{Questions[#],Questions[Answer]},2,FALSE),1,0)</f>
        <v/>
      </c>
      <c r="AO89" s="41">
        <f t="array" ref="AO89">IF(M89=VLOOKUP(VALUE(M$1),{Questions[#],Questions[Answer]},2,FALSE),1,0)</f>
        <v/>
      </c>
      <c r="AP89" s="41">
        <f t="array" ref="AP89">IF(N89=VLOOKUP(VALUE(N$1),{Questions[#],Questions[Answer]},2,FALSE),1,0)</f>
        <v/>
      </c>
      <c r="AQ89" s="41">
        <f t="array" ref="AQ89">IF(O89=VLOOKUP(VALUE(O$1),{Questions[#],Questions[Answer]},2,FALSE),1,0)</f>
        <v/>
      </c>
      <c r="AR89" s="41">
        <f t="array" ref="AR89">IF(P89=VLOOKUP(VALUE(P$1),{Questions[#],Questions[Answer]},2,FALSE),1,0)</f>
        <v/>
      </c>
      <c r="AS89" s="41">
        <f t="array" ref="AS89">IF(Q89=VLOOKUP(VALUE(Q$1),{Questions[#],Questions[Answer]},2,FALSE),1,0)</f>
        <v/>
      </c>
      <c r="AT89" s="41">
        <f t="array" ref="AT89">IF(R89=VLOOKUP(VALUE(R$1),{Questions[#],Questions[Answer]},2,FALSE),1,0)</f>
        <v/>
      </c>
      <c r="AU89" s="41">
        <f t="array" ref="AU89">IF(S89=VLOOKUP(VALUE(S$1),{Questions[#],Questions[Answer]},2,FALSE),1,0)</f>
        <v/>
      </c>
      <c r="AV89" s="41">
        <f t="array" ref="AV89">IF(T89=VLOOKUP(VALUE(T$1),{Questions[#],Questions[Answer]},2,FALSE),1,0)</f>
        <v/>
      </c>
      <c r="AW89" s="41">
        <f t="array" ref="AW89">IF(U89=VLOOKUP(VALUE(U$1),{Questions[#],Questions[Answer]},2,FALSE),1,0)</f>
        <v/>
      </c>
      <c r="AX89" s="41">
        <f t="array" ref="AX89">IF(V89=VLOOKUP(VALUE(V$1),{Questions[#],Questions[Answer]},2,FALSE),1,0)</f>
        <v/>
      </c>
      <c r="AY89" s="41">
        <f t="array" ref="AY89">IF(W89=VLOOKUP(VALUE(W$1),{Questions[#],Questions[Answer]},2,FALSE),1,0)</f>
        <v/>
      </c>
      <c r="AZ89" s="41">
        <f t="array" ref="AZ89">IF(X89=VLOOKUP(VALUE(X$1),{Questions[#],Questions[Answer]},2,FALSE),1,0)</f>
        <v/>
      </c>
      <c r="BA89" s="41">
        <f t="array" ref="BA89">IF(Y89=VLOOKUP(VALUE(Y$1),{Questions[#],Questions[Answer]},2,FALSE),1,0)</f>
        <v/>
      </c>
      <c r="BB89" s="41">
        <f t="array" ref="BB89">IF(Z89=VLOOKUP(VALUE(Z$1),{Questions[#],Questions[Answer]},2,FALSE),1,0)</f>
        <v/>
      </c>
      <c r="BC89" s="41">
        <f t="array" ref="BC89">IF(AA89=VLOOKUP(VALUE(AA$1),{Questions[#],Questions[Answer]},2,FALSE),1,0)</f>
        <v/>
      </c>
      <c r="BD89" s="41">
        <f t="array" ref="BD89">IF(AB89=VLOOKUP(VALUE(AB$1),{Questions[#],Questions[Answer]},2,FALSE),1,0)</f>
        <v/>
      </c>
      <c r="BE89" s="41">
        <f t="array" ref="BE89">IF(AC89=VLOOKUP(VALUE(AC$1),{Questions[#],Questions[Answer]},2,FALSE),1,0)</f>
        <v/>
      </c>
      <c r="BF89" s="41">
        <f t="array" ref="BF89">IF(AD89=VLOOKUP(VALUE(AD$1),{Questions[#],Questions[Answer]},2,FALSE),1,0)</f>
        <v/>
      </c>
      <c r="BG89" s="41">
        <f t="array" ref="BG89">IF(AE89=VLOOKUP(VALUE(AE$1),{Questions[#],Questions[Answer]},2,FALSE),1,0)</f>
        <v/>
      </c>
      <c r="BH89" s="41">
        <f t="array" ref="BH89">IF(AF89=VLOOKUP(VALUE(AF$1),{Questions[#],Questions[Answer]},2,FALSE),1,0)</f>
        <v/>
      </c>
      <c r="BI89" s="41">
        <f t="array" ref="BI89">IF(AG89=VLOOKUP(VALUE(AG$1),{Questions[#],Questions[Answer]},2,FALSE),1,0)</f>
        <v/>
      </c>
      <c r="BJ89" s="41">
        <f t="array" ref="BJ89">IF(AH89=VLOOKUP(VALUE(AH$1),{Questions[#],Questions[Answer]},2,FALSE),1,0)</f>
        <v/>
      </c>
      <c r="BK89" s="41">
        <f t="array" ref="BK89">IF(AI89=VLOOKUP(VALUE(AI$1),{Questions[#],Questions[Answer]},2,FALSE),1,0)</f>
        <v/>
      </c>
      <c r="BL89" s="41">
        <f t="array" ref="BL89">IF(AJ89=VLOOKUP(VALUE(AJ$1),{Questions[#],Questions[Answer]},2,FALSE),1,0)</f>
        <v/>
      </c>
      <c r="BM89" s="41">
        <f t="array" ref="BM89">IF(AK89=VLOOKUP(VALUE(AK$1),{Questions[#],Questions[Answer]},2,FALSE),1,0)</f>
        <v/>
      </c>
      <c r="BN89" s="41">
        <f t="array" ref="BN89">IF(AL89=VLOOKUP(VALUE(AL$1),{Questions[#],Questions[Answer]},2,FALSE),1,0)</f>
        <v/>
      </c>
    </row>
    <row r="90" ht="22.5" customHeight="1" s="93">
      <c r="A90" s="42" t="n"/>
      <c r="B90" s="41" t="n"/>
      <c r="C90" s="41" t="n"/>
      <c r="D90" s="43" t="n"/>
      <c r="E90" s="41" t="n"/>
      <c r="F90" s="41" t="n"/>
      <c r="G90" s="11">
        <f>SUM(AM90:BN90)</f>
        <v/>
      </c>
      <c r="H90" s="40">
        <f>G90/9</f>
        <v/>
      </c>
      <c r="I90" s="12">
        <f>0.5+(G90/54)</f>
        <v/>
      </c>
      <c r="J90" s="41">
        <f>COUNTIF(K90:AL90,"")</f>
        <v/>
      </c>
      <c r="K90" s="34" t="n"/>
      <c r="L90" s="35" t="n"/>
      <c r="M90" s="35" t="n"/>
      <c r="N90" s="35" t="n"/>
      <c r="O90" s="35" t="n"/>
      <c r="P90" s="35" t="n"/>
      <c r="Q90" s="35" t="n"/>
      <c r="R90" s="35" t="n"/>
      <c r="S90" s="35" t="n"/>
      <c r="T90" s="35" t="n"/>
      <c r="U90" s="35" t="n"/>
      <c r="V90" s="35" t="n"/>
      <c r="W90" s="35" t="n"/>
      <c r="X90" s="41" t="n"/>
      <c r="Y90" s="35" t="n"/>
      <c r="Z90" s="35" t="n"/>
      <c r="AA90" s="35" t="n"/>
      <c r="AB90" s="35" t="n"/>
      <c r="AC90" s="35" t="n"/>
      <c r="AD90" s="35" t="n"/>
      <c r="AE90" s="41" t="n"/>
      <c r="AF90" s="35" t="n"/>
      <c r="AG90" s="35" t="n"/>
      <c r="AH90" s="35" t="n"/>
      <c r="AI90" s="35" t="n"/>
      <c r="AJ90" s="35" t="n"/>
      <c r="AK90" s="35" t="n"/>
      <c r="AL90" s="38" t="n"/>
      <c r="AM90" s="19">
        <f t="array" ref="AM90">IF(K90=VLOOKUP(VALUE(K$1),{Questions[#],Questions[Answer]},2,FALSE),1,0)</f>
        <v/>
      </c>
      <c r="AN90" s="41">
        <f t="array" ref="AN90">IF(L90=VLOOKUP(VALUE(L$1),{Questions[#],Questions[Answer]},2,FALSE),1,0)</f>
        <v/>
      </c>
      <c r="AO90" s="41">
        <f t="array" ref="AO90">IF(M90=VLOOKUP(VALUE(M$1),{Questions[#],Questions[Answer]},2,FALSE),1,0)</f>
        <v/>
      </c>
      <c r="AP90" s="41">
        <f t="array" ref="AP90">IF(N90=VLOOKUP(VALUE(N$1),{Questions[#],Questions[Answer]},2,FALSE),1,0)</f>
        <v/>
      </c>
      <c r="AQ90" s="41">
        <f t="array" ref="AQ90">IF(O90=VLOOKUP(VALUE(O$1),{Questions[#],Questions[Answer]},2,FALSE),1,0)</f>
        <v/>
      </c>
      <c r="AR90" s="41">
        <f t="array" ref="AR90">IF(P90=VLOOKUP(VALUE(P$1),{Questions[#],Questions[Answer]},2,FALSE),1,0)</f>
        <v/>
      </c>
      <c r="AS90" s="41">
        <f t="array" ref="AS90">IF(Q90=VLOOKUP(VALUE(Q$1),{Questions[#],Questions[Answer]},2,FALSE),1,0)</f>
        <v/>
      </c>
      <c r="AT90" s="41">
        <f t="array" ref="AT90">IF(R90=VLOOKUP(VALUE(R$1),{Questions[#],Questions[Answer]},2,FALSE),1,0)</f>
        <v/>
      </c>
      <c r="AU90" s="41">
        <f t="array" ref="AU90">IF(S90=VLOOKUP(VALUE(S$1),{Questions[#],Questions[Answer]},2,FALSE),1,0)</f>
        <v/>
      </c>
      <c r="AV90" s="41">
        <f t="array" ref="AV90">IF(T90=VLOOKUP(VALUE(T$1),{Questions[#],Questions[Answer]},2,FALSE),1,0)</f>
        <v/>
      </c>
      <c r="AW90" s="41">
        <f t="array" ref="AW90">IF(U90=VLOOKUP(VALUE(U$1),{Questions[#],Questions[Answer]},2,FALSE),1,0)</f>
        <v/>
      </c>
      <c r="AX90" s="41">
        <f t="array" ref="AX90">IF(V90=VLOOKUP(VALUE(V$1),{Questions[#],Questions[Answer]},2,FALSE),1,0)</f>
        <v/>
      </c>
      <c r="AY90" s="41">
        <f t="array" ref="AY90">IF(W90=VLOOKUP(VALUE(W$1),{Questions[#],Questions[Answer]},2,FALSE),1,0)</f>
        <v/>
      </c>
      <c r="AZ90" s="41">
        <f t="array" ref="AZ90">IF(X90=VLOOKUP(VALUE(X$1),{Questions[#],Questions[Answer]},2,FALSE),1,0)</f>
        <v/>
      </c>
      <c r="BA90" s="41">
        <f t="array" ref="BA90">IF(Y90=VLOOKUP(VALUE(Y$1),{Questions[#],Questions[Answer]},2,FALSE),1,0)</f>
        <v/>
      </c>
      <c r="BB90" s="41">
        <f t="array" ref="BB90">IF(Z90=VLOOKUP(VALUE(Z$1),{Questions[#],Questions[Answer]},2,FALSE),1,0)</f>
        <v/>
      </c>
      <c r="BC90" s="41">
        <f t="array" ref="BC90">IF(AA90=VLOOKUP(VALUE(AA$1),{Questions[#],Questions[Answer]},2,FALSE),1,0)</f>
        <v/>
      </c>
      <c r="BD90" s="41">
        <f t="array" ref="BD90">IF(AB90=VLOOKUP(VALUE(AB$1),{Questions[#],Questions[Answer]},2,FALSE),1,0)</f>
        <v/>
      </c>
      <c r="BE90" s="41">
        <f t="array" ref="BE90">IF(AC90=VLOOKUP(VALUE(AC$1),{Questions[#],Questions[Answer]},2,FALSE),1,0)</f>
        <v/>
      </c>
      <c r="BF90" s="41">
        <f t="array" ref="BF90">IF(AD90=VLOOKUP(VALUE(AD$1),{Questions[#],Questions[Answer]},2,FALSE),1,0)</f>
        <v/>
      </c>
      <c r="BG90" s="41">
        <f t="array" ref="BG90">IF(AE90=VLOOKUP(VALUE(AE$1),{Questions[#],Questions[Answer]},2,FALSE),1,0)</f>
        <v/>
      </c>
      <c r="BH90" s="41">
        <f t="array" ref="BH90">IF(AF90=VLOOKUP(VALUE(AF$1),{Questions[#],Questions[Answer]},2,FALSE),1,0)</f>
        <v/>
      </c>
      <c r="BI90" s="41">
        <f t="array" ref="BI90">IF(AG90=VLOOKUP(VALUE(AG$1),{Questions[#],Questions[Answer]},2,FALSE),1,0)</f>
        <v/>
      </c>
      <c r="BJ90" s="41">
        <f t="array" ref="BJ90">IF(AH90=VLOOKUP(VALUE(AH$1),{Questions[#],Questions[Answer]},2,FALSE),1,0)</f>
        <v/>
      </c>
      <c r="BK90" s="41">
        <f t="array" ref="BK90">IF(AI90=VLOOKUP(VALUE(AI$1),{Questions[#],Questions[Answer]},2,FALSE),1,0)</f>
        <v/>
      </c>
      <c r="BL90" s="41">
        <f t="array" ref="BL90">IF(AJ90=VLOOKUP(VALUE(AJ$1),{Questions[#],Questions[Answer]},2,FALSE),1,0)</f>
        <v/>
      </c>
      <c r="BM90" s="41">
        <f t="array" ref="BM90">IF(AK90=VLOOKUP(VALUE(AK$1),{Questions[#],Questions[Answer]},2,FALSE),1,0)</f>
        <v/>
      </c>
      <c r="BN90" s="41">
        <f t="array" ref="BN90">IF(AL90=VLOOKUP(VALUE(AL$1),{Questions[#],Questions[Answer]},2,FALSE),1,0)</f>
        <v/>
      </c>
    </row>
    <row r="91" ht="22.5" customHeight="1" s="93">
      <c r="A91" s="42" t="n"/>
      <c r="B91" s="41" t="n"/>
      <c r="C91" s="41" t="n"/>
      <c r="D91" s="43" t="n"/>
      <c r="E91" s="41" t="n"/>
      <c r="F91" s="41" t="n"/>
      <c r="G91" s="11">
        <f>SUM(AM91:BN91)</f>
        <v/>
      </c>
      <c r="H91" s="40">
        <f>G91/9</f>
        <v/>
      </c>
      <c r="I91" s="12">
        <f>0.5+(G91/54)</f>
        <v/>
      </c>
      <c r="J91" s="41">
        <f>COUNTIF(K91:AL91,"")</f>
        <v/>
      </c>
      <c r="K91" s="34" t="n"/>
      <c r="L91" s="35" t="n"/>
      <c r="M91" s="35" t="n"/>
      <c r="N91" s="35" t="n"/>
      <c r="O91" s="35" t="n"/>
      <c r="P91" s="35" t="n"/>
      <c r="Q91" s="35" t="n"/>
      <c r="R91" s="35" t="n"/>
      <c r="S91" s="35" t="n"/>
      <c r="T91" s="35" t="n"/>
      <c r="U91" s="35" t="n"/>
      <c r="V91" s="35" t="n"/>
      <c r="W91" s="35" t="n"/>
      <c r="X91" s="41" t="n"/>
      <c r="Y91" s="35" t="n"/>
      <c r="Z91" s="35" t="n"/>
      <c r="AA91" s="35" t="n"/>
      <c r="AB91" s="35" t="n"/>
      <c r="AC91" s="35" t="n"/>
      <c r="AD91" s="35" t="n"/>
      <c r="AE91" s="41" t="n"/>
      <c r="AF91" s="35" t="n"/>
      <c r="AG91" s="35" t="n"/>
      <c r="AH91" s="35" t="n"/>
      <c r="AI91" s="35" t="n"/>
      <c r="AJ91" s="35" t="n"/>
      <c r="AK91" s="35" t="n"/>
      <c r="AL91" s="38" t="n"/>
      <c r="AM91" s="19">
        <f t="array" ref="AM91">IF(K91=VLOOKUP(VALUE(K$1),{Questions[#],Questions[Answer]},2,FALSE),1,0)</f>
        <v/>
      </c>
      <c r="AN91" s="41">
        <f t="array" ref="AN91">IF(L91=VLOOKUP(VALUE(L$1),{Questions[#],Questions[Answer]},2,FALSE),1,0)</f>
        <v/>
      </c>
      <c r="AO91" s="41">
        <f t="array" ref="AO91">IF(M91=VLOOKUP(VALUE(M$1),{Questions[#],Questions[Answer]},2,FALSE),1,0)</f>
        <v/>
      </c>
      <c r="AP91" s="41">
        <f t="array" ref="AP91">IF(N91=VLOOKUP(VALUE(N$1),{Questions[#],Questions[Answer]},2,FALSE),1,0)</f>
        <v/>
      </c>
      <c r="AQ91" s="41">
        <f t="array" ref="AQ91">IF(O91=VLOOKUP(VALUE(O$1),{Questions[#],Questions[Answer]},2,FALSE),1,0)</f>
        <v/>
      </c>
      <c r="AR91" s="41">
        <f t="array" ref="AR91">IF(P91=VLOOKUP(VALUE(P$1),{Questions[#],Questions[Answer]},2,FALSE),1,0)</f>
        <v/>
      </c>
      <c r="AS91" s="41">
        <f t="array" ref="AS91">IF(Q91=VLOOKUP(VALUE(Q$1),{Questions[#],Questions[Answer]},2,FALSE),1,0)</f>
        <v/>
      </c>
      <c r="AT91" s="41">
        <f t="array" ref="AT91">IF(R91=VLOOKUP(VALUE(R$1),{Questions[#],Questions[Answer]},2,FALSE),1,0)</f>
        <v/>
      </c>
      <c r="AU91" s="41">
        <f t="array" ref="AU91">IF(S91=VLOOKUP(VALUE(S$1),{Questions[#],Questions[Answer]},2,FALSE),1,0)</f>
        <v/>
      </c>
      <c r="AV91" s="41">
        <f t="array" ref="AV91">IF(T91=VLOOKUP(VALUE(T$1),{Questions[#],Questions[Answer]},2,FALSE),1,0)</f>
        <v/>
      </c>
      <c r="AW91" s="41">
        <f t="array" ref="AW91">IF(U91=VLOOKUP(VALUE(U$1),{Questions[#],Questions[Answer]},2,FALSE),1,0)</f>
        <v/>
      </c>
      <c r="AX91" s="41">
        <f t="array" ref="AX91">IF(V91=VLOOKUP(VALUE(V$1),{Questions[#],Questions[Answer]},2,FALSE),1,0)</f>
        <v/>
      </c>
      <c r="AY91" s="41">
        <f t="array" ref="AY91">IF(W91=VLOOKUP(VALUE(W$1),{Questions[#],Questions[Answer]},2,FALSE),1,0)</f>
        <v/>
      </c>
      <c r="AZ91" s="41">
        <f t="array" ref="AZ91">IF(X91=VLOOKUP(VALUE(X$1),{Questions[#],Questions[Answer]},2,FALSE),1,0)</f>
        <v/>
      </c>
      <c r="BA91" s="41">
        <f t="array" ref="BA91">IF(Y91=VLOOKUP(VALUE(Y$1),{Questions[#],Questions[Answer]},2,FALSE),1,0)</f>
        <v/>
      </c>
      <c r="BB91" s="41">
        <f t="array" ref="BB91">IF(Z91=VLOOKUP(VALUE(Z$1),{Questions[#],Questions[Answer]},2,FALSE),1,0)</f>
        <v/>
      </c>
      <c r="BC91" s="41">
        <f t="array" ref="BC91">IF(AA91=VLOOKUP(VALUE(AA$1),{Questions[#],Questions[Answer]},2,FALSE),1,0)</f>
        <v/>
      </c>
      <c r="BD91" s="41">
        <f t="array" ref="BD91">IF(AB91=VLOOKUP(VALUE(AB$1),{Questions[#],Questions[Answer]},2,FALSE),1,0)</f>
        <v/>
      </c>
      <c r="BE91" s="41">
        <f t="array" ref="BE91">IF(AC91=VLOOKUP(VALUE(AC$1),{Questions[#],Questions[Answer]},2,FALSE),1,0)</f>
        <v/>
      </c>
      <c r="BF91" s="41">
        <f t="array" ref="BF91">IF(AD91=VLOOKUP(VALUE(AD$1),{Questions[#],Questions[Answer]},2,FALSE),1,0)</f>
        <v/>
      </c>
      <c r="BG91" s="41">
        <f t="array" ref="BG91">IF(AE91=VLOOKUP(VALUE(AE$1),{Questions[#],Questions[Answer]},2,FALSE),1,0)</f>
        <v/>
      </c>
      <c r="BH91" s="41">
        <f t="array" ref="BH91">IF(AF91=VLOOKUP(VALUE(AF$1),{Questions[#],Questions[Answer]},2,FALSE),1,0)</f>
        <v/>
      </c>
      <c r="BI91" s="41">
        <f t="array" ref="BI91">IF(AG91=VLOOKUP(VALUE(AG$1),{Questions[#],Questions[Answer]},2,FALSE),1,0)</f>
        <v/>
      </c>
      <c r="BJ91" s="41">
        <f t="array" ref="BJ91">IF(AH91=VLOOKUP(VALUE(AH$1),{Questions[#],Questions[Answer]},2,FALSE),1,0)</f>
        <v/>
      </c>
      <c r="BK91" s="41">
        <f t="array" ref="BK91">IF(AI91=VLOOKUP(VALUE(AI$1),{Questions[#],Questions[Answer]},2,FALSE),1,0)</f>
        <v/>
      </c>
      <c r="BL91" s="41">
        <f t="array" ref="BL91">IF(AJ91=VLOOKUP(VALUE(AJ$1),{Questions[#],Questions[Answer]},2,FALSE),1,0)</f>
        <v/>
      </c>
      <c r="BM91" s="41">
        <f t="array" ref="BM91">IF(AK91=VLOOKUP(VALUE(AK$1),{Questions[#],Questions[Answer]},2,FALSE),1,0)</f>
        <v/>
      </c>
      <c r="BN91" s="41">
        <f t="array" ref="BN91">IF(AL91=VLOOKUP(VALUE(AL$1),{Questions[#],Questions[Answer]},2,FALSE),1,0)</f>
        <v/>
      </c>
    </row>
    <row r="92" ht="22.5" customHeight="1" s="93">
      <c r="A92" s="42" t="n"/>
      <c r="B92" s="41" t="n"/>
      <c r="C92" s="41" t="n"/>
      <c r="D92" s="43" t="n"/>
      <c r="E92" s="41" t="n"/>
      <c r="F92" s="41" t="n"/>
      <c r="G92" s="11">
        <f>SUM(AM92:BN92)</f>
        <v/>
      </c>
      <c r="H92" s="40">
        <f>G92/9</f>
        <v/>
      </c>
      <c r="I92" s="12">
        <f>0.5+(G92/54)</f>
        <v/>
      </c>
      <c r="J92" s="41">
        <f>COUNTIF(K92:AL92,"")</f>
        <v/>
      </c>
      <c r="K92" s="34" t="n"/>
      <c r="L92" s="35" t="n"/>
      <c r="M92" s="35" t="n"/>
      <c r="N92" s="35" t="n"/>
      <c r="O92" s="35" t="n"/>
      <c r="P92" s="35" t="n"/>
      <c r="Q92" s="35" t="n"/>
      <c r="R92" s="35" t="n"/>
      <c r="S92" s="35" t="n"/>
      <c r="T92" s="35" t="n"/>
      <c r="U92" s="35" t="n"/>
      <c r="V92" s="35" t="n"/>
      <c r="W92" s="35" t="n"/>
      <c r="X92" s="41" t="n"/>
      <c r="Y92" s="35" t="n"/>
      <c r="Z92" s="35" t="n"/>
      <c r="AA92" s="35" t="n"/>
      <c r="AB92" s="35" t="n"/>
      <c r="AC92" s="35" t="n"/>
      <c r="AD92" s="35" t="n"/>
      <c r="AE92" s="41" t="n"/>
      <c r="AF92" s="35" t="n"/>
      <c r="AG92" s="35" t="n"/>
      <c r="AH92" s="35" t="n"/>
      <c r="AI92" s="35" t="n"/>
      <c r="AJ92" s="35" t="n"/>
      <c r="AK92" s="35" t="n"/>
      <c r="AL92" s="38" t="n"/>
      <c r="AM92" s="19">
        <f t="array" ref="AM92">IF(K92=VLOOKUP(VALUE(K$1),{Questions[#],Questions[Answer]},2,FALSE),1,0)</f>
        <v/>
      </c>
      <c r="AN92" s="41">
        <f t="array" ref="AN92">IF(L92=VLOOKUP(VALUE(L$1),{Questions[#],Questions[Answer]},2,FALSE),1,0)</f>
        <v/>
      </c>
      <c r="AO92" s="41">
        <f t="array" ref="AO92">IF(M92=VLOOKUP(VALUE(M$1),{Questions[#],Questions[Answer]},2,FALSE),1,0)</f>
        <v/>
      </c>
      <c r="AP92" s="41">
        <f t="array" ref="AP92">IF(N92=VLOOKUP(VALUE(N$1),{Questions[#],Questions[Answer]},2,FALSE),1,0)</f>
        <v/>
      </c>
      <c r="AQ92" s="41">
        <f t="array" ref="AQ92">IF(O92=VLOOKUP(VALUE(O$1),{Questions[#],Questions[Answer]},2,FALSE),1,0)</f>
        <v/>
      </c>
      <c r="AR92" s="41">
        <f t="array" ref="AR92">IF(P92=VLOOKUP(VALUE(P$1),{Questions[#],Questions[Answer]},2,FALSE),1,0)</f>
        <v/>
      </c>
      <c r="AS92" s="41">
        <f t="array" ref="AS92">IF(Q92=VLOOKUP(VALUE(Q$1),{Questions[#],Questions[Answer]},2,FALSE),1,0)</f>
        <v/>
      </c>
      <c r="AT92" s="41">
        <f t="array" ref="AT92">IF(R92=VLOOKUP(VALUE(R$1),{Questions[#],Questions[Answer]},2,FALSE),1,0)</f>
        <v/>
      </c>
      <c r="AU92" s="41">
        <f t="array" ref="AU92">IF(S92=VLOOKUP(VALUE(S$1),{Questions[#],Questions[Answer]},2,FALSE),1,0)</f>
        <v/>
      </c>
      <c r="AV92" s="41">
        <f t="array" ref="AV92">IF(T92=VLOOKUP(VALUE(T$1),{Questions[#],Questions[Answer]},2,FALSE),1,0)</f>
        <v/>
      </c>
      <c r="AW92" s="41">
        <f t="array" ref="AW92">IF(U92=VLOOKUP(VALUE(U$1),{Questions[#],Questions[Answer]},2,FALSE),1,0)</f>
        <v/>
      </c>
      <c r="AX92" s="41">
        <f t="array" ref="AX92">IF(V92=VLOOKUP(VALUE(V$1),{Questions[#],Questions[Answer]},2,FALSE),1,0)</f>
        <v/>
      </c>
      <c r="AY92" s="41">
        <f t="array" ref="AY92">IF(W92=VLOOKUP(VALUE(W$1),{Questions[#],Questions[Answer]},2,FALSE),1,0)</f>
        <v/>
      </c>
      <c r="AZ92" s="41">
        <f t="array" ref="AZ92">IF(X92=VLOOKUP(VALUE(X$1),{Questions[#],Questions[Answer]},2,FALSE),1,0)</f>
        <v/>
      </c>
      <c r="BA92" s="41">
        <f t="array" ref="BA92">IF(Y92=VLOOKUP(VALUE(Y$1),{Questions[#],Questions[Answer]},2,FALSE),1,0)</f>
        <v/>
      </c>
      <c r="BB92" s="41">
        <f t="array" ref="BB92">IF(Z92=VLOOKUP(VALUE(Z$1),{Questions[#],Questions[Answer]},2,FALSE),1,0)</f>
        <v/>
      </c>
      <c r="BC92" s="41">
        <f t="array" ref="BC92">IF(AA92=VLOOKUP(VALUE(AA$1),{Questions[#],Questions[Answer]},2,FALSE),1,0)</f>
        <v/>
      </c>
      <c r="BD92" s="41">
        <f t="array" ref="BD92">IF(AB92=VLOOKUP(VALUE(AB$1),{Questions[#],Questions[Answer]},2,FALSE),1,0)</f>
        <v/>
      </c>
      <c r="BE92" s="41">
        <f t="array" ref="BE92">IF(AC92=VLOOKUP(VALUE(AC$1),{Questions[#],Questions[Answer]},2,FALSE),1,0)</f>
        <v/>
      </c>
      <c r="BF92" s="41">
        <f t="array" ref="BF92">IF(AD92=VLOOKUP(VALUE(AD$1),{Questions[#],Questions[Answer]},2,FALSE),1,0)</f>
        <v/>
      </c>
      <c r="BG92" s="41">
        <f t="array" ref="BG92">IF(AE92=VLOOKUP(VALUE(AE$1),{Questions[#],Questions[Answer]},2,FALSE),1,0)</f>
        <v/>
      </c>
      <c r="BH92" s="41">
        <f t="array" ref="BH92">IF(AF92=VLOOKUP(VALUE(AF$1),{Questions[#],Questions[Answer]},2,FALSE),1,0)</f>
        <v/>
      </c>
      <c r="BI92" s="41">
        <f t="array" ref="BI92">IF(AG92=VLOOKUP(VALUE(AG$1),{Questions[#],Questions[Answer]},2,FALSE),1,0)</f>
        <v/>
      </c>
      <c r="BJ92" s="41">
        <f t="array" ref="BJ92">IF(AH92=VLOOKUP(VALUE(AH$1),{Questions[#],Questions[Answer]},2,FALSE),1,0)</f>
        <v/>
      </c>
      <c r="BK92" s="41">
        <f t="array" ref="BK92">IF(AI92=VLOOKUP(VALUE(AI$1),{Questions[#],Questions[Answer]},2,FALSE),1,0)</f>
        <v/>
      </c>
      <c r="BL92" s="41">
        <f t="array" ref="BL92">IF(AJ92=VLOOKUP(VALUE(AJ$1),{Questions[#],Questions[Answer]},2,FALSE),1,0)</f>
        <v/>
      </c>
      <c r="BM92" s="41">
        <f t="array" ref="BM92">IF(AK92=VLOOKUP(VALUE(AK$1),{Questions[#],Questions[Answer]},2,FALSE),1,0)</f>
        <v/>
      </c>
      <c r="BN92" s="41">
        <f t="array" ref="BN92">IF(AL92=VLOOKUP(VALUE(AL$1),{Questions[#],Questions[Answer]},2,FALSE),1,0)</f>
        <v/>
      </c>
    </row>
    <row r="93" ht="22.5" customHeight="1" s="93">
      <c r="A93" s="42" t="n"/>
      <c r="B93" s="41" t="n"/>
      <c r="C93" s="41" t="n"/>
      <c r="D93" s="43" t="n"/>
      <c r="E93" s="41" t="n"/>
      <c r="F93" s="41" t="n"/>
      <c r="G93" s="11">
        <f>SUM(AM93:BN93)</f>
        <v/>
      </c>
      <c r="H93" s="40">
        <f>G93/9</f>
        <v/>
      </c>
      <c r="I93" s="12">
        <f>0.5+(G93/54)</f>
        <v/>
      </c>
      <c r="J93" s="41">
        <f>COUNTIF(K93:AL93,"")</f>
        <v/>
      </c>
      <c r="K93" s="34" t="n"/>
      <c r="L93" s="35" t="n"/>
      <c r="M93" s="35" t="n"/>
      <c r="N93" s="35" t="n"/>
      <c r="O93" s="35" t="n"/>
      <c r="P93" s="35" t="n"/>
      <c r="Q93" s="35" t="n"/>
      <c r="R93" s="35" t="n"/>
      <c r="S93" s="35" t="n"/>
      <c r="T93" s="35" t="n"/>
      <c r="U93" s="35" t="n"/>
      <c r="V93" s="35" t="n"/>
      <c r="W93" s="35" t="n"/>
      <c r="X93" s="41" t="n"/>
      <c r="Y93" s="35" t="n"/>
      <c r="Z93" s="35" t="n"/>
      <c r="AA93" s="35" t="n"/>
      <c r="AB93" s="35" t="n"/>
      <c r="AC93" s="35" t="n"/>
      <c r="AD93" s="35" t="n"/>
      <c r="AE93" s="41" t="n"/>
      <c r="AF93" s="35" t="n"/>
      <c r="AG93" s="35" t="n"/>
      <c r="AH93" s="35" t="n"/>
      <c r="AI93" s="35" t="n"/>
      <c r="AJ93" s="35" t="n"/>
      <c r="AK93" s="35" t="n"/>
      <c r="AL93" s="38" t="n"/>
      <c r="AM93" s="19">
        <f t="array" ref="AM93">IF(K93=VLOOKUP(VALUE(K$1),{Questions[#],Questions[Answer]},2,FALSE),1,0)</f>
        <v/>
      </c>
      <c r="AN93" s="41">
        <f t="array" ref="AN93">IF(L93=VLOOKUP(VALUE(L$1),{Questions[#],Questions[Answer]},2,FALSE),1,0)</f>
        <v/>
      </c>
      <c r="AO93" s="41">
        <f t="array" ref="AO93">IF(M93=VLOOKUP(VALUE(M$1),{Questions[#],Questions[Answer]},2,FALSE),1,0)</f>
        <v/>
      </c>
      <c r="AP93" s="41">
        <f t="array" ref="AP93">IF(N93=VLOOKUP(VALUE(N$1),{Questions[#],Questions[Answer]},2,FALSE),1,0)</f>
        <v/>
      </c>
      <c r="AQ93" s="41">
        <f t="array" ref="AQ93">IF(O93=VLOOKUP(VALUE(O$1),{Questions[#],Questions[Answer]},2,FALSE),1,0)</f>
        <v/>
      </c>
      <c r="AR93" s="41">
        <f t="array" ref="AR93">IF(P93=VLOOKUP(VALUE(P$1),{Questions[#],Questions[Answer]},2,FALSE),1,0)</f>
        <v/>
      </c>
      <c r="AS93" s="41">
        <f t="array" ref="AS93">IF(Q93=VLOOKUP(VALUE(Q$1),{Questions[#],Questions[Answer]},2,FALSE),1,0)</f>
        <v/>
      </c>
      <c r="AT93" s="41">
        <f t="array" ref="AT93">IF(R93=VLOOKUP(VALUE(R$1),{Questions[#],Questions[Answer]},2,FALSE),1,0)</f>
        <v/>
      </c>
      <c r="AU93" s="41">
        <f t="array" ref="AU93">IF(S93=VLOOKUP(VALUE(S$1),{Questions[#],Questions[Answer]},2,FALSE),1,0)</f>
        <v/>
      </c>
      <c r="AV93" s="41">
        <f t="array" ref="AV93">IF(T93=VLOOKUP(VALUE(T$1),{Questions[#],Questions[Answer]},2,FALSE),1,0)</f>
        <v/>
      </c>
      <c r="AW93" s="41">
        <f t="array" ref="AW93">IF(U93=VLOOKUP(VALUE(U$1),{Questions[#],Questions[Answer]},2,FALSE),1,0)</f>
        <v/>
      </c>
      <c r="AX93" s="41">
        <f t="array" ref="AX93">IF(V93=VLOOKUP(VALUE(V$1),{Questions[#],Questions[Answer]},2,FALSE),1,0)</f>
        <v/>
      </c>
      <c r="AY93" s="41">
        <f t="array" ref="AY93">IF(W93=VLOOKUP(VALUE(W$1),{Questions[#],Questions[Answer]},2,FALSE),1,0)</f>
        <v/>
      </c>
      <c r="AZ93" s="41">
        <f t="array" ref="AZ93">IF(X93=VLOOKUP(VALUE(X$1),{Questions[#],Questions[Answer]},2,FALSE),1,0)</f>
        <v/>
      </c>
      <c r="BA93" s="41">
        <f t="array" ref="BA93">IF(Y93=VLOOKUP(VALUE(Y$1),{Questions[#],Questions[Answer]},2,FALSE),1,0)</f>
        <v/>
      </c>
      <c r="BB93" s="41">
        <f t="array" ref="BB93">IF(Z93=VLOOKUP(VALUE(Z$1),{Questions[#],Questions[Answer]},2,FALSE),1,0)</f>
        <v/>
      </c>
      <c r="BC93" s="41">
        <f t="array" ref="BC93">IF(AA93=VLOOKUP(VALUE(AA$1),{Questions[#],Questions[Answer]},2,FALSE),1,0)</f>
        <v/>
      </c>
      <c r="BD93" s="41">
        <f t="array" ref="BD93">IF(AB93=VLOOKUP(VALUE(AB$1),{Questions[#],Questions[Answer]},2,FALSE),1,0)</f>
        <v/>
      </c>
      <c r="BE93" s="41">
        <f t="array" ref="BE93">IF(AC93=VLOOKUP(VALUE(AC$1),{Questions[#],Questions[Answer]},2,FALSE),1,0)</f>
        <v/>
      </c>
      <c r="BF93" s="41">
        <f t="array" ref="BF93">IF(AD93=VLOOKUP(VALUE(AD$1),{Questions[#],Questions[Answer]},2,FALSE),1,0)</f>
        <v/>
      </c>
      <c r="BG93" s="41">
        <f t="array" ref="BG93">IF(AE93=VLOOKUP(VALUE(AE$1),{Questions[#],Questions[Answer]},2,FALSE),1,0)</f>
        <v/>
      </c>
      <c r="BH93" s="41">
        <f t="array" ref="BH93">IF(AF93=VLOOKUP(VALUE(AF$1),{Questions[#],Questions[Answer]},2,FALSE),1,0)</f>
        <v/>
      </c>
      <c r="BI93" s="41">
        <f t="array" ref="BI93">IF(AG93=VLOOKUP(VALUE(AG$1),{Questions[#],Questions[Answer]},2,FALSE),1,0)</f>
        <v/>
      </c>
      <c r="BJ93" s="41">
        <f t="array" ref="BJ93">IF(AH93=VLOOKUP(VALUE(AH$1),{Questions[#],Questions[Answer]},2,FALSE),1,0)</f>
        <v/>
      </c>
      <c r="BK93" s="41">
        <f t="array" ref="BK93">IF(AI93=VLOOKUP(VALUE(AI$1),{Questions[#],Questions[Answer]},2,FALSE),1,0)</f>
        <v/>
      </c>
      <c r="BL93" s="41">
        <f t="array" ref="BL93">IF(AJ93=VLOOKUP(VALUE(AJ$1),{Questions[#],Questions[Answer]},2,FALSE),1,0)</f>
        <v/>
      </c>
      <c r="BM93" s="41">
        <f t="array" ref="BM93">IF(AK93=VLOOKUP(VALUE(AK$1),{Questions[#],Questions[Answer]},2,FALSE),1,0)</f>
        <v/>
      </c>
      <c r="BN93" s="41">
        <f t="array" ref="BN93">IF(AL93=VLOOKUP(VALUE(AL$1),{Questions[#],Questions[Answer]},2,FALSE),1,0)</f>
        <v/>
      </c>
    </row>
    <row r="94" ht="22.5" customHeight="1" s="93">
      <c r="A94" s="42" t="n"/>
      <c r="B94" s="41" t="n"/>
      <c r="C94" s="41" t="n"/>
      <c r="D94" s="43" t="n"/>
      <c r="E94" s="41" t="n"/>
      <c r="F94" s="41" t="n"/>
      <c r="G94" s="11">
        <f>SUM(AM94:BN94)</f>
        <v/>
      </c>
      <c r="H94" s="40">
        <f>G94/9</f>
        <v/>
      </c>
      <c r="I94" s="12">
        <f>0.5+(G94/54)</f>
        <v/>
      </c>
      <c r="J94" s="41">
        <f>COUNTIF(K94:AL94,"")</f>
        <v/>
      </c>
      <c r="K94" s="34" t="n"/>
      <c r="L94" s="35" t="n"/>
      <c r="M94" s="35" t="n"/>
      <c r="N94" s="35" t="n"/>
      <c r="O94" s="35" t="n"/>
      <c r="P94" s="35" t="n"/>
      <c r="Q94" s="35" t="n"/>
      <c r="R94" s="35" t="n"/>
      <c r="S94" s="35" t="n"/>
      <c r="T94" s="35" t="n"/>
      <c r="U94" s="35" t="n"/>
      <c r="V94" s="35" t="n"/>
      <c r="W94" s="35" t="n"/>
      <c r="X94" s="41" t="n"/>
      <c r="Y94" s="35" t="n"/>
      <c r="Z94" s="35" t="n"/>
      <c r="AA94" s="35" t="n"/>
      <c r="AB94" s="35" t="n"/>
      <c r="AC94" s="35" t="n"/>
      <c r="AD94" s="35" t="n"/>
      <c r="AE94" s="41" t="n"/>
      <c r="AF94" s="35" t="n"/>
      <c r="AG94" s="35" t="n"/>
      <c r="AH94" s="35" t="n"/>
      <c r="AI94" s="35" t="n"/>
      <c r="AJ94" s="35" t="n"/>
      <c r="AK94" s="35" t="n"/>
      <c r="AL94" s="38" t="n"/>
      <c r="AM94" s="19">
        <f t="array" ref="AM94">IF(K94=VLOOKUP(VALUE(K$1),{Questions[#],Questions[Answer]},2,FALSE),1,0)</f>
        <v/>
      </c>
      <c r="AN94" s="41">
        <f t="array" ref="AN94">IF(L94=VLOOKUP(VALUE(L$1),{Questions[#],Questions[Answer]},2,FALSE),1,0)</f>
        <v/>
      </c>
      <c r="AO94" s="41">
        <f t="array" ref="AO94">IF(M94=VLOOKUP(VALUE(M$1),{Questions[#],Questions[Answer]},2,FALSE),1,0)</f>
        <v/>
      </c>
      <c r="AP94" s="41">
        <f t="array" ref="AP94">IF(N94=VLOOKUP(VALUE(N$1),{Questions[#],Questions[Answer]},2,FALSE),1,0)</f>
        <v/>
      </c>
      <c r="AQ94" s="41">
        <f t="array" ref="AQ94">IF(O94=VLOOKUP(VALUE(O$1),{Questions[#],Questions[Answer]},2,FALSE),1,0)</f>
        <v/>
      </c>
      <c r="AR94" s="41">
        <f t="array" ref="AR94">IF(P94=VLOOKUP(VALUE(P$1),{Questions[#],Questions[Answer]},2,FALSE),1,0)</f>
        <v/>
      </c>
      <c r="AS94" s="41">
        <f t="array" ref="AS94">IF(Q94=VLOOKUP(VALUE(Q$1),{Questions[#],Questions[Answer]},2,FALSE),1,0)</f>
        <v/>
      </c>
      <c r="AT94" s="41">
        <f t="array" ref="AT94">IF(R94=VLOOKUP(VALUE(R$1),{Questions[#],Questions[Answer]},2,FALSE),1,0)</f>
        <v/>
      </c>
      <c r="AU94" s="41">
        <f t="array" ref="AU94">IF(S94=VLOOKUP(VALUE(S$1),{Questions[#],Questions[Answer]},2,FALSE),1,0)</f>
        <v/>
      </c>
      <c r="AV94" s="41">
        <f t="array" ref="AV94">IF(T94=VLOOKUP(VALUE(T$1),{Questions[#],Questions[Answer]},2,FALSE),1,0)</f>
        <v/>
      </c>
      <c r="AW94" s="41">
        <f t="array" ref="AW94">IF(U94=VLOOKUP(VALUE(U$1),{Questions[#],Questions[Answer]},2,FALSE),1,0)</f>
        <v/>
      </c>
      <c r="AX94" s="41">
        <f t="array" ref="AX94">IF(V94=VLOOKUP(VALUE(V$1),{Questions[#],Questions[Answer]},2,FALSE),1,0)</f>
        <v/>
      </c>
      <c r="AY94" s="41">
        <f t="array" ref="AY94">IF(W94=VLOOKUP(VALUE(W$1),{Questions[#],Questions[Answer]},2,FALSE),1,0)</f>
        <v/>
      </c>
      <c r="AZ94" s="41">
        <f t="array" ref="AZ94">IF(X94=VLOOKUP(VALUE(X$1),{Questions[#],Questions[Answer]},2,FALSE),1,0)</f>
        <v/>
      </c>
      <c r="BA94" s="41">
        <f t="array" ref="BA94">IF(Y94=VLOOKUP(VALUE(Y$1),{Questions[#],Questions[Answer]},2,FALSE),1,0)</f>
        <v/>
      </c>
      <c r="BB94" s="41">
        <f t="array" ref="BB94">IF(Z94=VLOOKUP(VALUE(Z$1),{Questions[#],Questions[Answer]},2,FALSE),1,0)</f>
        <v/>
      </c>
      <c r="BC94" s="41">
        <f t="array" ref="BC94">IF(AA94=VLOOKUP(VALUE(AA$1),{Questions[#],Questions[Answer]},2,FALSE),1,0)</f>
        <v/>
      </c>
      <c r="BD94" s="41">
        <f t="array" ref="BD94">IF(AB94=VLOOKUP(VALUE(AB$1),{Questions[#],Questions[Answer]},2,FALSE),1,0)</f>
        <v/>
      </c>
      <c r="BE94" s="41">
        <f t="array" ref="BE94">IF(AC94=VLOOKUP(VALUE(AC$1),{Questions[#],Questions[Answer]},2,FALSE),1,0)</f>
        <v/>
      </c>
      <c r="BF94" s="41">
        <f t="array" ref="BF94">IF(AD94=VLOOKUP(VALUE(AD$1),{Questions[#],Questions[Answer]},2,FALSE),1,0)</f>
        <v/>
      </c>
      <c r="BG94" s="41">
        <f t="array" ref="BG94">IF(AE94=VLOOKUP(VALUE(AE$1),{Questions[#],Questions[Answer]},2,FALSE),1,0)</f>
        <v/>
      </c>
      <c r="BH94" s="41">
        <f t="array" ref="BH94">IF(AF94=VLOOKUP(VALUE(AF$1),{Questions[#],Questions[Answer]},2,FALSE),1,0)</f>
        <v/>
      </c>
      <c r="BI94" s="41">
        <f t="array" ref="BI94">IF(AG94=VLOOKUP(VALUE(AG$1),{Questions[#],Questions[Answer]},2,FALSE),1,0)</f>
        <v/>
      </c>
      <c r="BJ94" s="41">
        <f t="array" ref="BJ94">IF(AH94=VLOOKUP(VALUE(AH$1),{Questions[#],Questions[Answer]},2,FALSE),1,0)</f>
        <v/>
      </c>
      <c r="BK94" s="41">
        <f t="array" ref="BK94">IF(AI94=VLOOKUP(VALUE(AI$1),{Questions[#],Questions[Answer]},2,FALSE),1,0)</f>
        <v/>
      </c>
      <c r="BL94" s="41">
        <f t="array" ref="BL94">IF(AJ94=VLOOKUP(VALUE(AJ$1),{Questions[#],Questions[Answer]},2,FALSE),1,0)</f>
        <v/>
      </c>
      <c r="BM94" s="41">
        <f t="array" ref="BM94">IF(AK94=VLOOKUP(VALUE(AK$1),{Questions[#],Questions[Answer]},2,FALSE),1,0)</f>
        <v/>
      </c>
      <c r="BN94" s="41">
        <f t="array" ref="BN94">IF(AL94=VLOOKUP(VALUE(AL$1),{Questions[#],Questions[Answer]},2,FALSE),1,0)</f>
        <v/>
      </c>
    </row>
    <row r="95" ht="22.5" customHeight="1" s="93">
      <c r="A95" s="42" t="n"/>
      <c r="B95" s="41" t="n"/>
      <c r="C95" s="41" t="n"/>
      <c r="D95" s="43" t="n"/>
      <c r="E95" s="41" t="n"/>
      <c r="F95" s="41" t="n"/>
      <c r="G95" s="11">
        <f>SUM(AM95:BN95)</f>
        <v/>
      </c>
      <c r="H95" s="40">
        <f>G95/9</f>
        <v/>
      </c>
      <c r="I95" s="12">
        <f>0.5+(G95/54)</f>
        <v/>
      </c>
      <c r="J95" s="41">
        <f>COUNTIF(K95:AL95,"")</f>
        <v/>
      </c>
      <c r="K95" s="34" t="n"/>
      <c r="L95" s="35" t="n"/>
      <c r="M95" s="35" t="n"/>
      <c r="N95" s="35" t="n"/>
      <c r="O95" s="35" t="n"/>
      <c r="P95" s="35" t="n"/>
      <c r="Q95" s="35" t="n"/>
      <c r="R95" s="35" t="n"/>
      <c r="S95" s="35" t="n"/>
      <c r="T95" s="35" t="n"/>
      <c r="U95" s="35" t="n"/>
      <c r="V95" s="35" t="n"/>
      <c r="W95" s="35" t="n"/>
      <c r="X95" s="41" t="n"/>
      <c r="Y95" s="35" t="n"/>
      <c r="Z95" s="35" t="n"/>
      <c r="AA95" s="35" t="n"/>
      <c r="AB95" s="35" t="n"/>
      <c r="AC95" s="35" t="n"/>
      <c r="AD95" s="35" t="n"/>
      <c r="AE95" s="41" t="n"/>
      <c r="AF95" s="35" t="n"/>
      <c r="AG95" s="35" t="n"/>
      <c r="AH95" s="35" t="n"/>
      <c r="AI95" s="35" t="n"/>
      <c r="AJ95" s="35" t="n"/>
      <c r="AK95" s="35" t="n"/>
      <c r="AL95" s="38" t="n"/>
      <c r="AM95" s="19">
        <f t="array" ref="AM95">IF(K95=VLOOKUP(VALUE(K$1),{Questions[#],Questions[Answer]},2,FALSE),1,0)</f>
        <v/>
      </c>
      <c r="AN95" s="41">
        <f t="array" ref="AN95">IF(L95=VLOOKUP(VALUE(L$1),{Questions[#],Questions[Answer]},2,FALSE),1,0)</f>
        <v/>
      </c>
      <c r="AO95" s="41">
        <f t="array" ref="AO95">IF(M95=VLOOKUP(VALUE(M$1),{Questions[#],Questions[Answer]},2,FALSE),1,0)</f>
        <v/>
      </c>
      <c r="AP95" s="41">
        <f t="array" ref="AP95">IF(N95=VLOOKUP(VALUE(N$1),{Questions[#],Questions[Answer]},2,FALSE),1,0)</f>
        <v/>
      </c>
      <c r="AQ95" s="41">
        <f t="array" ref="AQ95">IF(O95=VLOOKUP(VALUE(O$1),{Questions[#],Questions[Answer]},2,FALSE),1,0)</f>
        <v/>
      </c>
      <c r="AR95" s="41">
        <f t="array" ref="AR95">IF(P95=VLOOKUP(VALUE(P$1),{Questions[#],Questions[Answer]},2,FALSE),1,0)</f>
        <v/>
      </c>
      <c r="AS95" s="41">
        <f t="array" ref="AS95">IF(Q95=VLOOKUP(VALUE(Q$1),{Questions[#],Questions[Answer]},2,FALSE),1,0)</f>
        <v/>
      </c>
      <c r="AT95" s="41">
        <f t="array" ref="AT95">IF(R95=VLOOKUP(VALUE(R$1),{Questions[#],Questions[Answer]},2,FALSE),1,0)</f>
        <v/>
      </c>
      <c r="AU95" s="41">
        <f t="array" ref="AU95">IF(S95=VLOOKUP(VALUE(S$1),{Questions[#],Questions[Answer]},2,FALSE),1,0)</f>
        <v/>
      </c>
      <c r="AV95" s="41">
        <f t="array" ref="AV95">IF(T95=VLOOKUP(VALUE(T$1),{Questions[#],Questions[Answer]},2,FALSE),1,0)</f>
        <v/>
      </c>
      <c r="AW95" s="41">
        <f t="array" ref="AW95">IF(U95=VLOOKUP(VALUE(U$1),{Questions[#],Questions[Answer]},2,FALSE),1,0)</f>
        <v/>
      </c>
      <c r="AX95" s="41">
        <f t="array" ref="AX95">IF(V95=VLOOKUP(VALUE(V$1),{Questions[#],Questions[Answer]},2,FALSE),1,0)</f>
        <v/>
      </c>
      <c r="AY95" s="41">
        <f t="array" ref="AY95">IF(W95=VLOOKUP(VALUE(W$1),{Questions[#],Questions[Answer]},2,FALSE),1,0)</f>
        <v/>
      </c>
      <c r="AZ95" s="41">
        <f t="array" ref="AZ95">IF(X95=VLOOKUP(VALUE(X$1),{Questions[#],Questions[Answer]},2,FALSE),1,0)</f>
        <v/>
      </c>
      <c r="BA95" s="41">
        <f t="array" ref="BA95">IF(Y95=VLOOKUP(VALUE(Y$1),{Questions[#],Questions[Answer]},2,FALSE),1,0)</f>
        <v/>
      </c>
      <c r="BB95" s="41">
        <f t="array" ref="BB95">IF(Z95=VLOOKUP(VALUE(Z$1),{Questions[#],Questions[Answer]},2,FALSE),1,0)</f>
        <v/>
      </c>
      <c r="BC95" s="41">
        <f t="array" ref="BC95">IF(AA95=VLOOKUP(VALUE(AA$1),{Questions[#],Questions[Answer]},2,FALSE),1,0)</f>
        <v/>
      </c>
      <c r="BD95" s="41">
        <f t="array" ref="BD95">IF(AB95=VLOOKUP(VALUE(AB$1),{Questions[#],Questions[Answer]},2,FALSE),1,0)</f>
        <v/>
      </c>
      <c r="BE95" s="41">
        <f t="array" ref="BE95">IF(AC95=VLOOKUP(VALUE(AC$1),{Questions[#],Questions[Answer]},2,FALSE),1,0)</f>
        <v/>
      </c>
      <c r="BF95" s="41">
        <f t="array" ref="BF95">IF(AD95=VLOOKUP(VALUE(AD$1),{Questions[#],Questions[Answer]},2,FALSE),1,0)</f>
        <v/>
      </c>
      <c r="BG95" s="41">
        <f t="array" ref="BG95">IF(AE95=VLOOKUP(VALUE(AE$1),{Questions[#],Questions[Answer]},2,FALSE),1,0)</f>
        <v/>
      </c>
      <c r="BH95" s="41">
        <f t="array" ref="BH95">IF(AF95=VLOOKUP(VALUE(AF$1),{Questions[#],Questions[Answer]},2,FALSE),1,0)</f>
        <v/>
      </c>
      <c r="BI95" s="41">
        <f t="array" ref="BI95">IF(AG95=VLOOKUP(VALUE(AG$1),{Questions[#],Questions[Answer]},2,FALSE),1,0)</f>
        <v/>
      </c>
      <c r="BJ95" s="41">
        <f t="array" ref="BJ95">IF(AH95=VLOOKUP(VALUE(AH$1),{Questions[#],Questions[Answer]},2,FALSE),1,0)</f>
        <v/>
      </c>
      <c r="BK95" s="41">
        <f t="array" ref="BK95">IF(AI95=VLOOKUP(VALUE(AI$1),{Questions[#],Questions[Answer]},2,FALSE),1,0)</f>
        <v/>
      </c>
      <c r="BL95" s="41">
        <f t="array" ref="BL95">IF(AJ95=VLOOKUP(VALUE(AJ$1),{Questions[#],Questions[Answer]},2,FALSE),1,0)</f>
        <v/>
      </c>
      <c r="BM95" s="41">
        <f t="array" ref="BM95">IF(AK95=VLOOKUP(VALUE(AK$1),{Questions[#],Questions[Answer]},2,FALSE),1,0)</f>
        <v/>
      </c>
      <c r="BN95" s="41">
        <f t="array" ref="BN95">IF(AL95=VLOOKUP(VALUE(AL$1),{Questions[#],Questions[Answer]},2,FALSE),1,0)</f>
        <v/>
      </c>
    </row>
    <row r="96" ht="22.5" customHeight="1" s="93">
      <c r="A96" s="42" t="n"/>
      <c r="B96" s="41" t="n"/>
      <c r="C96" s="41" t="n"/>
      <c r="D96" s="43" t="n"/>
      <c r="E96" s="41" t="n"/>
      <c r="F96" s="41" t="n"/>
      <c r="G96" s="11">
        <f>SUM(AM96:BN96)</f>
        <v/>
      </c>
      <c r="H96" s="40">
        <f>G96/9</f>
        <v/>
      </c>
      <c r="I96" s="12">
        <f>0.5+(G96/54)</f>
        <v/>
      </c>
      <c r="J96" s="41">
        <f>COUNTIF(K96:AL96,"")</f>
        <v/>
      </c>
      <c r="K96" s="34" t="n"/>
      <c r="L96" s="35" t="n"/>
      <c r="M96" s="35" t="n"/>
      <c r="N96" s="35" t="n"/>
      <c r="O96" s="35" t="n"/>
      <c r="P96" s="35" t="n"/>
      <c r="Q96" s="35" t="n"/>
      <c r="R96" s="35" t="n"/>
      <c r="S96" s="35" t="n"/>
      <c r="T96" s="35" t="n"/>
      <c r="U96" s="35" t="n"/>
      <c r="V96" s="35" t="n"/>
      <c r="W96" s="35" t="n"/>
      <c r="X96" s="41" t="n"/>
      <c r="Y96" s="35" t="n"/>
      <c r="Z96" s="35" t="n"/>
      <c r="AA96" s="35" t="n"/>
      <c r="AB96" s="35" t="n"/>
      <c r="AC96" s="35" t="n"/>
      <c r="AD96" s="35" t="n"/>
      <c r="AE96" s="41" t="n"/>
      <c r="AF96" s="35" t="n"/>
      <c r="AG96" s="35" t="n"/>
      <c r="AH96" s="35" t="n"/>
      <c r="AI96" s="35" t="n"/>
      <c r="AJ96" s="35" t="n"/>
      <c r="AK96" s="35" t="n"/>
      <c r="AL96" s="38" t="n"/>
      <c r="AM96" s="19">
        <f t="array" ref="AM96">IF(K96=VLOOKUP(VALUE(K$1),{Questions[#],Questions[Answer]},2,FALSE),1,0)</f>
        <v/>
      </c>
      <c r="AN96" s="41">
        <f t="array" ref="AN96">IF(L96=VLOOKUP(VALUE(L$1),{Questions[#],Questions[Answer]},2,FALSE),1,0)</f>
        <v/>
      </c>
      <c r="AO96" s="41">
        <f t="array" ref="AO96">IF(M96=VLOOKUP(VALUE(M$1),{Questions[#],Questions[Answer]},2,FALSE),1,0)</f>
        <v/>
      </c>
      <c r="AP96" s="41">
        <f t="array" ref="AP96">IF(N96=VLOOKUP(VALUE(N$1),{Questions[#],Questions[Answer]},2,FALSE),1,0)</f>
        <v/>
      </c>
      <c r="AQ96" s="41">
        <f t="array" ref="AQ96">IF(O96=VLOOKUP(VALUE(O$1),{Questions[#],Questions[Answer]},2,FALSE),1,0)</f>
        <v/>
      </c>
      <c r="AR96" s="41">
        <f t="array" ref="AR96">IF(P96=VLOOKUP(VALUE(P$1),{Questions[#],Questions[Answer]},2,FALSE),1,0)</f>
        <v/>
      </c>
      <c r="AS96" s="41">
        <f t="array" ref="AS96">IF(Q96=VLOOKUP(VALUE(Q$1),{Questions[#],Questions[Answer]},2,FALSE),1,0)</f>
        <v/>
      </c>
      <c r="AT96" s="41">
        <f t="array" ref="AT96">IF(R96=VLOOKUP(VALUE(R$1),{Questions[#],Questions[Answer]},2,FALSE),1,0)</f>
        <v/>
      </c>
      <c r="AU96" s="41">
        <f t="array" ref="AU96">IF(S96=VLOOKUP(VALUE(S$1),{Questions[#],Questions[Answer]},2,FALSE),1,0)</f>
        <v/>
      </c>
      <c r="AV96" s="41">
        <f t="array" ref="AV96">IF(T96=VLOOKUP(VALUE(T$1),{Questions[#],Questions[Answer]},2,FALSE),1,0)</f>
        <v/>
      </c>
      <c r="AW96" s="41">
        <f t="array" ref="AW96">IF(U96=VLOOKUP(VALUE(U$1),{Questions[#],Questions[Answer]},2,FALSE),1,0)</f>
        <v/>
      </c>
      <c r="AX96" s="41">
        <f t="array" ref="AX96">IF(V96=VLOOKUP(VALUE(V$1),{Questions[#],Questions[Answer]},2,FALSE),1,0)</f>
        <v/>
      </c>
      <c r="AY96" s="41">
        <f t="array" ref="AY96">IF(W96=VLOOKUP(VALUE(W$1),{Questions[#],Questions[Answer]},2,FALSE),1,0)</f>
        <v/>
      </c>
      <c r="AZ96" s="41">
        <f t="array" ref="AZ96">IF(X96=VLOOKUP(VALUE(X$1),{Questions[#],Questions[Answer]},2,FALSE),1,0)</f>
        <v/>
      </c>
      <c r="BA96" s="41">
        <f t="array" ref="BA96">IF(Y96=VLOOKUP(VALUE(Y$1),{Questions[#],Questions[Answer]},2,FALSE),1,0)</f>
        <v/>
      </c>
      <c r="BB96" s="41">
        <f t="array" ref="BB96">IF(Z96=VLOOKUP(VALUE(Z$1),{Questions[#],Questions[Answer]},2,FALSE),1,0)</f>
        <v/>
      </c>
      <c r="BC96" s="41">
        <f t="array" ref="BC96">IF(AA96=VLOOKUP(VALUE(AA$1),{Questions[#],Questions[Answer]},2,FALSE),1,0)</f>
        <v/>
      </c>
      <c r="BD96" s="41">
        <f t="array" ref="BD96">IF(AB96=VLOOKUP(VALUE(AB$1),{Questions[#],Questions[Answer]},2,FALSE),1,0)</f>
        <v/>
      </c>
      <c r="BE96" s="41">
        <f t="array" ref="BE96">IF(AC96=VLOOKUP(VALUE(AC$1),{Questions[#],Questions[Answer]},2,FALSE),1,0)</f>
        <v/>
      </c>
      <c r="BF96" s="41">
        <f t="array" ref="BF96">IF(AD96=VLOOKUP(VALUE(AD$1),{Questions[#],Questions[Answer]},2,FALSE),1,0)</f>
        <v/>
      </c>
      <c r="BG96" s="41">
        <f t="array" ref="BG96">IF(AE96=VLOOKUP(VALUE(AE$1),{Questions[#],Questions[Answer]},2,FALSE),1,0)</f>
        <v/>
      </c>
      <c r="BH96" s="41">
        <f t="array" ref="BH96">IF(AF96=VLOOKUP(VALUE(AF$1),{Questions[#],Questions[Answer]},2,FALSE),1,0)</f>
        <v/>
      </c>
      <c r="BI96" s="41">
        <f t="array" ref="BI96">IF(AG96=VLOOKUP(VALUE(AG$1),{Questions[#],Questions[Answer]},2,FALSE),1,0)</f>
        <v/>
      </c>
      <c r="BJ96" s="41">
        <f t="array" ref="BJ96">IF(AH96=VLOOKUP(VALUE(AH$1),{Questions[#],Questions[Answer]},2,FALSE),1,0)</f>
        <v/>
      </c>
      <c r="BK96" s="41">
        <f t="array" ref="BK96">IF(AI96=VLOOKUP(VALUE(AI$1),{Questions[#],Questions[Answer]},2,FALSE),1,0)</f>
        <v/>
      </c>
      <c r="BL96" s="41">
        <f t="array" ref="BL96">IF(AJ96=VLOOKUP(VALUE(AJ$1),{Questions[#],Questions[Answer]},2,FALSE),1,0)</f>
        <v/>
      </c>
      <c r="BM96" s="41">
        <f t="array" ref="BM96">IF(AK96=VLOOKUP(VALUE(AK$1),{Questions[#],Questions[Answer]},2,FALSE),1,0)</f>
        <v/>
      </c>
      <c r="BN96" s="41">
        <f t="array" ref="BN96">IF(AL96=VLOOKUP(VALUE(AL$1),{Questions[#],Questions[Answer]},2,FALSE),1,0)</f>
        <v/>
      </c>
    </row>
    <row r="97" ht="22.5" customHeight="1" s="93">
      <c r="A97" s="42" t="n"/>
      <c r="B97" s="41" t="n"/>
      <c r="C97" s="41" t="n"/>
      <c r="D97" s="43" t="n"/>
      <c r="E97" s="41" t="n"/>
      <c r="F97" s="41" t="n"/>
      <c r="G97" s="11">
        <f>SUM(AM97:BN97)</f>
        <v/>
      </c>
      <c r="H97" s="40">
        <f>G97/9</f>
        <v/>
      </c>
      <c r="I97" s="12">
        <f>0.5+(G97/54)</f>
        <v/>
      </c>
      <c r="J97" s="41">
        <f>COUNTIF(K97:AL97,"")</f>
        <v/>
      </c>
      <c r="K97" s="34" t="n"/>
      <c r="L97" s="35" t="n"/>
      <c r="M97" s="35" t="n"/>
      <c r="N97" s="35" t="n"/>
      <c r="O97" s="35" t="n"/>
      <c r="P97" s="35" t="n"/>
      <c r="Q97" s="35" t="n"/>
      <c r="R97" s="35" t="n"/>
      <c r="S97" s="35" t="n"/>
      <c r="T97" s="35" t="n"/>
      <c r="U97" s="35" t="n"/>
      <c r="V97" s="35" t="n"/>
      <c r="W97" s="35" t="n"/>
      <c r="X97" s="41" t="n"/>
      <c r="Y97" s="35" t="n"/>
      <c r="Z97" s="35" t="n"/>
      <c r="AA97" s="35" t="n"/>
      <c r="AB97" s="35" t="n"/>
      <c r="AC97" s="35" t="n"/>
      <c r="AD97" s="35" t="n"/>
      <c r="AE97" s="41" t="n"/>
      <c r="AF97" s="35" t="n"/>
      <c r="AG97" s="35" t="n"/>
      <c r="AH97" s="35" t="n"/>
      <c r="AI97" s="35" t="n"/>
      <c r="AJ97" s="35" t="n"/>
      <c r="AK97" s="35" t="n"/>
      <c r="AL97" s="38" t="n"/>
      <c r="AM97" s="19">
        <f t="array" ref="AM97">IF(K97=VLOOKUP(VALUE(K$1),{Questions[#],Questions[Answer]},2,FALSE),1,0)</f>
        <v/>
      </c>
      <c r="AN97" s="41">
        <f t="array" ref="AN97">IF(L97=VLOOKUP(VALUE(L$1),{Questions[#],Questions[Answer]},2,FALSE),1,0)</f>
        <v/>
      </c>
      <c r="AO97" s="41">
        <f t="array" ref="AO97">IF(M97=VLOOKUP(VALUE(M$1),{Questions[#],Questions[Answer]},2,FALSE),1,0)</f>
        <v/>
      </c>
      <c r="AP97" s="41">
        <f t="array" ref="AP97">IF(N97=VLOOKUP(VALUE(N$1),{Questions[#],Questions[Answer]},2,FALSE),1,0)</f>
        <v/>
      </c>
      <c r="AQ97" s="41">
        <f t="array" ref="AQ97">IF(O97=VLOOKUP(VALUE(O$1),{Questions[#],Questions[Answer]},2,FALSE),1,0)</f>
        <v/>
      </c>
      <c r="AR97" s="41">
        <f t="array" ref="AR97">IF(P97=VLOOKUP(VALUE(P$1),{Questions[#],Questions[Answer]},2,FALSE),1,0)</f>
        <v/>
      </c>
      <c r="AS97" s="41">
        <f t="array" ref="AS97">IF(Q97=VLOOKUP(VALUE(Q$1),{Questions[#],Questions[Answer]},2,FALSE),1,0)</f>
        <v/>
      </c>
      <c r="AT97" s="41">
        <f t="array" ref="AT97">IF(R97=VLOOKUP(VALUE(R$1),{Questions[#],Questions[Answer]},2,FALSE),1,0)</f>
        <v/>
      </c>
      <c r="AU97" s="41">
        <f t="array" ref="AU97">IF(S97=VLOOKUP(VALUE(S$1),{Questions[#],Questions[Answer]},2,FALSE),1,0)</f>
        <v/>
      </c>
      <c r="AV97" s="41">
        <f t="array" ref="AV97">IF(T97=VLOOKUP(VALUE(T$1),{Questions[#],Questions[Answer]},2,FALSE),1,0)</f>
        <v/>
      </c>
      <c r="AW97" s="41">
        <f t="array" ref="AW97">IF(U97=VLOOKUP(VALUE(U$1),{Questions[#],Questions[Answer]},2,FALSE),1,0)</f>
        <v/>
      </c>
      <c r="AX97" s="41">
        <f t="array" ref="AX97">IF(V97=VLOOKUP(VALUE(V$1),{Questions[#],Questions[Answer]},2,FALSE),1,0)</f>
        <v/>
      </c>
      <c r="AY97" s="41">
        <f t="array" ref="AY97">IF(W97=VLOOKUP(VALUE(W$1),{Questions[#],Questions[Answer]},2,FALSE),1,0)</f>
        <v/>
      </c>
      <c r="AZ97" s="41">
        <f t="array" ref="AZ97">IF(X97=VLOOKUP(VALUE(X$1),{Questions[#],Questions[Answer]},2,FALSE),1,0)</f>
        <v/>
      </c>
      <c r="BA97" s="41">
        <f t="array" ref="BA97">IF(Y97=VLOOKUP(VALUE(Y$1),{Questions[#],Questions[Answer]},2,FALSE),1,0)</f>
        <v/>
      </c>
      <c r="BB97" s="41">
        <f t="array" ref="BB97">IF(Z97=VLOOKUP(VALUE(Z$1),{Questions[#],Questions[Answer]},2,FALSE),1,0)</f>
        <v/>
      </c>
      <c r="BC97" s="41">
        <f t="array" ref="BC97">IF(AA97=VLOOKUP(VALUE(AA$1),{Questions[#],Questions[Answer]},2,FALSE),1,0)</f>
        <v/>
      </c>
      <c r="BD97" s="41">
        <f t="array" ref="BD97">IF(AB97=VLOOKUP(VALUE(AB$1),{Questions[#],Questions[Answer]},2,FALSE),1,0)</f>
        <v/>
      </c>
      <c r="BE97" s="41">
        <f t="array" ref="BE97">IF(AC97=VLOOKUP(VALUE(AC$1),{Questions[#],Questions[Answer]},2,FALSE),1,0)</f>
        <v/>
      </c>
      <c r="BF97" s="41">
        <f t="array" ref="BF97">IF(AD97=VLOOKUP(VALUE(AD$1),{Questions[#],Questions[Answer]},2,FALSE),1,0)</f>
        <v/>
      </c>
      <c r="BG97" s="41">
        <f t="array" ref="BG97">IF(AE97=VLOOKUP(VALUE(AE$1),{Questions[#],Questions[Answer]},2,FALSE),1,0)</f>
        <v/>
      </c>
      <c r="BH97" s="41">
        <f t="array" ref="BH97">IF(AF97=VLOOKUP(VALUE(AF$1),{Questions[#],Questions[Answer]},2,FALSE),1,0)</f>
        <v/>
      </c>
      <c r="BI97" s="41">
        <f t="array" ref="BI97">IF(AG97=VLOOKUP(VALUE(AG$1),{Questions[#],Questions[Answer]},2,FALSE),1,0)</f>
        <v/>
      </c>
      <c r="BJ97" s="41">
        <f t="array" ref="BJ97">IF(AH97=VLOOKUP(VALUE(AH$1),{Questions[#],Questions[Answer]},2,FALSE),1,0)</f>
        <v/>
      </c>
      <c r="BK97" s="41">
        <f t="array" ref="BK97">IF(AI97=VLOOKUP(VALUE(AI$1),{Questions[#],Questions[Answer]},2,FALSE),1,0)</f>
        <v/>
      </c>
      <c r="BL97" s="41">
        <f t="array" ref="BL97">IF(AJ97=VLOOKUP(VALUE(AJ$1),{Questions[#],Questions[Answer]},2,FALSE),1,0)</f>
        <v/>
      </c>
      <c r="BM97" s="41">
        <f t="array" ref="BM97">IF(AK97=VLOOKUP(VALUE(AK$1),{Questions[#],Questions[Answer]},2,FALSE),1,0)</f>
        <v/>
      </c>
      <c r="BN97" s="41">
        <f t="array" ref="BN97">IF(AL97=VLOOKUP(VALUE(AL$1),{Questions[#],Questions[Answer]},2,FALSE),1,0)</f>
        <v/>
      </c>
    </row>
    <row r="98" ht="22.5" customHeight="1" s="93">
      <c r="A98" s="42" t="n"/>
      <c r="B98" s="41" t="n"/>
      <c r="C98" s="41" t="n"/>
      <c r="D98" s="43" t="n"/>
      <c r="E98" s="41" t="n"/>
      <c r="F98" s="41" t="n"/>
      <c r="G98" s="11">
        <f>SUM(AM98:BN98)</f>
        <v/>
      </c>
      <c r="H98" s="40">
        <f>G98/9</f>
        <v/>
      </c>
      <c r="I98" s="12">
        <f>0.5+(G98/54)</f>
        <v/>
      </c>
      <c r="J98" s="41">
        <f>COUNTIF(K98:AL98,"")</f>
        <v/>
      </c>
      <c r="K98" s="34" t="n"/>
      <c r="L98" s="35" t="n"/>
      <c r="M98" s="35" t="n"/>
      <c r="N98" s="35" t="n"/>
      <c r="O98" s="35" t="n"/>
      <c r="P98" s="35" t="n"/>
      <c r="Q98" s="35" t="n"/>
      <c r="R98" s="35" t="n"/>
      <c r="S98" s="35" t="n"/>
      <c r="T98" s="35" t="n"/>
      <c r="U98" s="35" t="n"/>
      <c r="V98" s="35" t="n"/>
      <c r="W98" s="35" t="n"/>
      <c r="X98" s="41" t="n"/>
      <c r="Y98" s="35" t="n"/>
      <c r="Z98" s="35" t="n"/>
      <c r="AA98" s="35" t="n"/>
      <c r="AB98" s="35" t="n"/>
      <c r="AC98" s="35" t="n"/>
      <c r="AD98" s="35" t="n"/>
      <c r="AE98" s="41" t="n"/>
      <c r="AF98" s="35" t="n"/>
      <c r="AG98" s="35" t="n"/>
      <c r="AH98" s="35" t="n"/>
      <c r="AI98" s="35" t="n"/>
      <c r="AJ98" s="35" t="n"/>
      <c r="AK98" s="35" t="n"/>
      <c r="AL98" s="38" t="n"/>
      <c r="AM98" s="19">
        <f t="array" ref="AM98">IF(K98=VLOOKUP(VALUE(K$1),{Questions[#],Questions[Answer]},2,FALSE),1,0)</f>
        <v/>
      </c>
      <c r="AN98" s="41">
        <f t="array" ref="AN98">IF(L98=VLOOKUP(VALUE(L$1),{Questions[#],Questions[Answer]},2,FALSE),1,0)</f>
        <v/>
      </c>
      <c r="AO98" s="41">
        <f t="array" ref="AO98">IF(M98=VLOOKUP(VALUE(M$1),{Questions[#],Questions[Answer]},2,FALSE),1,0)</f>
        <v/>
      </c>
      <c r="AP98" s="41">
        <f t="array" ref="AP98">IF(N98=VLOOKUP(VALUE(N$1),{Questions[#],Questions[Answer]},2,FALSE),1,0)</f>
        <v/>
      </c>
      <c r="AQ98" s="41">
        <f t="array" ref="AQ98">IF(O98=VLOOKUP(VALUE(O$1),{Questions[#],Questions[Answer]},2,FALSE),1,0)</f>
        <v/>
      </c>
      <c r="AR98" s="41">
        <f t="array" ref="AR98">IF(P98=VLOOKUP(VALUE(P$1),{Questions[#],Questions[Answer]},2,FALSE),1,0)</f>
        <v/>
      </c>
      <c r="AS98" s="41">
        <f t="array" ref="AS98">IF(Q98=VLOOKUP(VALUE(Q$1),{Questions[#],Questions[Answer]},2,FALSE),1,0)</f>
        <v/>
      </c>
      <c r="AT98" s="41">
        <f t="array" ref="AT98">IF(R98=VLOOKUP(VALUE(R$1),{Questions[#],Questions[Answer]},2,FALSE),1,0)</f>
        <v/>
      </c>
      <c r="AU98" s="41">
        <f t="array" ref="AU98">IF(S98=VLOOKUP(VALUE(S$1),{Questions[#],Questions[Answer]},2,FALSE),1,0)</f>
        <v/>
      </c>
      <c r="AV98" s="41">
        <f t="array" ref="AV98">IF(T98=VLOOKUP(VALUE(T$1),{Questions[#],Questions[Answer]},2,FALSE),1,0)</f>
        <v/>
      </c>
      <c r="AW98" s="41">
        <f t="array" ref="AW98">IF(U98=VLOOKUP(VALUE(U$1),{Questions[#],Questions[Answer]},2,FALSE),1,0)</f>
        <v/>
      </c>
      <c r="AX98" s="41">
        <f t="array" ref="AX98">IF(V98=VLOOKUP(VALUE(V$1),{Questions[#],Questions[Answer]},2,FALSE),1,0)</f>
        <v/>
      </c>
      <c r="AY98" s="41">
        <f t="array" ref="AY98">IF(W98=VLOOKUP(VALUE(W$1),{Questions[#],Questions[Answer]},2,FALSE),1,0)</f>
        <v/>
      </c>
      <c r="AZ98" s="41">
        <f t="array" ref="AZ98">IF(X98=VLOOKUP(VALUE(X$1),{Questions[#],Questions[Answer]},2,FALSE),1,0)</f>
        <v/>
      </c>
      <c r="BA98" s="41">
        <f t="array" ref="BA98">IF(Y98=VLOOKUP(VALUE(Y$1),{Questions[#],Questions[Answer]},2,FALSE),1,0)</f>
        <v/>
      </c>
      <c r="BB98" s="41">
        <f t="array" ref="BB98">IF(Z98=VLOOKUP(VALUE(Z$1),{Questions[#],Questions[Answer]},2,FALSE),1,0)</f>
        <v/>
      </c>
      <c r="BC98" s="41">
        <f t="array" ref="BC98">IF(AA98=VLOOKUP(VALUE(AA$1),{Questions[#],Questions[Answer]},2,FALSE),1,0)</f>
        <v/>
      </c>
      <c r="BD98" s="41">
        <f t="array" ref="BD98">IF(AB98=VLOOKUP(VALUE(AB$1),{Questions[#],Questions[Answer]},2,FALSE),1,0)</f>
        <v/>
      </c>
      <c r="BE98" s="41">
        <f t="array" ref="BE98">IF(AC98=VLOOKUP(VALUE(AC$1),{Questions[#],Questions[Answer]},2,FALSE),1,0)</f>
        <v/>
      </c>
      <c r="BF98" s="41">
        <f t="array" ref="BF98">IF(AD98=VLOOKUP(VALUE(AD$1),{Questions[#],Questions[Answer]},2,FALSE),1,0)</f>
        <v/>
      </c>
      <c r="BG98" s="41">
        <f t="array" ref="BG98">IF(AE98=VLOOKUP(VALUE(AE$1),{Questions[#],Questions[Answer]},2,FALSE),1,0)</f>
        <v/>
      </c>
      <c r="BH98" s="41">
        <f t="array" ref="BH98">IF(AF98=VLOOKUP(VALUE(AF$1),{Questions[#],Questions[Answer]},2,FALSE),1,0)</f>
        <v/>
      </c>
      <c r="BI98" s="41">
        <f t="array" ref="BI98">IF(AG98=VLOOKUP(VALUE(AG$1),{Questions[#],Questions[Answer]},2,FALSE),1,0)</f>
        <v/>
      </c>
      <c r="BJ98" s="41">
        <f t="array" ref="BJ98">IF(AH98=VLOOKUP(VALUE(AH$1),{Questions[#],Questions[Answer]},2,FALSE),1,0)</f>
        <v/>
      </c>
      <c r="BK98" s="41">
        <f t="array" ref="BK98">IF(AI98=VLOOKUP(VALUE(AI$1),{Questions[#],Questions[Answer]},2,FALSE),1,0)</f>
        <v/>
      </c>
      <c r="BL98" s="41">
        <f t="array" ref="BL98">IF(AJ98=VLOOKUP(VALUE(AJ$1),{Questions[#],Questions[Answer]},2,FALSE),1,0)</f>
        <v/>
      </c>
      <c r="BM98" s="41">
        <f t="array" ref="BM98">IF(AK98=VLOOKUP(VALUE(AK$1),{Questions[#],Questions[Answer]},2,FALSE),1,0)</f>
        <v/>
      </c>
      <c r="BN98" s="41">
        <f t="array" ref="BN98">IF(AL98=VLOOKUP(VALUE(AL$1),{Questions[#],Questions[Answer]},2,FALSE),1,0)</f>
        <v/>
      </c>
    </row>
    <row r="99" ht="22.5" customHeight="1" s="93">
      <c r="A99" s="42" t="n"/>
      <c r="B99" s="41" t="n"/>
      <c r="C99" s="41" t="n"/>
      <c r="D99" s="43" t="n"/>
      <c r="E99" s="41" t="n"/>
      <c r="F99" s="41" t="n"/>
      <c r="G99" s="11">
        <f>SUM(AM99:BN99)</f>
        <v/>
      </c>
      <c r="H99" s="40">
        <f>G99/9</f>
        <v/>
      </c>
      <c r="I99" s="12">
        <f>0.5+(G99/54)</f>
        <v/>
      </c>
      <c r="J99" s="41">
        <f>COUNTIF(K99:AL99,"")</f>
        <v/>
      </c>
      <c r="K99" s="34" t="n"/>
      <c r="L99" s="35" t="n"/>
      <c r="M99" s="35" t="n"/>
      <c r="N99" s="35" t="n"/>
      <c r="O99" s="35" t="n"/>
      <c r="P99" s="35" t="n"/>
      <c r="Q99" s="35" t="n"/>
      <c r="R99" s="35" t="n"/>
      <c r="S99" s="35" t="n"/>
      <c r="T99" s="35" t="n"/>
      <c r="U99" s="35" t="n"/>
      <c r="V99" s="35" t="n"/>
      <c r="W99" s="35" t="n"/>
      <c r="X99" s="41" t="n"/>
      <c r="Y99" s="35" t="n"/>
      <c r="Z99" s="35" t="n"/>
      <c r="AA99" s="35" t="n"/>
      <c r="AB99" s="35" t="n"/>
      <c r="AC99" s="35" t="n"/>
      <c r="AD99" s="35" t="n"/>
      <c r="AE99" s="41" t="n"/>
      <c r="AF99" s="35" t="n"/>
      <c r="AG99" s="35" t="n"/>
      <c r="AH99" s="35" t="n"/>
      <c r="AI99" s="35" t="n"/>
      <c r="AJ99" s="35" t="n"/>
      <c r="AK99" s="35" t="n"/>
      <c r="AL99" s="38" t="n"/>
      <c r="AM99" s="19">
        <f t="array" ref="AM99">IF(K99=VLOOKUP(VALUE(K$1),{Questions[#],Questions[Answer]},2,FALSE),1,0)</f>
        <v/>
      </c>
      <c r="AN99" s="41">
        <f t="array" ref="AN99">IF(L99=VLOOKUP(VALUE(L$1),{Questions[#],Questions[Answer]},2,FALSE),1,0)</f>
        <v/>
      </c>
      <c r="AO99" s="41">
        <f t="array" ref="AO99">IF(M99=VLOOKUP(VALUE(M$1),{Questions[#],Questions[Answer]},2,FALSE),1,0)</f>
        <v/>
      </c>
      <c r="AP99" s="41">
        <f t="array" ref="AP99">IF(N99=VLOOKUP(VALUE(N$1),{Questions[#],Questions[Answer]},2,FALSE),1,0)</f>
        <v/>
      </c>
      <c r="AQ99" s="41">
        <f t="array" ref="AQ99">IF(O99=VLOOKUP(VALUE(O$1),{Questions[#],Questions[Answer]},2,FALSE),1,0)</f>
        <v/>
      </c>
      <c r="AR99" s="41">
        <f t="array" ref="AR99">IF(P99=VLOOKUP(VALUE(P$1),{Questions[#],Questions[Answer]},2,FALSE),1,0)</f>
        <v/>
      </c>
      <c r="AS99" s="41">
        <f t="array" ref="AS99">IF(Q99=VLOOKUP(VALUE(Q$1),{Questions[#],Questions[Answer]},2,FALSE),1,0)</f>
        <v/>
      </c>
      <c r="AT99" s="41">
        <f t="array" ref="AT99">IF(R99=VLOOKUP(VALUE(R$1),{Questions[#],Questions[Answer]},2,FALSE),1,0)</f>
        <v/>
      </c>
      <c r="AU99" s="41">
        <f t="array" ref="AU99">IF(S99=VLOOKUP(VALUE(S$1),{Questions[#],Questions[Answer]},2,FALSE),1,0)</f>
        <v/>
      </c>
      <c r="AV99" s="41">
        <f t="array" ref="AV99">IF(T99=VLOOKUP(VALUE(T$1),{Questions[#],Questions[Answer]},2,FALSE),1,0)</f>
        <v/>
      </c>
      <c r="AW99" s="41">
        <f t="array" ref="AW99">IF(U99=VLOOKUP(VALUE(U$1),{Questions[#],Questions[Answer]},2,FALSE),1,0)</f>
        <v/>
      </c>
      <c r="AX99" s="41">
        <f t="array" ref="AX99">IF(V99=VLOOKUP(VALUE(V$1),{Questions[#],Questions[Answer]},2,FALSE),1,0)</f>
        <v/>
      </c>
      <c r="AY99" s="41">
        <f t="array" ref="AY99">IF(W99=VLOOKUP(VALUE(W$1),{Questions[#],Questions[Answer]},2,FALSE),1,0)</f>
        <v/>
      </c>
      <c r="AZ99" s="41">
        <f t="array" ref="AZ99">IF(X99=VLOOKUP(VALUE(X$1),{Questions[#],Questions[Answer]},2,FALSE),1,0)</f>
        <v/>
      </c>
      <c r="BA99" s="41">
        <f t="array" ref="BA99">IF(Y99=VLOOKUP(VALUE(Y$1),{Questions[#],Questions[Answer]},2,FALSE),1,0)</f>
        <v/>
      </c>
      <c r="BB99" s="41">
        <f t="array" ref="BB99">IF(Z99=VLOOKUP(VALUE(Z$1),{Questions[#],Questions[Answer]},2,FALSE),1,0)</f>
        <v/>
      </c>
      <c r="BC99" s="41">
        <f t="array" ref="BC99">IF(AA99=VLOOKUP(VALUE(AA$1),{Questions[#],Questions[Answer]},2,FALSE),1,0)</f>
        <v/>
      </c>
      <c r="BD99" s="41">
        <f t="array" ref="BD99">IF(AB99=VLOOKUP(VALUE(AB$1),{Questions[#],Questions[Answer]},2,FALSE),1,0)</f>
        <v/>
      </c>
      <c r="BE99" s="41">
        <f t="array" ref="BE99">IF(AC99=VLOOKUP(VALUE(AC$1),{Questions[#],Questions[Answer]},2,FALSE),1,0)</f>
        <v/>
      </c>
      <c r="BF99" s="41">
        <f t="array" ref="BF99">IF(AD99=VLOOKUP(VALUE(AD$1),{Questions[#],Questions[Answer]},2,FALSE),1,0)</f>
        <v/>
      </c>
      <c r="BG99" s="41">
        <f t="array" ref="BG99">IF(AE99=VLOOKUP(VALUE(AE$1),{Questions[#],Questions[Answer]},2,FALSE),1,0)</f>
        <v/>
      </c>
      <c r="BH99" s="41">
        <f t="array" ref="BH99">IF(AF99=VLOOKUP(VALUE(AF$1),{Questions[#],Questions[Answer]},2,FALSE),1,0)</f>
        <v/>
      </c>
      <c r="BI99" s="41">
        <f t="array" ref="BI99">IF(AG99=VLOOKUP(VALUE(AG$1),{Questions[#],Questions[Answer]},2,FALSE),1,0)</f>
        <v/>
      </c>
      <c r="BJ99" s="41">
        <f t="array" ref="BJ99">IF(AH99=VLOOKUP(VALUE(AH$1),{Questions[#],Questions[Answer]},2,FALSE),1,0)</f>
        <v/>
      </c>
      <c r="BK99" s="41">
        <f t="array" ref="BK99">IF(AI99=VLOOKUP(VALUE(AI$1),{Questions[#],Questions[Answer]},2,FALSE),1,0)</f>
        <v/>
      </c>
      <c r="BL99" s="41">
        <f t="array" ref="BL99">IF(AJ99=VLOOKUP(VALUE(AJ$1),{Questions[#],Questions[Answer]},2,FALSE),1,0)</f>
        <v/>
      </c>
      <c r="BM99" s="41">
        <f t="array" ref="BM99">IF(AK99=VLOOKUP(VALUE(AK$1),{Questions[#],Questions[Answer]},2,FALSE),1,0)</f>
        <v/>
      </c>
      <c r="BN99" s="41">
        <f t="array" ref="BN99">IF(AL99=VLOOKUP(VALUE(AL$1),{Questions[#],Questions[Answer]},2,FALSE),1,0)</f>
        <v/>
      </c>
    </row>
    <row r="100" ht="22.5" customHeight="1" s="93">
      <c r="A100" s="42" t="n"/>
      <c r="B100" s="41" t="n"/>
      <c r="C100" s="41" t="n"/>
      <c r="D100" s="43" t="n"/>
      <c r="E100" s="41" t="n"/>
      <c r="F100" s="41" t="n"/>
      <c r="G100" s="11">
        <f>SUM(AM100:BN100)</f>
        <v/>
      </c>
      <c r="H100" s="40">
        <f>G100/9</f>
        <v/>
      </c>
      <c r="I100" s="12">
        <f>0.5+(G100/54)</f>
        <v/>
      </c>
      <c r="J100" s="41">
        <f>COUNTIF(K100:AL100,"")</f>
        <v/>
      </c>
      <c r="K100" s="34" t="n"/>
      <c r="L100" s="35" t="n"/>
      <c r="M100" s="35" t="n"/>
      <c r="N100" s="35" t="n"/>
      <c r="O100" s="35" t="n"/>
      <c r="P100" s="35" t="n"/>
      <c r="Q100" s="35" t="n"/>
      <c r="R100" s="35" t="n"/>
      <c r="S100" s="35" t="n"/>
      <c r="T100" s="35" t="n"/>
      <c r="U100" s="35" t="n"/>
      <c r="V100" s="35" t="n"/>
      <c r="W100" s="35" t="n"/>
      <c r="X100" s="41" t="n"/>
      <c r="Y100" s="35" t="n"/>
      <c r="Z100" s="35" t="n"/>
      <c r="AA100" s="35" t="n"/>
      <c r="AB100" s="35" t="n"/>
      <c r="AC100" s="35" t="n"/>
      <c r="AD100" s="35" t="n"/>
      <c r="AE100" s="41" t="n"/>
      <c r="AF100" s="35" t="n"/>
      <c r="AG100" s="35" t="n"/>
      <c r="AH100" s="35" t="n"/>
      <c r="AI100" s="35" t="n"/>
      <c r="AJ100" s="35" t="n"/>
      <c r="AK100" s="35" t="n"/>
      <c r="AL100" s="38" t="n"/>
      <c r="AM100" s="19">
        <f t="array" ref="AM100">IF(K100=VLOOKUP(VALUE(K$1),{Questions[#],Questions[Answer]},2,FALSE),1,0)</f>
        <v/>
      </c>
      <c r="AN100" s="41">
        <f t="array" ref="AN100">IF(L100=VLOOKUP(VALUE(L$1),{Questions[#],Questions[Answer]},2,FALSE),1,0)</f>
        <v/>
      </c>
      <c r="AO100" s="41">
        <f t="array" ref="AO100">IF(M100=VLOOKUP(VALUE(M$1),{Questions[#],Questions[Answer]},2,FALSE),1,0)</f>
        <v/>
      </c>
      <c r="AP100" s="41">
        <f t="array" ref="AP100">IF(N100=VLOOKUP(VALUE(N$1),{Questions[#],Questions[Answer]},2,FALSE),1,0)</f>
        <v/>
      </c>
      <c r="AQ100" s="41">
        <f t="array" ref="AQ100">IF(O100=VLOOKUP(VALUE(O$1),{Questions[#],Questions[Answer]},2,FALSE),1,0)</f>
        <v/>
      </c>
      <c r="AR100" s="41">
        <f t="array" ref="AR100">IF(P100=VLOOKUP(VALUE(P$1),{Questions[#],Questions[Answer]},2,FALSE),1,0)</f>
        <v/>
      </c>
      <c r="AS100" s="41">
        <f t="array" ref="AS100">IF(Q100=VLOOKUP(VALUE(Q$1),{Questions[#],Questions[Answer]},2,FALSE),1,0)</f>
        <v/>
      </c>
      <c r="AT100" s="41">
        <f t="array" ref="AT100">IF(R100=VLOOKUP(VALUE(R$1),{Questions[#],Questions[Answer]},2,FALSE),1,0)</f>
        <v/>
      </c>
      <c r="AU100" s="41">
        <f t="array" ref="AU100">IF(S100=VLOOKUP(VALUE(S$1),{Questions[#],Questions[Answer]},2,FALSE),1,0)</f>
        <v/>
      </c>
      <c r="AV100" s="41">
        <f t="array" ref="AV100">IF(T100=VLOOKUP(VALUE(T$1),{Questions[#],Questions[Answer]},2,FALSE),1,0)</f>
        <v/>
      </c>
      <c r="AW100" s="41">
        <f t="array" ref="AW100">IF(U100=VLOOKUP(VALUE(U$1),{Questions[#],Questions[Answer]},2,FALSE),1,0)</f>
        <v/>
      </c>
      <c r="AX100" s="41">
        <f t="array" ref="AX100">IF(V100=VLOOKUP(VALUE(V$1),{Questions[#],Questions[Answer]},2,FALSE),1,0)</f>
        <v/>
      </c>
      <c r="AY100" s="41">
        <f t="array" ref="AY100">IF(W100=VLOOKUP(VALUE(W$1),{Questions[#],Questions[Answer]},2,FALSE),1,0)</f>
        <v/>
      </c>
      <c r="AZ100" s="41">
        <f t="array" ref="AZ100">IF(X100=VLOOKUP(VALUE(X$1),{Questions[#],Questions[Answer]},2,FALSE),1,0)</f>
        <v/>
      </c>
      <c r="BA100" s="41">
        <f t="array" ref="BA100">IF(Y100=VLOOKUP(VALUE(Y$1),{Questions[#],Questions[Answer]},2,FALSE),1,0)</f>
        <v/>
      </c>
      <c r="BB100" s="41">
        <f t="array" ref="BB100">IF(Z100=VLOOKUP(VALUE(Z$1),{Questions[#],Questions[Answer]},2,FALSE),1,0)</f>
        <v/>
      </c>
      <c r="BC100" s="41">
        <f t="array" ref="BC100">IF(AA100=VLOOKUP(VALUE(AA$1),{Questions[#],Questions[Answer]},2,FALSE),1,0)</f>
        <v/>
      </c>
      <c r="BD100" s="41">
        <f t="array" ref="BD100">IF(AB100=VLOOKUP(VALUE(AB$1),{Questions[#],Questions[Answer]},2,FALSE),1,0)</f>
        <v/>
      </c>
      <c r="BE100" s="41">
        <f t="array" ref="BE100">IF(AC100=VLOOKUP(VALUE(AC$1),{Questions[#],Questions[Answer]},2,FALSE),1,0)</f>
        <v/>
      </c>
      <c r="BF100" s="41">
        <f t="array" ref="BF100">IF(AD100=VLOOKUP(VALUE(AD$1),{Questions[#],Questions[Answer]},2,FALSE),1,0)</f>
        <v/>
      </c>
      <c r="BG100" s="41">
        <f t="array" ref="BG100">IF(AE100=VLOOKUP(VALUE(AE$1),{Questions[#],Questions[Answer]},2,FALSE),1,0)</f>
        <v/>
      </c>
      <c r="BH100" s="41">
        <f t="array" ref="BH100">IF(AF100=VLOOKUP(VALUE(AF$1),{Questions[#],Questions[Answer]},2,FALSE),1,0)</f>
        <v/>
      </c>
      <c r="BI100" s="41">
        <f t="array" ref="BI100">IF(AG100=VLOOKUP(VALUE(AG$1),{Questions[#],Questions[Answer]},2,FALSE),1,0)</f>
        <v/>
      </c>
      <c r="BJ100" s="41">
        <f t="array" ref="BJ100">IF(AH100=VLOOKUP(VALUE(AH$1),{Questions[#],Questions[Answer]},2,FALSE),1,0)</f>
        <v/>
      </c>
      <c r="BK100" s="41">
        <f t="array" ref="BK100">IF(AI100=VLOOKUP(VALUE(AI$1),{Questions[#],Questions[Answer]},2,FALSE),1,0)</f>
        <v/>
      </c>
      <c r="BL100" s="41">
        <f t="array" ref="BL100">IF(AJ100=VLOOKUP(VALUE(AJ$1),{Questions[#],Questions[Answer]},2,FALSE),1,0)</f>
        <v/>
      </c>
      <c r="BM100" s="41">
        <f t="array" ref="BM100">IF(AK100=VLOOKUP(VALUE(AK$1),{Questions[#],Questions[Answer]},2,FALSE),1,0)</f>
        <v/>
      </c>
      <c r="BN100" s="41">
        <f t="array" ref="BN100">IF(AL100=VLOOKUP(VALUE(AL$1),{Questions[#],Questions[Answer]},2,FALSE),1,0)</f>
        <v/>
      </c>
    </row>
    <row r="101" ht="22.5" customHeight="1" s="93">
      <c r="A101" s="42" t="n"/>
      <c r="B101" s="41" t="n"/>
      <c r="C101" s="41" t="n"/>
      <c r="D101" s="43" t="n"/>
      <c r="E101" s="41" t="n"/>
      <c r="F101" s="41" t="n"/>
      <c r="G101" s="11">
        <f>SUM(AM101:BN101)</f>
        <v/>
      </c>
      <c r="H101" s="40">
        <f>G101/9</f>
        <v/>
      </c>
      <c r="I101" s="12">
        <f>0.5+(G101/54)</f>
        <v/>
      </c>
      <c r="J101" s="41">
        <f>COUNTIF(K101:AL101,"")</f>
        <v/>
      </c>
      <c r="K101" s="34" t="n"/>
      <c r="L101" s="35" t="n"/>
      <c r="M101" s="35" t="n"/>
      <c r="N101" s="35" t="n"/>
      <c r="O101" s="35" t="n"/>
      <c r="P101" s="35" t="n"/>
      <c r="Q101" s="35" t="n"/>
      <c r="R101" s="35" t="n"/>
      <c r="S101" s="35" t="n"/>
      <c r="T101" s="35" t="n"/>
      <c r="U101" s="35" t="n"/>
      <c r="V101" s="35" t="n"/>
      <c r="W101" s="35" t="n"/>
      <c r="X101" s="41" t="n"/>
      <c r="Y101" s="35" t="n"/>
      <c r="Z101" s="35" t="n"/>
      <c r="AA101" s="35" t="n"/>
      <c r="AB101" s="35" t="n"/>
      <c r="AC101" s="35" t="n"/>
      <c r="AD101" s="35" t="n"/>
      <c r="AE101" s="41" t="n"/>
      <c r="AF101" s="35" t="n"/>
      <c r="AG101" s="35" t="n"/>
      <c r="AH101" s="35" t="n"/>
      <c r="AI101" s="35" t="n"/>
      <c r="AJ101" s="35" t="n"/>
      <c r="AK101" s="35" t="n"/>
      <c r="AL101" s="38" t="n"/>
      <c r="AM101" s="19">
        <f t="array" ref="AM101">IF(K101=VLOOKUP(VALUE(K$1),{Questions[#],Questions[Answer]},2,FALSE),1,0)</f>
        <v/>
      </c>
      <c r="AN101" s="41">
        <f t="array" ref="AN101">IF(L101=VLOOKUP(VALUE(L$1),{Questions[#],Questions[Answer]},2,FALSE),1,0)</f>
        <v/>
      </c>
      <c r="AO101" s="41">
        <f t="array" ref="AO101">IF(M101=VLOOKUP(VALUE(M$1),{Questions[#],Questions[Answer]},2,FALSE),1,0)</f>
        <v/>
      </c>
      <c r="AP101" s="41">
        <f t="array" ref="AP101">IF(N101=VLOOKUP(VALUE(N$1),{Questions[#],Questions[Answer]},2,FALSE),1,0)</f>
        <v/>
      </c>
      <c r="AQ101" s="41">
        <f t="array" ref="AQ101">IF(O101=VLOOKUP(VALUE(O$1),{Questions[#],Questions[Answer]},2,FALSE),1,0)</f>
        <v/>
      </c>
      <c r="AR101" s="41">
        <f t="array" ref="AR101">IF(P101=VLOOKUP(VALUE(P$1),{Questions[#],Questions[Answer]},2,FALSE),1,0)</f>
        <v/>
      </c>
      <c r="AS101" s="41">
        <f t="array" ref="AS101">IF(Q101=VLOOKUP(VALUE(Q$1),{Questions[#],Questions[Answer]},2,FALSE),1,0)</f>
        <v/>
      </c>
      <c r="AT101" s="41">
        <f t="array" ref="AT101">IF(R101=VLOOKUP(VALUE(R$1),{Questions[#],Questions[Answer]},2,FALSE),1,0)</f>
        <v/>
      </c>
      <c r="AU101" s="41">
        <f t="array" ref="AU101">IF(S101=VLOOKUP(VALUE(S$1),{Questions[#],Questions[Answer]},2,FALSE),1,0)</f>
        <v/>
      </c>
      <c r="AV101" s="41">
        <f t="array" ref="AV101">IF(T101=VLOOKUP(VALUE(T$1),{Questions[#],Questions[Answer]},2,FALSE),1,0)</f>
        <v/>
      </c>
      <c r="AW101" s="41">
        <f t="array" ref="AW101">IF(U101=VLOOKUP(VALUE(U$1),{Questions[#],Questions[Answer]},2,FALSE),1,0)</f>
        <v/>
      </c>
      <c r="AX101" s="41">
        <f t="array" ref="AX101">IF(V101=VLOOKUP(VALUE(V$1),{Questions[#],Questions[Answer]},2,FALSE),1,0)</f>
        <v/>
      </c>
      <c r="AY101" s="41">
        <f t="array" ref="AY101">IF(W101=VLOOKUP(VALUE(W$1),{Questions[#],Questions[Answer]},2,FALSE),1,0)</f>
        <v/>
      </c>
      <c r="AZ101" s="41">
        <f t="array" ref="AZ101">IF(X101=VLOOKUP(VALUE(X$1),{Questions[#],Questions[Answer]},2,FALSE),1,0)</f>
        <v/>
      </c>
      <c r="BA101" s="41">
        <f t="array" ref="BA101">IF(Y101=VLOOKUP(VALUE(Y$1),{Questions[#],Questions[Answer]},2,FALSE),1,0)</f>
        <v/>
      </c>
      <c r="BB101" s="41">
        <f t="array" ref="BB101">IF(Z101=VLOOKUP(VALUE(Z$1),{Questions[#],Questions[Answer]},2,FALSE),1,0)</f>
        <v/>
      </c>
      <c r="BC101" s="41">
        <f t="array" ref="BC101">IF(AA101=VLOOKUP(VALUE(AA$1),{Questions[#],Questions[Answer]},2,FALSE),1,0)</f>
        <v/>
      </c>
      <c r="BD101" s="41">
        <f t="array" ref="BD101">IF(AB101=VLOOKUP(VALUE(AB$1),{Questions[#],Questions[Answer]},2,FALSE),1,0)</f>
        <v/>
      </c>
      <c r="BE101" s="41">
        <f t="array" ref="BE101">IF(AC101=VLOOKUP(VALUE(AC$1),{Questions[#],Questions[Answer]},2,FALSE),1,0)</f>
        <v/>
      </c>
      <c r="BF101" s="41">
        <f t="array" ref="BF101">IF(AD101=VLOOKUP(VALUE(AD$1),{Questions[#],Questions[Answer]},2,FALSE),1,0)</f>
        <v/>
      </c>
      <c r="BG101" s="41">
        <f t="array" ref="BG101">IF(AE101=VLOOKUP(VALUE(AE$1),{Questions[#],Questions[Answer]},2,FALSE),1,0)</f>
        <v/>
      </c>
      <c r="BH101" s="41">
        <f t="array" ref="BH101">IF(AF101=VLOOKUP(VALUE(AF$1),{Questions[#],Questions[Answer]},2,FALSE),1,0)</f>
        <v/>
      </c>
      <c r="BI101" s="41">
        <f t="array" ref="BI101">IF(AG101=VLOOKUP(VALUE(AG$1),{Questions[#],Questions[Answer]},2,FALSE),1,0)</f>
        <v/>
      </c>
      <c r="BJ101" s="41">
        <f t="array" ref="BJ101">IF(AH101=VLOOKUP(VALUE(AH$1),{Questions[#],Questions[Answer]},2,FALSE),1,0)</f>
        <v/>
      </c>
      <c r="BK101" s="41">
        <f t="array" ref="BK101">IF(AI101=VLOOKUP(VALUE(AI$1),{Questions[#],Questions[Answer]},2,FALSE),1,0)</f>
        <v/>
      </c>
      <c r="BL101" s="41">
        <f t="array" ref="BL101">IF(AJ101=VLOOKUP(VALUE(AJ$1),{Questions[#],Questions[Answer]},2,FALSE),1,0)</f>
        <v/>
      </c>
      <c r="BM101" s="41">
        <f t="array" ref="BM101">IF(AK101=VLOOKUP(VALUE(AK$1),{Questions[#],Questions[Answer]},2,FALSE),1,0)</f>
        <v/>
      </c>
      <c r="BN101" s="41">
        <f t="array" ref="BN101">IF(AL101=VLOOKUP(VALUE(AL$1),{Questions[#],Questions[Answer]},2,FALSE),1,0)</f>
        <v/>
      </c>
    </row>
    <row r="102" ht="22.5" customHeight="1" s="93">
      <c r="A102" s="42" t="n"/>
      <c r="B102" s="41" t="n"/>
      <c r="C102" s="41" t="n"/>
      <c r="D102" s="43" t="n"/>
      <c r="E102" s="41" t="n"/>
      <c r="F102" s="41" t="n"/>
      <c r="G102" s="11">
        <f>SUM(AM102:BN102)</f>
        <v/>
      </c>
      <c r="H102" s="40">
        <f>G102/9</f>
        <v/>
      </c>
      <c r="I102" s="12">
        <f>0.5+(G102/54)</f>
        <v/>
      </c>
      <c r="J102" s="41">
        <f>COUNTIF(K102:AL102,"")</f>
        <v/>
      </c>
      <c r="K102" s="34" t="n"/>
      <c r="L102" s="35" t="n"/>
      <c r="M102" s="35" t="n"/>
      <c r="N102" s="35" t="n"/>
      <c r="O102" s="35" t="n"/>
      <c r="P102" s="35" t="n"/>
      <c r="Q102" s="35" t="n"/>
      <c r="R102" s="35" t="n"/>
      <c r="S102" s="35" t="n"/>
      <c r="T102" s="35" t="n"/>
      <c r="U102" s="35" t="n"/>
      <c r="V102" s="35" t="n"/>
      <c r="W102" s="35" t="n"/>
      <c r="X102" s="41" t="n"/>
      <c r="Y102" s="35" t="n"/>
      <c r="Z102" s="35" t="n"/>
      <c r="AA102" s="35" t="n"/>
      <c r="AB102" s="35" t="n"/>
      <c r="AC102" s="35" t="n"/>
      <c r="AD102" s="35" t="n"/>
      <c r="AE102" s="41" t="n"/>
      <c r="AF102" s="35" t="n"/>
      <c r="AG102" s="35" t="n"/>
      <c r="AH102" s="35" t="n"/>
      <c r="AI102" s="35" t="n"/>
      <c r="AJ102" s="35" t="n"/>
      <c r="AK102" s="35" t="n"/>
      <c r="AL102" s="38" t="n"/>
      <c r="AM102" s="19">
        <f t="array" ref="AM102">IF(K102=VLOOKUP(VALUE(K$1),{Questions[#],Questions[Answer]},2,FALSE),1,0)</f>
        <v/>
      </c>
      <c r="AN102" s="41">
        <f t="array" ref="AN102">IF(L102=VLOOKUP(VALUE(L$1),{Questions[#],Questions[Answer]},2,FALSE),1,0)</f>
        <v/>
      </c>
      <c r="AO102" s="41">
        <f t="array" ref="AO102">IF(M102=VLOOKUP(VALUE(M$1),{Questions[#],Questions[Answer]},2,FALSE),1,0)</f>
        <v/>
      </c>
      <c r="AP102" s="41">
        <f t="array" ref="AP102">IF(N102=VLOOKUP(VALUE(N$1),{Questions[#],Questions[Answer]},2,FALSE),1,0)</f>
        <v/>
      </c>
      <c r="AQ102" s="41">
        <f t="array" ref="AQ102">IF(O102=VLOOKUP(VALUE(O$1),{Questions[#],Questions[Answer]},2,FALSE),1,0)</f>
        <v/>
      </c>
      <c r="AR102" s="41">
        <f t="array" ref="AR102">IF(P102=VLOOKUP(VALUE(P$1),{Questions[#],Questions[Answer]},2,FALSE),1,0)</f>
        <v/>
      </c>
      <c r="AS102" s="41">
        <f t="array" ref="AS102">IF(Q102=VLOOKUP(VALUE(Q$1),{Questions[#],Questions[Answer]},2,FALSE),1,0)</f>
        <v/>
      </c>
      <c r="AT102" s="41">
        <f t="array" ref="AT102">IF(R102=VLOOKUP(VALUE(R$1),{Questions[#],Questions[Answer]},2,FALSE),1,0)</f>
        <v/>
      </c>
      <c r="AU102" s="41">
        <f t="array" ref="AU102">IF(S102=VLOOKUP(VALUE(S$1),{Questions[#],Questions[Answer]},2,FALSE),1,0)</f>
        <v/>
      </c>
      <c r="AV102" s="41">
        <f t="array" ref="AV102">IF(T102=VLOOKUP(VALUE(T$1),{Questions[#],Questions[Answer]},2,FALSE),1,0)</f>
        <v/>
      </c>
      <c r="AW102" s="41">
        <f t="array" ref="AW102">IF(U102=VLOOKUP(VALUE(U$1),{Questions[#],Questions[Answer]},2,FALSE),1,0)</f>
        <v/>
      </c>
      <c r="AX102" s="41">
        <f t="array" ref="AX102">IF(V102=VLOOKUP(VALUE(V$1),{Questions[#],Questions[Answer]},2,FALSE),1,0)</f>
        <v/>
      </c>
      <c r="AY102" s="41">
        <f t="array" ref="AY102">IF(W102=VLOOKUP(VALUE(W$1),{Questions[#],Questions[Answer]},2,FALSE),1,0)</f>
        <v/>
      </c>
      <c r="AZ102" s="41">
        <f t="array" ref="AZ102">IF(X102=VLOOKUP(VALUE(X$1),{Questions[#],Questions[Answer]},2,FALSE),1,0)</f>
        <v/>
      </c>
      <c r="BA102" s="41">
        <f t="array" ref="BA102">IF(Y102=VLOOKUP(VALUE(Y$1),{Questions[#],Questions[Answer]},2,FALSE),1,0)</f>
        <v/>
      </c>
      <c r="BB102" s="41">
        <f t="array" ref="BB102">IF(Z102=VLOOKUP(VALUE(Z$1),{Questions[#],Questions[Answer]},2,FALSE),1,0)</f>
        <v/>
      </c>
      <c r="BC102" s="41">
        <f t="array" ref="BC102">IF(AA102=VLOOKUP(VALUE(AA$1),{Questions[#],Questions[Answer]},2,FALSE),1,0)</f>
        <v/>
      </c>
      <c r="BD102" s="41">
        <f t="array" ref="BD102">IF(AB102=VLOOKUP(VALUE(AB$1),{Questions[#],Questions[Answer]},2,FALSE),1,0)</f>
        <v/>
      </c>
      <c r="BE102" s="41">
        <f t="array" ref="BE102">IF(AC102=VLOOKUP(VALUE(AC$1),{Questions[#],Questions[Answer]},2,FALSE),1,0)</f>
        <v/>
      </c>
      <c r="BF102" s="41">
        <f t="array" ref="BF102">IF(AD102=VLOOKUP(VALUE(AD$1),{Questions[#],Questions[Answer]},2,FALSE),1,0)</f>
        <v/>
      </c>
      <c r="BG102" s="41">
        <f t="array" ref="BG102">IF(AE102=VLOOKUP(VALUE(AE$1),{Questions[#],Questions[Answer]},2,FALSE),1,0)</f>
        <v/>
      </c>
      <c r="BH102" s="41">
        <f t="array" ref="BH102">IF(AF102=VLOOKUP(VALUE(AF$1),{Questions[#],Questions[Answer]},2,FALSE),1,0)</f>
        <v/>
      </c>
      <c r="BI102" s="41">
        <f t="array" ref="BI102">IF(AG102=VLOOKUP(VALUE(AG$1),{Questions[#],Questions[Answer]},2,FALSE),1,0)</f>
        <v/>
      </c>
      <c r="BJ102" s="41">
        <f t="array" ref="BJ102">IF(AH102=VLOOKUP(VALUE(AH$1),{Questions[#],Questions[Answer]},2,FALSE),1,0)</f>
        <v/>
      </c>
      <c r="BK102" s="41">
        <f t="array" ref="BK102">IF(AI102=VLOOKUP(VALUE(AI$1),{Questions[#],Questions[Answer]},2,FALSE),1,0)</f>
        <v/>
      </c>
      <c r="BL102" s="41">
        <f t="array" ref="BL102">IF(AJ102=VLOOKUP(VALUE(AJ$1),{Questions[#],Questions[Answer]},2,FALSE),1,0)</f>
        <v/>
      </c>
      <c r="BM102" s="41">
        <f t="array" ref="BM102">IF(AK102=VLOOKUP(VALUE(AK$1),{Questions[#],Questions[Answer]},2,FALSE),1,0)</f>
        <v/>
      </c>
      <c r="BN102" s="41">
        <f t="array" ref="BN102">IF(AL102=VLOOKUP(VALUE(AL$1),{Questions[#],Questions[Answer]},2,FALSE),1,0)</f>
        <v/>
      </c>
    </row>
    <row r="103" ht="22.5" customHeight="1" s="93">
      <c r="A103" s="42" t="n"/>
      <c r="B103" s="41" t="n"/>
      <c r="C103" s="41" t="n"/>
      <c r="D103" s="43" t="n"/>
      <c r="E103" s="41" t="n"/>
      <c r="F103" s="41" t="n"/>
      <c r="G103" s="11">
        <f>SUM(AM103:BN103)</f>
        <v/>
      </c>
      <c r="H103" s="40">
        <f>G103/9</f>
        <v/>
      </c>
      <c r="I103" s="12">
        <f>0.5+(G103/54)</f>
        <v/>
      </c>
      <c r="J103" s="41">
        <f>COUNTIF(K103:AL103,"")</f>
        <v/>
      </c>
      <c r="K103" s="34" t="n"/>
      <c r="L103" s="35" t="n"/>
      <c r="M103" s="35" t="n"/>
      <c r="N103" s="35" t="n"/>
      <c r="O103" s="35" t="n"/>
      <c r="P103" s="35" t="n"/>
      <c r="Q103" s="35" t="n"/>
      <c r="R103" s="35" t="n"/>
      <c r="S103" s="35" t="n"/>
      <c r="T103" s="35" t="n"/>
      <c r="U103" s="35" t="n"/>
      <c r="V103" s="35" t="n"/>
      <c r="W103" s="35" t="n"/>
      <c r="X103" s="41" t="n"/>
      <c r="Y103" s="35" t="n"/>
      <c r="Z103" s="35" t="n"/>
      <c r="AA103" s="35" t="n"/>
      <c r="AB103" s="35" t="n"/>
      <c r="AC103" s="35" t="n"/>
      <c r="AD103" s="35" t="n"/>
      <c r="AE103" s="41" t="n"/>
      <c r="AF103" s="35" t="n"/>
      <c r="AG103" s="35" t="n"/>
      <c r="AH103" s="35" t="n"/>
      <c r="AI103" s="35" t="n"/>
      <c r="AJ103" s="35" t="n"/>
      <c r="AK103" s="35" t="n"/>
      <c r="AL103" s="38" t="n"/>
      <c r="AM103" s="19">
        <f t="array" ref="AM103">IF(K103=VLOOKUP(VALUE(K$1),{Questions[#],Questions[Answer]},2,FALSE),1,0)</f>
        <v/>
      </c>
      <c r="AN103" s="41">
        <f t="array" ref="AN103">IF(L103=VLOOKUP(VALUE(L$1),{Questions[#],Questions[Answer]},2,FALSE),1,0)</f>
        <v/>
      </c>
      <c r="AO103" s="41">
        <f t="array" ref="AO103">IF(M103=VLOOKUP(VALUE(M$1),{Questions[#],Questions[Answer]},2,FALSE),1,0)</f>
        <v/>
      </c>
      <c r="AP103" s="41">
        <f t="array" ref="AP103">IF(N103=VLOOKUP(VALUE(N$1),{Questions[#],Questions[Answer]},2,FALSE),1,0)</f>
        <v/>
      </c>
      <c r="AQ103" s="41">
        <f t="array" ref="AQ103">IF(O103=VLOOKUP(VALUE(O$1),{Questions[#],Questions[Answer]},2,FALSE),1,0)</f>
        <v/>
      </c>
      <c r="AR103" s="41">
        <f t="array" ref="AR103">IF(P103=VLOOKUP(VALUE(P$1),{Questions[#],Questions[Answer]},2,FALSE),1,0)</f>
        <v/>
      </c>
      <c r="AS103" s="41">
        <f t="array" ref="AS103">IF(Q103=VLOOKUP(VALUE(Q$1),{Questions[#],Questions[Answer]},2,FALSE),1,0)</f>
        <v/>
      </c>
      <c r="AT103" s="41">
        <f t="array" ref="AT103">IF(R103=VLOOKUP(VALUE(R$1),{Questions[#],Questions[Answer]},2,FALSE),1,0)</f>
        <v/>
      </c>
      <c r="AU103" s="41">
        <f t="array" ref="AU103">IF(S103=VLOOKUP(VALUE(S$1),{Questions[#],Questions[Answer]},2,FALSE),1,0)</f>
        <v/>
      </c>
      <c r="AV103" s="41">
        <f t="array" ref="AV103">IF(T103=VLOOKUP(VALUE(T$1),{Questions[#],Questions[Answer]},2,FALSE),1,0)</f>
        <v/>
      </c>
      <c r="AW103" s="41">
        <f t="array" ref="AW103">IF(U103=VLOOKUP(VALUE(U$1),{Questions[#],Questions[Answer]},2,FALSE),1,0)</f>
        <v/>
      </c>
      <c r="AX103" s="41">
        <f t="array" ref="AX103">IF(V103=VLOOKUP(VALUE(V$1),{Questions[#],Questions[Answer]},2,FALSE),1,0)</f>
        <v/>
      </c>
      <c r="AY103" s="41">
        <f t="array" ref="AY103">IF(W103=VLOOKUP(VALUE(W$1),{Questions[#],Questions[Answer]},2,FALSE),1,0)</f>
        <v/>
      </c>
      <c r="AZ103" s="41">
        <f t="array" ref="AZ103">IF(X103=VLOOKUP(VALUE(X$1),{Questions[#],Questions[Answer]},2,FALSE),1,0)</f>
        <v/>
      </c>
      <c r="BA103" s="41">
        <f t="array" ref="BA103">IF(Y103=VLOOKUP(VALUE(Y$1),{Questions[#],Questions[Answer]},2,FALSE),1,0)</f>
        <v/>
      </c>
      <c r="BB103" s="41">
        <f t="array" ref="BB103">IF(Z103=VLOOKUP(VALUE(Z$1),{Questions[#],Questions[Answer]},2,FALSE),1,0)</f>
        <v/>
      </c>
      <c r="BC103" s="41">
        <f t="array" ref="BC103">IF(AA103=VLOOKUP(VALUE(AA$1),{Questions[#],Questions[Answer]},2,FALSE),1,0)</f>
        <v/>
      </c>
      <c r="BD103" s="41">
        <f t="array" ref="BD103">IF(AB103=VLOOKUP(VALUE(AB$1),{Questions[#],Questions[Answer]},2,FALSE),1,0)</f>
        <v/>
      </c>
      <c r="BE103" s="41">
        <f t="array" ref="BE103">IF(AC103=VLOOKUP(VALUE(AC$1),{Questions[#],Questions[Answer]},2,FALSE),1,0)</f>
        <v/>
      </c>
      <c r="BF103" s="41">
        <f t="array" ref="BF103">IF(AD103=VLOOKUP(VALUE(AD$1),{Questions[#],Questions[Answer]},2,FALSE),1,0)</f>
        <v/>
      </c>
      <c r="BG103" s="41">
        <f t="array" ref="BG103">IF(AE103=VLOOKUP(VALUE(AE$1),{Questions[#],Questions[Answer]},2,FALSE),1,0)</f>
        <v/>
      </c>
      <c r="BH103" s="41">
        <f t="array" ref="BH103">IF(AF103=VLOOKUP(VALUE(AF$1),{Questions[#],Questions[Answer]},2,FALSE),1,0)</f>
        <v/>
      </c>
      <c r="BI103" s="41">
        <f t="array" ref="BI103">IF(AG103=VLOOKUP(VALUE(AG$1),{Questions[#],Questions[Answer]},2,FALSE),1,0)</f>
        <v/>
      </c>
      <c r="BJ103" s="41">
        <f t="array" ref="BJ103">IF(AH103=VLOOKUP(VALUE(AH$1),{Questions[#],Questions[Answer]},2,FALSE),1,0)</f>
        <v/>
      </c>
      <c r="BK103" s="41">
        <f t="array" ref="BK103">IF(AI103=VLOOKUP(VALUE(AI$1),{Questions[#],Questions[Answer]},2,FALSE),1,0)</f>
        <v/>
      </c>
      <c r="BL103" s="41">
        <f t="array" ref="BL103">IF(AJ103=VLOOKUP(VALUE(AJ$1),{Questions[#],Questions[Answer]},2,FALSE),1,0)</f>
        <v/>
      </c>
      <c r="BM103" s="41">
        <f t="array" ref="BM103">IF(AK103=VLOOKUP(VALUE(AK$1),{Questions[#],Questions[Answer]},2,FALSE),1,0)</f>
        <v/>
      </c>
      <c r="BN103" s="41">
        <f t="array" ref="BN103">IF(AL103=VLOOKUP(VALUE(AL$1),{Questions[#],Questions[Answer]},2,FALSE),1,0)</f>
        <v/>
      </c>
    </row>
    <row r="104" ht="22.5" customHeight="1" s="93">
      <c r="A104" s="42" t="n"/>
      <c r="B104" s="41" t="n"/>
      <c r="C104" s="41" t="n"/>
      <c r="D104" s="43" t="n"/>
      <c r="E104" s="41" t="n"/>
      <c r="F104" s="41" t="n"/>
      <c r="G104" s="11">
        <f>SUM(AM104:BN104)</f>
        <v/>
      </c>
      <c r="H104" s="40">
        <f>G104/9</f>
        <v/>
      </c>
      <c r="I104" s="12">
        <f>0.5+(G104/54)</f>
        <v/>
      </c>
      <c r="J104" s="41">
        <f>COUNTIF(K104:AL104,"")</f>
        <v/>
      </c>
      <c r="K104" s="34" t="n"/>
      <c r="L104" s="35" t="n"/>
      <c r="M104" s="35" t="n"/>
      <c r="N104" s="35" t="n"/>
      <c r="O104" s="35" t="n"/>
      <c r="P104" s="35" t="n"/>
      <c r="Q104" s="35" t="n"/>
      <c r="R104" s="35" t="n"/>
      <c r="S104" s="35" t="n"/>
      <c r="T104" s="35" t="n"/>
      <c r="U104" s="35" t="n"/>
      <c r="V104" s="35" t="n"/>
      <c r="W104" s="35" t="n"/>
      <c r="X104" s="41" t="n"/>
      <c r="Y104" s="35" t="n"/>
      <c r="Z104" s="35" t="n"/>
      <c r="AA104" s="35" t="n"/>
      <c r="AB104" s="35" t="n"/>
      <c r="AC104" s="35" t="n"/>
      <c r="AD104" s="35" t="n"/>
      <c r="AE104" s="41" t="n"/>
      <c r="AF104" s="35" t="n"/>
      <c r="AG104" s="35" t="n"/>
      <c r="AH104" s="35" t="n"/>
      <c r="AI104" s="35" t="n"/>
      <c r="AJ104" s="35" t="n"/>
      <c r="AK104" s="35" t="n"/>
      <c r="AL104" s="38" t="n"/>
      <c r="AM104" s="19">
        <f t="array" ref="AM104">IF(K104=VLOOKUP(VALUE(K$1),{Questions[#],Questions[Answer]},2,FALSE),1,0)</f>
        <v/>
      </c>
      <c r="AN104" s="41">
        <f t="array" ref="AN104">IF(L104=VLOOKUP(VALUE(L$1),{Questions[#],Questions[Answer]},2,FALSE),1,0)</f>
        <v/>
      </c>
      <c r="AO104" s="41">
        <f t="array" ref="AO104">IF(M104=VLOOKUP(VALUE(M$1),{Questions[#],Questions[Answer]},2,FALSE),1,0)</f>
        <v/>
      </c>
      <c r="AP104" s="41">
        <f t="array" ref="AP104">IF(N104=VLOOKUP(VALUE(N$1),{Questions[#],Questions[Answer]},2,FALSE),1,0)</f>
        <v/>
      </c>
      <c r="AQ104" s="41">
        <f t="array" ref="AQ104">IF(O104=VLOOKUP(VALUE(O$1),{Questions[#],Questions[Answer]},2,FALSE),1,0)</f>
        <v/>
      </c>
      <c r="AR104" s="41">
        <f t="array" ref="AR104">IF(P104=VLOOKUP(VALUE(P$1),{Questions[#],Questions[Answer]},2,FALSE),1,0)</f>
        <v/>
      </c>
      <c r="AS104" s="41">
        <f t="array" ref="AS104">IF(Q104=VLOOKUP(VALUE(Q$1),{Questions[#],Questions[Answer]},2,FALSE),1,0)</f>
        <v/>
      </c>
      <c r="AT104" s="41">
        <f t="array" ref="AT104">IF(R104=VLOOKUP(VALUE(R$1),{Questions[#],Questions[Answer]},2,FALSE),1,0)</f>
        <v/>
      </c>
      <c r="AU104" s="41">
        <f t="array" ref="AU104">IF(S104=VLOOKUP(VALUE(S$1),{Questions[#],Questions[Answer]},2,FALSE),1,0)</f>
        <v/>
      </c>
      <c r="AV104" s="41">
        <f t="array" ref="AV104">IF(T104=VLOOKUP(VALUE(T$1),{Questions[#],Questions[Answer]},2,FALSE),1,0)</f>
        <v/>
      </c>
      <c r="AW104" s="41">
        <f t="array" ref="AW104">IF(U104=VLOOKUP(VALUE(U$1),{Questions[#],Questions[Answer]},2,FALSE),1,0)</f>
        <v/>
      </c>
      <c r="AX104" s="41">
        <f t="array" ref="AX104">IF(V104=VLOOKUP(VALUE(V$1),{Questions[#],Questions[Answer]},2,FALSE),1,0)</f>
        <v/>
      </c>
      <c r="AY104" s="41">
        <f t="array" ref="AY104">IF(W104=VLOOKUP(VALUE(W$1),{Questions[#],Questions[Answer]},2,FALSE),1,0)</f>
        <v/>
      </c>
      <c r="AZ104" s="41">
        <f t="array" ref="AZ104">IF(X104=VLOOKUP(VALUE(X$1),{Questions[#],Questions[Answer]},2,FALSE),1,0)</f>
        <v/>
      </c>
      <c r="BA104" s="41">
        <f t="array" ref="BA104">IF(Y104=VLOOKUP(VALUE(Y$1),{Questions[#],Questions[Answer]},2,FALSE),1,0)</f>
        <v/>
      </c>
      <c r="BB104" s="41">
        <f t="array" ref="BB104">IF(Z104=VLOOKUP(VALUE(Z$1),{Questions[#],Questions[Answer]},2,FALSE),1,0)</f>
        <v/>
      </c>
      <c r="BC104" s="41">
        <f t="array" ref="BC104">IF(AA104=VLOOKUP(VALUE(AA$1),{Questions[#],Questions[Answer]},2,FALSE),1,0)</f>
        <v/>
      </c>
      <c r="BD104" s="41">
        <f t="array" ref="BD104">IF(AB104=VLOOKUP(VALUE(AB$1),{Questions[#],Questions[Answer]},2,FALSE),1,0)</f>
        <v/>
      </c>
      <c r="BE104" s="41">
        <f t="array" ref="BE104">IF(AC104=VLOOKUP(VALUE(AC$1),{Questions[#],Questions[Answer]},2,FALSE),1,0)</f>
        <v/>
      </c>
      <c r="BF104" s="41">
        <f t="array" ref="BF104">IF(AD104=VLOOKUP(VALUE(AD$1),{Questions[#],Questions[Answer]},2,FALSE),1,0)</f>
        <v/>
      </c>
      <c r="BG104" s="41">
        <f t="array" ref="BG104">IF(AE104=VLOOKUP(VALUE(AE$1),{Questions[#],Questions[Answer]},2,FALSE),1,0)</f>
        <v/>
      </c>
      <c r="BH104" s="41">
        <f t="array" ref="BH104">IF(AF104=VLOOKUP(VALUE(AF$1),{Questions[#],Questions[Answer]},2,FALSE),1,0)</f>
        <v/>
      </c>
      <c r="BI104" s="41">
        <f t="array" ref="BI104">IF(AG104=VLOOKUP(VALUE(AG$1),{Questions[#],Questions[Answer]},2,FALSE),1,0)</f>
        <v/>
      </c>
      <c r="BJ104" s="41">
        <f t="array" ref="BJ104">IF(AH104=VLOOKUP(VALUE(AH$1),{Questions[#],Questions[Answer]},2,FALSE),1,0)</f>
        <v/>
      </c>
      <c r="BK104" s="41">
        <f t="array" ref="BK104">IF(AI104=VLOOKUP(VALUE(AI$1),{Questions[#],Questions[Answer]},2,FALSE),1,0)</f>
        <v/>
      </c>
      <c r="BL104" s="41">
        <f t="array" ref="BL104">IF(AJ104=VLOOKUP(VALUE(AJ$1),{Questions[#],Questions[Answer]},2,FALSE),1,0)</f>
        <v/>
      </c>
      <c r="BM104" s="41">
        <f t="array" ref="BM104">IF(AK104=VLOOKUP(VALUE(AK$1),{Questions[#],Questions[Answer]},2,FALSE),1,0)</f>
        <v/>
      </c>
      <c r="BN104" s="41">
        <f t="array" ref="BN104">IF(AL104=VLOOKUP(VALUE(AL$1),{Questions[#],Questions[Answer]},2,FALSE),1,0)</f>
        <v/>
      </c>
    </row>
    <row r="105" ht="22.5" customHeight="1" s="93">
      <c r="A105" s="42" t="n"/>
      <c r="B105" s="41" t="n"/>
      <c r="C105" s="41" t="n"/>
      <c r="D105" s="43" t="n"/>
      <c r="E105" s="41" t="n"/>
      <c r="F105" s="41" t="n"/>
      <c r="G105" s="11">
        <f>SUM(AM105:BN105)</f>
        <v/>
      </c>
      <c r="H105" s="40">
        <f>G105/9</f>
        <v/>
      </c>
      <c r="I105" s="12">
        <f>0.5+(G105/54)</f>
        <v/>
      </c>
      <c r="J105" s="41">
        <f>COUNTIF(K105:AL105,"")</f>
        <v/>
      </c>
      <c r="K105" s="34" t="n"/>
      <c r="L105" s="35" t="n"/>
      <c r="M105" s="35" t="n"/>
      <c r="N105" s="35" t="n"/>
      <c r="O105" s="35" t="n"/>
      <c r="P105" s="35" t="n"/>
      <c r="Q105" s="35" t="n"/>
      <c r="R105" s="35" t="n"/>
      <c r="S105" s="35" t="n"/>
      <c r="T105" s="35" t="n"/>
      <c r="U105" s="35" t="n"/>
      <c r="V105" s="35" t="n"/>
      <c r="W105" s="35" t="n"/>
      <c r="X105" s="41" t="n"/>
      <c r="Y105" s="35" t="n"/>
      <c r="Z105" s="35" t="n"/>
      <c r="AA105" s="35" t="n"/>
      <c r="AB105" s="35" t="n"/>
      <c r="AC105" s="35" t="n"/>
      <c r="AD105" s="35" t="n"/>
      <c r="AE105" s="41" t="n"/>
      <c r="AF105" s="35" t="n"/>
      <c r="AG105" s="35" t="n"/>
      <c r="AH105" s="35" t="n"/>
      <c r="AI105" s="35" t="n"/>
      <c r="AJ105" s="35" t="n"/>
      <c r="AK105" s="35" t="n"/>
      <c r="AL105" s="38" t="n"/>
      <c r="AM105" s="19">
        <f t="array" ref="AM105">IF(K105=VLOOKUP(VALUE(K$1),{Questions[#],Questions[Answer]},2,FALSE),1,0)</f>
        <v/>
      </c>
      <c r="AN105" s="41">
        <f t="array" ref="AN105">IF(L105=VLOOKUP(VALUE(L$1),{Questions[#],Questions[Answer]},2,FALSE),1,0)</f>
        <v/>
      </c>
      <c r="AO105" s="41">
        <f t="array" ref="AO105">IF(M105=VLOOKUP(VALUE(M$1),{Questions[#],Questions[Answer]},2,FALSE),1,0)</f>
        <v/>
      </c>
      <c r="AP105" s="41">
        <f t="array" ref="AP105">IF(N105=VLOOKUP(VALUE(N$1),{Questions[#],Questions[Answer]},2,FALSE),1,0)</f>
        <v/>
      </c>
      <c r="AQ105" s="41">
        <f t="array" ref="AQ105">IF(O105=VLOOKUP(VALUE(O$1),{Questions[#],Questions[Answer]},2,FALSE),1,0)</f>
        <v/>
      </c>
      <c r="AR105" s="41">
        <f t="array" ref="AR105">IF(P105=VLOOKUP(VALUE(P$1),{Questions[#],Questions[Answer]},2,FALSE),1,0)</f>
        <v/>
      </c>
      <c r="AS105" s="41">
        <f t="array" ref="AS105">IF(Q105=VLOOKUP(VALUE(Q$1),{Questions[#],Questions[Answer]},2,FALSE),1,0)</f>
        <v/>
      </c>
      <c r="AT105" s="41">
        <f t="array" ref="AT105">IF(R105=VLOOKUP(VALUE(R$1),{Questions[#],Questions[Answer]},2,FALSE),1,0)</f>
        <v/>
      </c>
      <c r="AU105" s="41">
        <f t="array" ref="AU105">IF(S105=VLOOKUP(VALUE(S$1),{Questions[#],Questions[Answer]},2,FALSE),1,0)</f>
        <v/>
      </c>
      <c r="AV105" s="41">
        <f t="array" ref="AV105">IF(T105=VLOOKUP(VALUE(T$1),{Questions[#],Questions[Answer]},2,FALSE),1,0)</f>
        <v/>
      </c>
      <c r="AW105" s="41">
        <f t="array" ref="AW105">IF(U105=VLOOKUP(VALUE(U$1),{Questions[#],Questions[Answer]},2,FALSE),1,0)</f>
        <v/>
      </c>
      <c r="AX105" s="41">
        <f t="array" ref="AX105">IF(V105=VLOOKUP(VALUE(V$1),{Questions[#],Questions[Answer]},2,FALSE),1,0)</f>
        <v/>
      </c>
      <c r="AY105" s="41">
        <f t="array" ref="AY105">IF(W105=VLOOKUP(VALUE(W$1),{Questions[#],Questions[Answer]},2,FALSE),1,0)</f>
        <v/>
      </c>
      <c r="AZ105" s="41">
        <f t="array" ref="AZ105">IF(X105=VLOOKUP(VALUE(X$1),{Questions[#],Questions[Answer]},2,FALSE),1,0)</f>
        <v/>
      </c>
      <c r="BA105" s="41">
        <f t="array" ref="BA105">IF(Y105=VLOOKUP(VALUE(Y$1),{Questions[#],Questions[Answer]},2,FALSE),1,0)</f>
        <v/>
      </c>
      <c r="BB105" s="41">
        <f t="array" ref="BB105">IF(Z105=VLOOKUP(VALUE(Z$1),{Questions[#],Questions[Answer]},2,FALSE),1,0)</f>
        <v/>
      </c>
      <c r="BC105" s="41">
        <f t="array" ref="BC105">IF(AA105=VLOOKUP(VALUE(AA$1),{Questions[#],Questions[Answer]},2,FALSE),1,0)</f>
        <v/>
      </c>
      <c r="BD105" s="41">
        <f t="array" ref="BD105">IF(AB105=VLOOKUP(VALUE(AB$1),{Questions[#],Questions[Answer]},2,FALSE),1,0)</f>
        <v/>
      </c>
      <c r="BE105" s="41">
        <f t="array" ref="BE105">IF(AC105=VLOOKUP(VALUE(AC$1),{Questions[#],Questions[Answer]},2,FALSE),1,0)</f>
        <v/>
      </c>
      <c r="BF105" s="41">
        <f t="array" ref="BF105">IF(AD105=VLOOKUP(VALUE(AD$1),{Questions[#],Questions[Answer]},2,FALSE),1,0)</f>
        <v/>
      </c>
      <c r="BG105" s="41">
        <f t="array" ref="BG105">IF(AE105=VLOOKUP(VALUE(AE$1),{Questions[#],Questions[Answer]},2,FALSE),1,0)</f>
        <v/>
      </c>
      <c r="BH105" s="41">
        <f t="array" ref="BH105">IF(AF105=VLOOKUP(VALUE(AF$1),{Questions[#],Questions[Answer]},2,FALSE),1,0)</f>
        <v/>
      </c>
      <c r="BI105" s="41">
        <f t="array" ref="BI105">IF(AG105=VLOOKUP(VALUE(AG$1),{Questions[#],Questions[Answer]},2,FALSE),1,0)</f>
        <v/>
      </c>
      <c r="BJ105" s="41">
        <f t="array" ref="BJ105">IF(AH105=VLOOKUP(VALUE(AH$1),{Questions[#],Questions[Answer]},2,FALSE),1,0)</f>
        <v/>
      </c>
      <c r="BK105" s="41">
        <f t="array" ref="BK105">IF(AI105=VLOOKUP(VALUE(AI$1),{Questions[#],Questions[Answer]},2,FALSE),1,0)</f>
        <v/>
      </c>
      <c r="BL105" s="41">
        <f t="array" ref="BL105">IF(AJ105=VLOOKUP(VALUE(AJ$1),{Questions[#],Questions[Answer]},2,FALSE),1,0)</f>
        <v/>
      </c>
      <c r="BM105" s="41">
        <f t="array" ref="BM105">IF(AK105=VLOOKUP(VALUE(AK$1),{Questions[#],Questions[Answer]},2,FALSE),1,0)</f>
        <v/>
      </c>
      <c r="BN105" s="41">
        <f t="array" ref="BN105">IF(AL105=VLOOKUP(VALUE(AL$1),{Questions[#],Questions[Answer]},2,FALSE),1,0)</f>
        <v/>
      </c>
    </row>
    <row r="106" ht="22.5" customHeight="1" s="93">
      <c r="A106" s="42" t="n"/>
      <c r="B106" s="41" t="n"/>
      <c r="C106" s="41" t="n"/>
      <c r="D106" s="43" t="n"/>
      <c r="E106" s="41" t="n"/>
      <c r="F106" s="41" t="n"/>
      <c r="G106" s="11">
        <f>SUM(AM106:BN106)</f>
        <v/>
      </c>
      <c r="H106" s="40">
        <f>G106/9</f>
        <v/>
      </c>
      <c r="I106" s="12">
        <f>0.5+(G106/54)</f>
        <v/>
      </c>
      <c r="J106" s="41">
        <f>COUNTIF(K106:AL106,"")</f>
        <v/>
      </c>
      <c r="K106" s="34" t="n"/>
      <c r="L106" s="35" t="n"/>
      <c r="M106" s="35" t="n"/>
      <c r="N106" s="35" t="n"/>
      <c r="O106" s="35" t="n"/>
      <c r="P106" s="35" t="n"/>
      <c r="Q106" s="35" t="n"/>
      <c r="R106" s="35" t="n"/>
      <c r="S106" s="35" t="n"/>
      <c r="T106" s="35" t="n"/>
      <c r="U106" s="35" t="n"/>
      <c r="V106" s="35" t="n"/>
      <c r="W106" s="35" t="n"/>
      <c r="X106" s="41" t="n"/>
      <c r="Y106" s="35" t="n"/>
      <c r="Z106" s="35" t="n"/>
      <c r="AA106" s="35" t="n"/>
      <c r="AB106" s="35" t="n"/>
      <c r="AC106" s="35" t="n"/>
      <c r="AD106" s="35" t="n"/>
      <c r="AE106" s="41" t="n"/>
      <c r="AF106" s="35" t="n"/>
      <c r="AG106" s="35" t="n"/>
      <c r="AH106" s="35" t="n"/>
      <c r="AI106" s="35" t="n"/>
      <c r="AJ106" s="35" t="n"/>
      <c r="AK106" s="35" t="n"/>
      <c r="AL106" s="38" t="n"/>
      <c r="AM106" s="19">
        <f t="array" ref="AM106">IF(K106=VLOOKUP(VALUE(K$1),{Questions[#],Questions[Answer]},2,FALSE),1,0)</f>
        <v/>
      </c>
      <c r="AN106" s="41">
        <f t="array" ref="AN106">IF(L106=VLOOKUP(VALUE(L$1),{Questions[#],Questions[Answer]},2,FALSE),1,0)</f>
        <v/>
      </c>
      <c r="AO106" s="41">
        <f t="array" ref="AO106">IF(M106=VLOOKUP(VALUE(M$1),{Questions[#],Questions[Answer]},2,FALSE),1,0)</f>
        <v/>
      </c>
      <c r="AP106" s="41">
        <f t="array" ref="AP106">IF(N106=VLOOKUP(VALUE(N$1),{Questions[#],Questions[Answer]},2,FALSE),1,0)</f>
        <v/>
      </c>
      <c r="AQ106" s="41">
        <f t="array" ref="AQ106">IF(O106=VLOOKUP(VALUE(O$1),{Questions[#],Questions[Answer]},2,FALSE),1,0)</f>
        <v/>
      </c>
      <c r="AR106" s="41">
        <f t="array" ref="AR106">IF(P106=VLOOKUP(VALUE(P$1),{Questions[#],Questions[Answer]},2,FALSE),1,0)</f>
        <v/>
      </c>
      <c r="AS106" s="41">
        <f t="array" ref="AS106">IF(Q106=VLOOKUP(VALUE(Q$1),{Questions[#],Questions[Answer]},2,FALSE),1,0)</f>
        <v/>
      </c>
      <c r="AT106" s="41">
        <f t="array" ref="AT106">IF(R106=VLOOKUP(VALUE(R$1),{Questions[#],Questions[Answer]},2,FALSE),1,0)</f>
        <v/>
      </c>
      <c r="AU106" s="41">
        <f t="array" ref="AU106">IF(S106=VLOOKUP(VALUE(S$1),{Questions[#],Questions[Answer]},2,FALSE),1,0)</f>
        <v/>
      </c>
      <c r="AV106" s="41">
        <f t="array" ref="AV106">IF(T106=VLOOKUP(VALUE(T$1),{Questions[#],Questions[Answer]},2,FALSE),1,0)</f>
        <v/>
      </c>
      <c r="AW106" s="41">
        <f t="array" ref="AW106">IF(U106=VLOOKUP(VALUE(U$1),{Questions[#],Questions[Answer]},2,FALSE),1,0)</f>
        <v/>
      </c>
      <c r="AX106" s="41">
        <f t="array" ref="AX106">IF(V106=VLOOKUP(VALUE(V$1),{Questions[#],Questions[Answer]},2,FALSE),1,0)</f>
        <v/>
      </c>
      <c r="AY106" s="41">
        <f t="array" ref="AY106">IF(W106=VLOOKUP(VALUE(W$1),{Questions[#],Questions[Answer]},2,FALSE),1,0)</f>
        <v/>
      </c>
      <c r="AZ106" s="41">
        <f t="array" ref="AZ106">IF(X106=VLOOKUP(VALUE(X$1),{Questions[#],Questions[Answer]},2,FALSE),1,0)</f>
        <v/>
      </c>
      <c r="BA106" s="41">
        <f t="array" ref="BA106">IF(Y106=VLOOKUP(VALUE(Y$1),{Questions[#],Questions[Answer]},2,FALSE),1,0)</f>
        <v/>
      </c>
      <c r="BB106" s="41">
        <f t="array" ref="BB106">IF(Z106=VLOOKUP(VALUE(Z$1),{Questions[#],Questions[Answer]},2,FALSE),1,0)</f>
        <v/>
      </c>
      <c r="BC106" s="41">
        <f t="array" ref="BC106">IF(AA106=VLOOKUP(VALUE(AA$1),{Questions[#],Questions[Answer]},2,FALSE),1,0)</f>
        <v/>
      </c>
      <c r="BD106" s="41">
        <f t="array" ref="BD106">IF(AB106=VLOOKUP(VALUE(AB$1),{Questions[#],Questions[Answer]},2,FALSE),1,0)</f>
        <v/>
      </c>
      <c r="BE106" s="41">
        <f t="array" ref="BE106">IF(AC106=VLOOKUP(VALUE(AC$1),{Questions[#],Questions[Answer]},2,FALSE),1,0)</f>
        <v/>
      </c>
      <c r="BF106" s="41">
        <f t="array" ref="BF106">IF(AD106=VLOOKUP(VALUE(AD$1),{Questions[#],Questions[Answer]},2,FALSE),1,0)</f>
        <v/>
      </c>
      <c r="BG106" s="41">
        <f t="array" ref="BG106">IF(AE106=VLOOKUP(VALUE(AE$1),{Questions[#],Questions[Answer]},2,FALSE),1,0)</f>
        <v/>
      </c>
      <c r="BH106" s="41">
        <f t="array" ref="BH106">IF(AF106=VLOOKUP(VALUE(AF$1),{Questions[#],Questions[Answer]},2,FALSE),1,0)</f>
        <v/>
      </c>
      <c r="BI106" s="41">
        <f t="array" ref="BI106">IF(AG106=VLOOKUP(VALUE(AG$1),{Questions[#],Questions[Answer]},2,FALSE),1,0)</f>
        <v/>
      </c>
      <c r="BJ106" s="41">
        <f t="array" ref="BJ106">IF(AH106=VLOOKUP(VALUE(AH$1),{Questions[#],Questions[Answer]},2,FALSE),1,0)</f>
        <v/>
      </c>
      <c r="BK106" s="41">
        <f t="array" ref="BK106">IF(AI106=VLOOKUP(VALUE(AI$1),{Questions[#],Questions[Answer]},2,FALSE),1,0)</f>
        <v/>
      </c>
      <c r="BL106" s="41">
        <f t="array" ref="BL106">IF(AJ106=VLOOKUP(VALUE(AJ$1),{Questions[#],Questions[Answer]},2,FALSE),1,0)</f>
        <v/>
      </c>
      <c r="BM106" s="41">
        <f t="array" ref="BM106">IF(AK106=VLOOKUP(VALUE(AK$1),{Questions[#],Questions[Answer]},2,FALSE),1,0)</f>
        <v/>
      </c>
      <c r="BN106" s="41">
        <f t="array" ref="BN106">IF(AL106=VLOOKUP(VALUE(AL$1),{Questions[#],Questions[Answer]},2,FALSE),1,0)</f>
        <v/>
      </c>
    </row>
    <row r="107" ht="22.5" customHeight="1" s="93">
      <c r="A107" s="42" t="n"/>
      <c r="B107" s="41" t="n"/>
      <c r="C107" s="41" t="n"/>
      <c r="D107" s="43" t="n"/>
      <c r="E107" s="41" t="n"/>
      <c r="F107" s="41" t="n"/>
      <c r="G107" s="11">
        <f>SUM(AM107:BN107)</f>
        <v/>
      </c>
      <c r="H107" s="40">
        <f>G107/9</f>
        <v/>
      </c>
      <c r="I107" s="12">
        <f>0.5+(G107/54)</f>
        <v/>
      </c>
      <c r="J107" s="41">
        <f>COUNTIF(K107:AL107,"")</f>
        <v/>
      </c>
      <c r="K107" s="34" t="n"/>
      <c r="L107" s="35" t="n"/>
      <c r="M107" s="35" t="n"/>
      <c r="N107" s="35" t="n"/>
      <c r="O107" s="35" t="n"/>
      <c r="P107" s="35" t="n"/>
      <c r="Q107" s="35" t="n"/>
      <c r="R107" s="35" t="n"/>
      <c r="S107" s="35" t="n"/>
      <c r="T107" s="35" t="n"/>
      <c r="U107" s="35" t="n"/>
      <c r="V107" s="35" t="n"/>
      <c r="W107" s="35" t="n"/>
      <c r="X107" s="41" t="n"/>
      <c r="Y107" s="35" t="n"/>
      <c r="Z107" s="35" t="n"/>
      <c r="AA107" s="35" t="n"/>
      <c r="AB107" s="35" t="n"/>
      <c r="AC107" s="35" t="n"/>
      <c r="AD107" s="35" t="n"/>
      <c r="AE107" s="41" t="n"/>
      <c r="AF107" s="35" t="n"/>
      <c r="AG107" s="35" t="n"/>
      <c r="AH107" s="35" t="n"/>
      <c r="AI107" s="35" t="n"/>
      <c r="AJ107" s="35" t="n"/>
      <c r="AK107" s="35" t="n"/>
      <c r="AL107" s="38" t="n"/>
      <c r="AM107" s="19">
        <f t="array" ref="AM107">IF(K107=VLOOKUP(VALUE(K$1),{Questions[#],Questions[Answer]},2,FALSE),1,0)</f>
        <v/>
      </c>
      <c r="AN107" s="41">
        <f t="array" ref="AN107">IF(L107=VLOOKUP(VALUE(L$1),{Questions[#],Questions[Answer]},2,FALSE),1,0)</f>
        <v/>
      </c>
      <c r="AO107" s="41">
        <f t="array" ref="AO107">IF(M107=VLOOKUP(VALUE(M$1),{Questions[#],Questions[Answer]},2,FALSE),1,0)</f>
        <v/>
      </c>
      <c r="AP107" s="41">
        <f t="array" ref="AP107">IF(N107=VLOOKUP(VALUE(N$1),{Questions[#],Questions[Answer]},2,FALSE),1,0)</f>
        <v/>
      </c>
      <c r="AQ107" s="41">
        <f t="array" ref="AQ107">IF(O107=VLOOKUP(VALUE(O$1),{Questions[#],Questions[Answer]},2,FALSE),1,0)</f>
        <v/>
      </c>
      <c r="AR107" s="41">
        <f t="array" ref="AR107">IF(P107=VLOOKUP(VALUE(P$1),{Questions[#],Questions[Answer]},2,FALSE),1,0)</f>
        <v/>
      </c>
      <c r="AS107" s="41">
        <f t="array" ref="AS107">IF(Q107=VLOOKUP(VALUE(Q$1),{Questions[#],Questions[Answer]},2,FALSE),1,0)</f>
        <v/>
      </c>
      <c r="AT107" s="41">
        <f t="array" ref="AT107">IF(R107=VLOOKUP(VALUE(R$1),{Questions[#],Questions[Answer]},2,FALSE),1,0)</f>
        <v/>
      </c>
      <c r="AU107" s="41">
        <f t="array" ref="AU107">IF(S107=VLOOKUP(VALUE(S$1),{Questions[#],Questions[Answer]},2,FALSE),1,0)</f>
        <v/>
      </c>
      <c r="AV107" s="41">
        <f t="array" ref="AV107">IF(T107=VLOOKUP(VALUE(T$1),{Questions[#],Questions[Answer]},2,FALSE),1,0)</f>
        <v/>
      </c>
      <c r="AW107" s="41">
        <f t="array" ref="AW107">IF(U107=VLOOKUP(VALUE(U$1),{Questions[#],Questions[Answer]},2,FALSE),1,0)</f>
        <v/>
      </c>
      <c r="AX107" s="41">
        <f t="array" ref="AX107">IF(V107=VLOOKUP(VALUE(V$1),{Questions[#],Questions[Answer]},2,FALSE),1,0)</f>
        <v/>
      </c>
      <c r="AY107" s="41">
        <f t="array" ref="AY107">IF(W107=VLOOKUP(VALUE(W$1),{Questions[#],Questions[Answer]},2,FALSE),1,0)</f>
        <v/>
      </c>
      <c r="AZ107" s="41">
        <f t="array" ref="AZ107">IF(X107=VLOOKUP(VALUE(X$1),{Questions[#],Questions[Answer]},2,FALSE),1,0)</f>
        <v/>
      </c>
      <c r="BA107" s="41">
        <f t="array" ref="BA107">IF(Y107=VLOOKUP(VALUE(Y$1),{Questions[#],Questions[Answer]},2,FALSE),1,0)</f>
        <v/>
      </c>
      <c r="BB107" s="41">
        <f t="array" ref="BB107">IF(Z107=VLOOKUP(VALUE(Z$1),{Questions[#],Questions[Answer]},2,FALSE),1,0)</f>
        <v/>
      </c>
      <c r="BC107" s="41">
        <f t="array" ref="BC107">IF(AA107=VLOOKUP(VALUE(AA$1),{Questions[#],Questions[Answer]},2,FALSE),1,0)</f>
        <v/>
      </c>
      <c r="BD107" s="41">
        <f t="array" ref="BD107">IF(AB107=VLOOKUP(VALUE(AB$1),{Questions[#],Questions[Answer]},2,FALSE),1,0)</f>
        <v/>
      </c>
      <c r="BE107" s="41">
        <f t="array" ref="BE107">IF(AC107=VLOOKUP(VALUE(AC$1),{Questions[#],Questions[Answer]},2,FALSE),1,0)</f>
        <v/>
      </c>
      <c r="BF107" s="41">
        <f t="array" ref="BF107">IF(AD107=VLOOKUP(VALUE(AD$1),{Questions[#],Questions[Answer]},2,FALSE),1,0)</f>
        <v/>
      </c>
      <c r="BG107" s="41">
        <f t="array" ref="BG107">IF(AE107=VLOOKUP(VALUE(AE$1),{Questions[#],Questions[Answer]},2,FALSE),1,0)</f>
        <v/>
      </c>
      <c r="BH107" s="41">
        <f t="array" ref="BH107">IF(AF107=VLOOKUP(VALUE(AF$1),{Questions[#],Questions[Answer]},2,FALSE),1,0)</f>
        <v/>
      </c>
      <c r="BI107" s="41">
        <f t="array" ref="BI107">IF(AG107=VLOOKUP(VALUE(AG$1),{Questions[#],Questions[Answer]},2,FALSE),1,0)</f>
        <v/>
      </c>
      <c r="BJ107" s="41">
        <f t="array" ref="BJ107">IF(AH107=VLOOKUP(VALUE(AH$1),{Questions[#],Questions[Answer]},2,FALSE),1,0)</f>
        <v/>
      </c>
      <c r="BK107" s="41">
        <f t="array" ref="BK107">IF(AI107=VLOOKUP(VALUE(AI$1),{Questions[#],Questions[Answer]},2,FALSE),1,0)</f>
        <v/>
      </c>
      <c r="BL107" s="41">
        <f t="array" ref="BL107">IF(AJ107=VLOOKUP(VALUE(AJ$1),{Questions[#],Questions[Answer]},2,FALSE),1,0)</f>
        <v/>
      </c>
      <c r="BM107" s="41">
        <f t="array" ref="BM107">IF(AK107=VLOOKUP(VALUE(AK$1),{Questions[#],Questions[Answer]},2,FALSE),1,0)</f>
        <v/>
      </c>
      <c r="BN107" s="41">
        <f t="array" ref="BN107">IF(AL107=VLOOKUP(VALUE(AL$1),{Questions[#],Questions[Answer]},2,FALSE),1,0)</f>
        <v/>
      </c>
    </row>
    <row r="108" ht="22.5" customHeight="1" s="93">
      <c r="A108" s="42" t="n"/>
      <c r="B108" s="41" t="n"/>
      <c r="C108" s="41" t="n"/>
      <c r="D108" s="43" t="n"/>
      <c r="E108" s="41" t="n"/>
      <c r="F108" s="41" t="n"/>
      <c r="G108" s="11">
        <f>SUM(AM108:BN108)</f>
        <v/>
      </c>
      <c r="H108" s="40">
        <f>G108/9</f>
        <v/>
      </c>
      <c r="I108" s="12">
        <f>0.5+(G108/54)</f>
        <v/>
      </c>
      <c r="J108" s="41">
        <f>COUNTIF(K108:AL108,"")</f>
        <v/>
      </c>
      <c r="K108" s="34" t="n"/>
      <c r="L108" s="35" t="n"/>
      <c r="M108" s="35" t="n"/>
      <c r="N108" s="35" t="n"/>
      <c r="O108" s="35" t="n"/>
      <c r="P108" s="35" t="n"/>
      <c r="Q108" s="35" t="n"/>
      <c r="R108" s="35" t="n"/>
      <c r="S108" s="35" t="n"/>
      <c r="T108" s="35" t="n"/>
      <c r="U108" s="35" t="n"/>
      <c r="V108" s="35" t="n"/>
      <c r="W108" s="35" t="n"/>
      <c r="X108" s="41" t="n"/>
      <c r="Y108" s="35" t="n"/>
      <c r="Z108" s="35" t="n"/>
      <c r="AA108" s="35" t="n"/>
      <c r="AB108" s="35" t="n"/>
      <c r="AC108" s="35" t="n"/>
      <c r="AD108" s="35" t="n"/>
      <c r="AE108" s="41" t="n"/>
      <c r="AF108" s="35" t="n"/>
      <c r="AG108" s="35" t="n"/>
      <c r="AH108" s="35" t="n"/>
      <c r="AI108" s="35" t="n"/>
      <c r="AJ108" s="35" t="n"/>
      <c r="AK108" s="35" t="n"/>
      <c r="AL108" s="38" t="n"/>
      <c r="AM108" s="19">
        <f t="array" ref="AM108">IF(K108=VLOOKUP(VALUE(K$1),{Questions[#],Questions[Answer]},2,FALSE),1,0)</f>
        <v/>
      </c>
      <c r="AN108" s="41">
        <f t="array" ref="AN108">IF(L108=VLOOKUP(VALUE(L$1),{Questions[#],Questions[Answer]},2,FALSE),1,0)</f>
        <v/>
      </c>
      <c r="AO108" s="41">
        <f t="array" ref="AO108">IF(M108=VLOOKUP(VALUE(M$1),{Questions[#],Questions[Answer]},2,FALSE),1,0)</f>
        <v/>
      </c>
      <c r="AP108" s="41">
        <f t="array" ref="AP108">IF(N108=VLOOKUP(VALUE(N$1),{Questions[#],Questions[Answer]},2,FALSE),1,0)</f>
        <v/>
      </c>
      <c r="AQ108" s="41">
        <f t="array" ref="AQ108">IF(O108=VLOOKUP(VALUE(O$1),{Questions[#],Questions[Answer]},2,FALSE),1,0)</f>
        <v/>
      </c>
      <c r="AR108" s="41">
        <f t="array" ref="AR108">IF(P108=VLOOKUP(VALUE(P$1),{Questions[#],Questions[Answer]},2,FALSE),1,0)</f>
        <v/>
      </c>
      <c r="AS108" s="41">
        <f t="array" ref="AS108">IF(Q108=VLOOKUP(VALUE(Q$1),{Questions[#],Questions[Answer]},2,FALSE),1,0)</f>
        <v/>
      </c>
      <c r="AT108" s="41">
        <f t="array" ref="AT108">IF(R108=VLOOKUP(VALUE(R$1),{Questions[#],Questions[Answer]},2,FALSE),1,0)</f>
        <v/>
      </c>
      <c r="AU108" s="41">
        <f t="array" ref="AU108">IF(S108=VLOOKUP(VALUE(S$1),{Questions[#],Questions[Answer]},2,FALSE),1,0)</f>
        <v/>
      </c>
      <c r="AV108" s="41">
        <f t="array" ref="AV108">IF(T108=VLOOKUP(VALUE(T$1),{Questions[#],Questions[Answer]},2,FALSE),1,0)</f>
        <v/>
      </c>
      <c r="AW108" s="41">
        <f t="array" ref="AW108">IF(U108=VLOOKUP(VALUE(U$1),{Questions[#],Questions[Answer]},2,FALSE),1,0)</f>
        <v/>
      </c>
      <c r="AX108" s="41">
        <f t="array" ref="AX108">IF(V108=VLOOKUP(VALUE(V$1),{Questions[#],Questions[Answer]},2,FALSE),1,0)</f>
        <v/>
      </c>
      <c r="AY108" s="41">
        <f t="array" ref="AY108">IF(W108=VLOOKUP(VALUE(W$1),{Questions[#],Questions[Answer]},2,FALSE),1,0)</f>
        <v/>
      </c>
      <c r="AZ108" s="41">
        <f t="array" ref="AZ108">IF(X108=VLOOKUP(VALUE(X$1),{Questions[#],Questions[Answer]},2,FALSE),1,0)</f>
        <v/>
      </c>
      <c r="BA108" s="41">
        <f t="array" ref="BA108">IF(Y108=VLOOKUP(VALUE(Y$1),{Questions[#],Questions[Answer]},2,FALSE),1,0)</f>
        <v/>
      </c>
      <c r="BB108" s="41">
        <f t="array" ref="BB108">IF(Z108=VLOOKUP(VALUE(Z$1),{Questions[#],Questions[Answer]},2,FALSE),1,0)</f>
        <v/>
      </c>
      <c r="BC108" s="41">
        <f t="array" ref="BC108">IF(AA108=VLOOKUP(VALUE(AA$1),{Questions[#],Questions[Answer]},2,FALSE),1,0)</f>
        <v/>
      </c>
      <c r="BD108" s="41">
        <f t="array" ref="BD108">IF(AB108=VLOOKUP(VALUE(AB$1),{Questions[#],Questions[Answer]},2,FALSE),1,0)</f>
        <v/>
      </c>
      <c r="BE108" s="41">
        <f t="array" ref="BE108">IF(AC108=VLOOKUP(VALUE(AC$1),{Questions[#],Questions[Answer]},2,FALSE),1,0)</f>
        <v/>
      </c>
      <c r="BF108" s="41">
        <f t="array" ref="BF108">IF(AD108=VLOOKUP(VALUE(AD$1),{Questions[#],Questions[Answer]},2,FALSE),1,0)</f>
        <v/>
      </c>
      <c r="BG108" s="41">
        <f t="array" ref="BG108">IF(AE108=VLOOKUP(VALUE(AE$1),{Questions[#],Questions[Answer]},2,FALSE),1,0)</f>
        <v/>
      </c>
      <c r="BH108" s="41">
        <f t="array" ref="BH108">IF(AF108=VLOOKUP(VALUE(AF$1),{Questions[#],Questions[Answer]},2,FALSE),1,0)</f>
        <v/>
      </c>
      <c r="BI108" s="41">
        <f t="array" ref="BI108">IF(AG108=VLOOKUP(VALUE(AG$1),{Questions[#],Questions[Answer]},2,FALSE),1,0)</f>
        <v/>
      </c>
      <c r="BJ108" s="41">
        <f t="array" ref="BJ108">IF(AH108=VLOOKUP(VALUE(AH$1),{Questions[#],Questions[Answer]},2,FALSE),1,0)</f>
        <v/>
      </c>
      <c r="BK108" s="41">
        <f t="array" ref="BK108">IF(AI108=VLOOKUP(VALUE(AI$1),{Questions[#],Questions[Answer]},2,FALSE),1,0)</f>
        <v/>
      </c>
      <c r="BL108" s="41">
        <f t="array" ref="BL108">IF(AJ108=VLOOKUP(VALUE(AJ$1),{Questions[#],Questions[Answer]},2,FALSE),1,0)</f>
        <v/>
      </c>
      <c r="BM108" s="41">
        <f t="array" ref="BM108">IF(AK108=VLOOKUP(VALUE(AK$1),{Questions[#],Questions[Answer]},2,FALSE),1,0)</f>
        <v/>
      </c>
      <c r="BN108" s="41">
        <f t="array" ref="BN108">IF(AL108=VLOOKUP(VALUE(AL$1),{Questions[#],Questions[Answer]},2,FALSE),1,0)</f>
        <v/>
      </c>
    </row>
    <row r="109" ht="22.5" customHeight="1" s="93">
      <c r="A109" s="42" t="n"/>
      <c r="B109" s="41" t="n"/>
      <c r="C109" s="41" t="n"/>
      <c r="D109" s="43" t="n"/>
      <c r="E109" s="41" t="n"/>
      <c r="F109" s="41" t="n"/>
      <c r="G109" s="11">
        <f>SUM(AM109:BN109)</f>
        <v/>
      </c>
      <c r="H109" s="40">
        <f>G109/9</f>
        <v/>
      </c>
      <c r="I109" s="12">
        <f>0.5+(G109/54)</f>
        <v/>
      </c>
      <c r="J109" s="41">
        <f>COUNTIF(K109:AL109,"")</f>
        <v/>
      </c>
      <c r="K109" s="34" t="n"/>
      <c r="L109" s="35" t="n"/>
      <c r="M109" s="35" t="n"/>
      <c r="N109" s="35" t="n"/>
      <c r="O109" s="35" t="n"/>
      <c r="P109" s="35" t="n"/>
      <c r="Q109" s="35" t="n"/>
      <c r="R109" s="35" t="n"/>
      <c r="S109" s="35" t="n"/>
      <c r="T109" s="35" t="n"/>
      <c r="U109" s="35" t="n"/>
      <c r="V109" s="35" t="n"/>
      <c r="W109" s="35" t="n"/>
      <c r="X109" s="41" t="n"/>
      <c r="Y109" s="35" t="n"/>
      <c r="Z109" s="35" t="n"/>
      <c r="AA109" s="35" t="n"/>
      <c r="AB109" s="35" t="n"/>
      <c r="AC109" s="35" t="n"/>
      <c r="AD109" s="35" t="n"/>
      <c r="AE109" s="41" t="n"/>
      <c r="AF109" s="35" t="n"/>
      <c r="AG109" s="35" t="n"/>
      <c r="AH109" s="35" t="n"/>
      <c r="AI109" s="35" t="n"/>
      <c r="AJ109" s="35" t="n"/>
      <c r="AK109" s="35" t="n"/>
      <c r="AL109" s="38" t="n"/>
      <c r="AM109" s="19">
        <f t="array" ref="AM109">IF(K109=VLOOKUP(VALUE(K$1),{Questions[#],Questions[Answer]},2,FALSE),1,0)</f>
        <v/>
      </c>
      <c r="AN109" s="41">
        <f t="array" ref="AN109">IF(L109=VLOOKUP(VALUE(L$1),{Questions[#],Questions[Answer]},2,FALSE),1,0)</f>
        <v/>
      </c>
      <c r="AO109" s="41">
        <f t="array" ref="AO109">IF(M109=VLOOKUP(VALUE(M$1),{Questions[#],Questions[Answer]},2,FALSE),1,0)</f>
        <v/>
      </c>
      <c r="AP109" s="41">
        <f t="array" ref="AP109">IF(N109=VLOOKUP(VALUE(N$1),{Questions[#],Questions[Answer]},2,FALSE),1,0)</f>
        <v/>
      </c>
      <c r="AQ109" s="41">
        <f t="array" ref="AQ109">IF(O109=VLOOKUP(VALUE(O$1),{Questions[#],Questions[Answer]},2,FALSE),1,0)</f>
        <v/>
      </c>
      <c r="AR109" s="41">
        <f t="array" ref="AR109">IF(P109=VLOOKUP(VALUE(P$1),{Questions[#],Questions[Answer]},2,FALSE),1,0)</f>
        <v/>
      </c>
      <c r="AS109" s="41">
        <f t="array" ref="AS109">IF(Q109=VLOOKUP(VALUE(Q$1),{Questions[#],Questions[Answer]},2,FALSE),1,0)</f>
        <v/>
      </c>
      <c r="AT109" s="41">
        <f t="array" ref="AT109">IF(R109=VLOOKUP(VALUE(R$1),{Questions[#],Questions[Answer]},2,FALSE),1,0)</f>
        <v/>
      </c>
      <c r="AU109" s="41">
        <f t="array" ref="AU109">IF(S109=VLOOKUP(VALUE(S$1),{Questions[#],Questions[Answer]},2,FALSE),1,0)</f>
        <v/>
      </c>
      <c r="AV109" s="41">
        <f t="array" ref="AV109">IF(T109=VLOOKUP(VALUE(T$1),{Questions[#],Questions[Answer]},2,FALSE),1,0)</f>
        <v/>
      </c>
      <c r="AW109" s="41">
        <f t="array" ref="AW109">IF(U109=VLOOKUP(VALUE(U$1),{Questions[#],Questions[Answer]},2,FALSE),1,0)</f>
        <v/>
      </c>
      <c r="AX109" s="41">
        <f t="array" ref="AX109">IF(V109=VLOOKUP(VALUE(V$1),{Questions[#],Questions[Answer]},2,FALSE),1,0)</f>
        <v/>
      </c>
      <c r="AY109" s="41">
        <f t="array" ref="AY109">IF(W109=VLOOKUP(VALUE(W$1),{Questions[#],Questions[Answer]},2,FALSE),1,0)</f>
        <v/>
      </c>
      <c r="AZ109" s="41">
        <f t="array" ref="AZ109">IF(X109=VLOOKUP(VALUE(X$1),{Questions[#],Questions[Answer]},2,FALSE),1,0)</f>
        <v/>
      </c>
      <c r="BA109" s="41">
        <f t="array" ref="BA109">IF(Y109=VLOOKUP(VALUE(Y$1),{Questions[#],Questions[Answer]},2,FALSE),1,0)</f>
        <v/>
      </c>
      <c r="BB109" s="41">
        <f t="array" ref="BB109">IF(Z109=VLOOKUP(VALUE(Z$1),{Questions[#],Questions[Answer]},2,FALSE),1,0)</f>
        <v/>
      </c>
      <c r="BC109" s="41">
        <f t="array" ref="BC109">IF(AA109=VLOOKUP(VALUE(AA$1),{Questions[#],Questions[Answer]},2,FALSE),1,0)</f>
        <v/>
      </c>
      <c r="BD109" s="41">
        <f t="array" ref="BD109">IF(AB109=VLOOKUP(VALUE(AB$1),{Questions[#],Questions[Answer]},2,FALSE),1,0)</f>
        <v/>
      </c>
      <c r="BE109" s="41">
        <f t="array" ref="BE109">IF(AC109=VLOOKUP(VALUE(AC$1),{Questions[#],Questions[Answer]},2,FALSE),1,0)</f>
        <v/>
      </c>
      <c r="BF109" s="41">
        <f t="array" ref="BF109">IF(AD109=VLOOKUP(VALUE(AD$1),{Questions[#],Questions[Answer]},2,FALSE),1,0)</f>
        <v/>
      </c>
      <c r="BG109" s="41">
        <f t="array" ref="BG109">IF(AE109=VLOOKUP(VALUE(AE$1),{Questions[#],Questions[Answer]},2,FALSE),1,0)</f>
        <v/>
      </c>
      <c r="BH109" s="41">
        <f t="array" ref="BH109">IF(AF109=VLOOKUP(VALUE(AF$1),{Questions[#],Questions[Answer]},2,FALSE),1,0)</f>
        <v/>
      </c>
      <c r="BI109" s="41">
        <f t="array" ref="BI109">IF(AG109=VLOOKUP(VALUE(AG$1),{Questions[#],Questions[Answer]},2,FALSE),1,0)</f>
        <v/>
      </c>
      <c r="BJ109" s="41">
        <f t="array" ref="BJ109">IF(AH109=VLOOKUP(VALUE(AH$1),{Questions[#],Questions[Answer]},2,FALSE),1,0)</f>
        <v/>
      </c>
      <c r="BK109" s="41">
        <f t="array" ref="BK109">IF(AI109=VLOOKUP(VALUE(AI$1),{Questions[#],Questions[Answer]},2,FALSE),1,0)</f>
        <v/>
      </c>
      <c r="BL109" s="41">
        <f t="array" ref="BL109">IF(AJ109=VLOOKUP(VALUE(AJ$1),{Questions[#],Questions[Answer]},2,FALSE),1,0)</f>
        <v/>
      </c>
      <c r="BM109" s="41">
        <f t="array" ref="BM109">IF(AK109=VLOOKUP(VALUE(AK$1),{Questions[#],Questions[Answer]},2,FALSE),1,0)</f>
        <v/>
      </c>
      <c r="BN109" s="41">
        <f t="array" ref="BN109">IF(AL109=VLOOKUP(VALUE(AL$1),{Questions[#],Questions[Answer]},2,FALSE),1,0)</f>
        <v/>
      </c>
    </row>
    <row r="110" ht="22.5" customHeight="1" s="93">
      <c r="A110" s="42" t="n"/>
      <c r="B110" s="41" t="n"/>
      <c r="C110" s="41" t="n"/>
      <c r="D110" s="43" t="n"/>
      <c r="E110" s="41" t="n"/>
      <c r="F110" s="41" t="n"/>
      <c r="G110" s="11">
        <f>SUM(AM110:BN110)</f>
        <v/>
      </c>
      <c r="H110" s="40">
        <f>G110/9</f>
        <v/>
      </c>
      <c r="I110" s="12">
        <f>0.5+(G110/54)</f>
        <v/>
      </c>
      <c r="J110" s="41">
        <f>COUNTIF(K110:AL110,"")</f>
        <v/>
      </c>
      <c r="K110" s="34" t="n"/>
      <c r="L110" s="35" t="n"/>
      <c r="M110" s="35" t="n"/>
      <c r="N110" s="35" t="n"/>
      <c r="O110" s="35" t="n"/>
      <c r="P110" s="35" t="n"/>
      <c r="Q110" s="35" t="n"/>
      <c r="R110" s="35" t="n"/>
      <c r="S110" s="35" t="n"/>
      <c r="T110" s="35" t="n"/>
      <c r="U110" s="35" t="n"/>
      <c r="V110" s="35" t="n"/>
      <c r="W110" s="35" t="n"/>
      <c r="X110" s="41" t="n"/>
      <c r="Y110" s="35" t="n"/>
      <c r="Z110" s="35" t="n"/>
      <c r="AA110" s="35" t="n"/>
      <c r="AB110" s="35" t="n"/>
      <c r="AC110" s="35" t="n"/>
      <c r="AD110" s="35" t="n"/>
      <c r="AE110" s="41" t="n"/>
      <c r="AF110" s="35" t="n"/>
      <c r="AG110" s="35" t="n"/>
      <c r="AH110" s="35" t="n"/>
      <c r="AI110" s="35" t="n"/>
      <c r="AJ110" s="35" t="n"/>
      <c r="AK110" s="35" t="n"/>
      <c r="AL110" s="38" t="n"/>
      <c r="AM110" s="19">
        <f t="array" ref="AM110">IF(K110=VLOOKUP(VALUE(K$1),{Questions[#],Questions[Answer]},2,FALSE),1,0)</f>
        <v/>
      </c>
      <c r="AN110" s="41">
        <f t="array" ref="AN110">IF(L110=VLOOKUP(VALUE(L$1),{Questions[#],Questions[Answer]},2,FALSE),1,0)</f>
        <v/>
      </c>
      <c r="AO110" s="41">
        <f t="array" ref="AO110">IF(M110=VLOOKUP(VALUE(M$1),{Questions[#],Questions[Answer]},2,FALSE),1,0)</f>
        <v/>
      </c>
      <c r="AP110" s="41">
        <f t="array" ref="AP110">IF(N110=VLOOKUP(VALUE(N$1),{Questions[#],Questions[Answer]},2,FALSE),1,0)</f>
        <v/>
      </c>
      <c r="AQ110" s="41">
        <f t="array" ref="AQ110">IF(O110=VLOOKUP(VALUE(O$1),{Questions[#],Questions[Answer]},2,FALSE),1,0)</f>
        <v/>
      </c>
      <c r="AR110" s="41">
        <f t="array" ref="AR110">IF(P110=VLOOKUP(VALUE(P$1),{Questions[#],Questions[Answer]},2,FALSE),1,0)</f>
        <v/>
      </c>
      <c r="AS110" s="41">
        <f t="array" ref="AS110">IF(Q110=VLOOKUP(VALUE(Q$1),{Questions[#],Questions[Answer]},2,FALSE),1,0)</f>
        <v/>
      </c>
      <c r="AT110" s="41">
        <f t="array" ref="AT110">IF(R110=VLOOKUP(VALUE(R$1),{Questions[#],Questions[Answer]},2,FALSE),1,0)</f>
        <v/>
      </c>
      <c r="AU110" s="41">
        <f t="array" ref="AU110">IF(S110=VLOOKUP(VALUE(S$1),{Questions[#],Questions[Answer]},2,FALSE),1,0)</f>
        <v/>
      </c>
      <c r="AV110" s="41">
        <f t="array" ref="AV110">IF(T110=VLOOKUP(VALUE(T$1),{Questions[#],Questions[Answer]},2,FALSE),1,0)</f>
        <v/>
      </c>
      <c r="AW110" s="41">
        <f t="array" ref="AW110">IF(U110=VLOOKUP(VALUE(U$1),{Questions[#],Questions[Answer]},2,FALSE),1,0)</f>
        <v/>
      </c>
      <c r="AX110" s="41">
        <f t="array" ref="AX110">IF(V110=VLOOKUP(VALUE(V$1),{Questions[#],Questions[Answer]},2,FALSE),1,0)</f>
        <v/>
      </c>
      <c r="AY110" s="41">
        <f t="array" ref="AY110">IF(W110=VLOOKUP(VALUE(W$1),{Questions[#],Questions[Answer]},2,FALSE),1,0)</f>
        <v/>
      </c>
      <c r="AZ110" s="41">
        <f t="array" ref="AZ110">IF(X110=VLOOKUP(VALUE(X$1),{Questions[#],Questions[Answer]},2,FALSE),1,0)</f>
        <v/>
      </c>
      <c r="BA110" s="41">
        <f t="array" ref="BA110">IF(Y110=VLOOKUP(VALUE(Y$1),{Questions[#],Questions[Answer]},2,FALSE),1,0)</f>
        <v/>
      </c>
      <c r="BB110" s="41">
        <f t="array" ref="BB110">IF(Z110=VLOOKUP(VALUE(Z$1),{Questions[#],Questions[Answer]},2,FALSE),1,0)</f>
        <v/>
      </c>
      <c r="BC110" s="41">
        <f t="array" ref="BC110">IF(AA110=VLOOKUP(VALUE(AA$1),{Questions[#],Questions[Answer]},2,FALSE),1,0)</f>
        <v/>
      </c>
      <c r="BD110" s="41">
        <f t="array" ref="BD110">IF(AB110=VLOOKUP(VALUE(AB$1),{Questions[#],Questions[Answer]},2,FALSE),1,0)</f>
        <v/>
      </c>
      <c r="BE110" s="41">
        <f t="array" ref="BE110">IF(AC110=VLOOKUP(VALUE(AC$1),{Questions[#],Questions[Answer]},2,FALSE),1,0)</f>
        <v/>
      </c>
      <c r="BF110" s="41">
        <f t="array" ref="BF110">IF(AD110=VLOOKUP(VALUE(AD$1),{Questions[#],Questions[Answer]},2,FALSE),1,0)</f>
        <v/>
      </c>
      <c r="BG110" s="41">
        <f t="array" ref="BG110">IF(AE110=VLOOKUP(VALUE(AE$1),{Questions[#],Questions[Answer]},2,FALSE),1,0)</f>
        <v/>
      </c>
      <c r="BH110" s="41">
        <f t="array" ref="BH110">IF(AF110=VLOOKUP(VALUE(AF$1),{Questions[#],Questions[Answer]},2,FALSE),1,0)</f>
        <v/>
      </c>
      <c r="BI110" s="41">
        <f t="array" ref="BI110">IF(AG110=VLOOKUP(VALUE(AG$1),{Questions[#],Questions[Answer]},2,FALSE),1,0)</f>
        <v/>
      </c>
      <c r="BJ110" s="41">
        <f t="array" ref="BJ110">IF(AH110=VLOOKUP(VALUE(AH$1),{Questions[#],Questions[Answer]},2,FALSE),1,0)</f>
        <v/>
      </c>
      <c r="BK110" s="41">
        <f t="array" ref="BK110">IF(AI110=VLOOKUP(VALUE(AI$1),{Questions[#],Questions[Answer]},2,FALSE),1,0)</f>
        <v/>
      </c>
      <c r="BL110" s="41">
        <f t="array" ref="BL110">IF(AJ110=VLOOKUP(VALUE(AJ$1),{Questions[#],Questions[Answer]},2,FALSE),1,0)</f>
        <v/>
      </c>
      <c r="BM110" s="41">
        <f t="array" ref="BM110">IF(AK110=VLOOKUP(VALUE(AK$1),{Questions[#],Questions[Answer]},2,FALSE),1,0)</f>
        <v/>
      </c>
      <c r="BN110" s="41">
        <f t="array" ref="BN110">IF(AL110=VLOOKUP(VALUE(AL$1),{Questions[#],Questions[Answer]},2,FALSE),1,0)</f>
        <v/>
      </c>
    </row>
    <row r="111" ht="22.5" customHeight="1" s="93">
      <c r="A111" s="42" t="n"/>
      <c r="B111" s="41" t="n"/>
      <c r="C111" s="41" t="n"/>
      <c r="D111" s="43" t="n"/>
      <c r="E111" s="41" t="n"/>
      <c r="F111" s="41" t="n"/>
      <c r="G111" s="11">
        <f>SUM(AM111:BN111)</f>
        <v/>
      </c>
      <c r="H111" s="40">
        <f>G111/9</f>
        <v/>
      </c>
      <c r="I111" s="12">
        <f>0.5+(G111/54)</f>
        <v/>
      </c>
      <c r="J111" s="41">
        <f>COUNTIF(K111:AL111,"")</f>
        <v/>
      </c>
      <c r="K111" s="34" t="n"/>
      <c r="L111" s="35" t="n"/>
      <c r="M111" s="35" t="n"/>
      <c r="N111" s="35" t="n"/>
      <c r="O111" s="35" t="n"/>
      <c r="P111" s="35" t="n"/>
      <c r="Q111" s="35" t="n"/>
      <c r="R111" s="35" t="n"/>
      <c r="S111" s="35" t="n"/>
      <c r="T111" s="35" t="n"/>
      <c r="U111" s="35" t="n"/>
      <c r="V111" s="35" t="n"/>
      <c r="W111" s="35" t="n"/>
      <c r="X111" s="41" t="n"/>
      <c r="Y111" s="35" t="n"/>
      <c r="Z111" s="35" t="n"/>
      <c r="AA111" s="35" t="n"/>
      <c r="AB111" s="35" t="n"/>
      <c r="AC111" s="35" t="n"/>
      <c r="AD111" s="35" t="n"/>
      <c r="AE111" s="41" t="n"/>
      <c r="AF111" s="35" t="n"/>
      <c r="AG111" s="35" t="n"/>
      <c r="AH111" s="35" t="n"/>
      <c r="AI111" s="35" t="n"/>
      <c r="AJ111" s="35" t="n"/>
      <c r="AK111" s="35" t="n"/>
      <c r="AL111" s="38" t="n"/>
      <c r="AM111" s="19">
        <f t="array" ref="AM111">IF(K111=VLOOKUP(VALUE(K$1),{Questions[#],Questions[Answer]},2,FALSE),1,0)</f>
        <v/>
      </c>
      <c r="AN111" s="41">
        <f t="array" ref="AN111">IF(L111=VLOOKUP(VALUE(L$1),{Questions[#],Questions[Answer]},2,FALSE),1,0)</f>
        <v/>
      </c>
      <c r="AO111" s="41">
        <f t="array" ref="AO111">IF(M111=VLOOKUP(VALUE(M$1),{Questions[#],Questions[Answer]},2,FALSE),1,0)</f>
        <v/>
      </c>
      <c r="AP111" s="41">
        <f t="array" ref="AP111">IF(N111=VLOOKUP(VALUE(N$1),{Questions[#],Questions[Answer]},2,FALSE),1,0)</f>
        <v/>
      </c>
      <c r="AQ111" s="41">
        <f t="array" ref="AQ111">IF(O111=VLOOKUP(VALUE(O$1),{Questions[#],Questions[Answer]},2,FALSE),1,0)</f>
        <v/>
      </c>
      <c r="AR111" s="41">
        <f t="array" ref="AR111">IF(P111=VLOOKUP(VALUE(P$1),{Questions[#],Questions[Answer]},2,FALSE),1,0)</f>
        <v/>
      </c>
      <c r="AS111" s="41">
        <f t="array" ref="AS111">IF(Q111=VLOOKUP(VALUE(Q$1),{Questions[#],Questions[Answer]},2,FALSE),1,0)</f>
        <v/>
      </c>
      <c r="AT111" s="41">
        <f t="array" ref="AT111">IF(R111=VLOOKUP(VALUE(R$1),{Questions[#],Questions[Answer]},2,FALSE),1,0)</f>
        <v/>
      </c>
      <c r="AU111" s="41">
        <f t="array" ref="AU111">IF(S111=VLOOKUP(VALUE(S$1),{Questions[#],Questions[Answer]},2,FALSE),1,0)</f>
        <v/>
      </c>
      <c r="AV111" s="41">
        <f t="array" ref="AV111">IF(T111=VLOOKUP(VALUE(T$1),{Questions[#],Questions[Answer]},2,FALSE),1,0)</f>
        <v/>
      </c>
      <c r="AW111" s="41">
        <f t="array" ref="AW111">IF(U111=VLOOKUP(VALUE(U$1),{Questions[#],Questions[Answer]},2,FALSE),1,0)</f>
        <v/>
      </c>
      <c r="AX111" s="41">
        <f t="array" ref="AX111">IF(V111=VLOOKUP(VALUE(V$1),{Questions[#],Questions[Answer]},2,FALSE),1,0)</f>
        <v/>
      </c>
      <c r="AY111" s="41">
        <f t="array" ref="AY111">IF(W111=VLOOKUP(VALUE(W$1),{Questions[#],Questions[Answer]},2,FALSE),1,0)</f>
        <v/>
      </c>
      <c r="AZ111" s="41">
        <f t="array" ref="AZ111">IF(X111=VLOOKUP(VALUE(X$1),{Questions[#],Questions[Answer]},2,FALSE),1,0)</f>
        <v/>
      </c>
      <c r="BA111" s="41">
        <f t="array" ref="BA111">IF(Y111=VLOOKUP(VALUE(Y$1),{Questions[#],Questions[Answer]},2,FALSE),1,0)</f>
        <v/>
      </c>
      <c r="BB111" s="41">
        <f t="array" ref="BB111">IF(Z111=VLOOKUP(VALUE(Z$1),{Questions[#],Questions[Answer]},2,FALSE),1,0)</f>
        <v/>
      </c>
      <c r="BC111" s="41">
        <f t="array" ref="BC111">IF(AA111=VLOOKUP(VALUE(AA$1),{Questions[#],Questions[Answer]},2,FALSE),1,0)</f>
        <v/>
      </c>
      <c r="BD111" s="41">
        <f t="array" ref="BD111">IF(AB111=VLOOKUP(VALUE(AB$1),{Questions[#],Questions[Answer]},2,FALSE),1,0)</f>
        <v/>
      </c>
      <c r="BE111" s="41">
        <f t="array" ref="BE111">IF(AC111=VLOOKUP(VALUE(AC$1),{Questions[#],Questions[Answer]},2,FALSE),1,0)</f>
        <v/>
      </c>
      <c r="BF111" s="41">
        <f t="array" ref="BF111">IF(AD111=VLOOKUP(VALUE(AD$1),{Questions[#],Questions[Answer]},2,FALSE),1,0)</f>
        <v/>
      </c>
      <c r="BG111" s="41">
        <f t="array" ref="BG111">IF(AE111=VLOOKUP(VALUE(AE$1),{Questions[#],Questions[Answer]},2,FALSE),1,0)</f>
        <v/>
      </c>
      <c r="BH111" s="41">
        <f t="array" ref="BH111">IF(AF111=VLOOKUP(VALUE(AF$1),{Questions[#],Questions[Answer]},2,FALSE),1,0)</f>
        <v/>
      </c>
      <c r="BI111" s="41">
        <f t="array" ref="BI111">IF(AG111=VLOOKUP(VALUE(AG$1),{Questions[#],Questions[Answer]},2,FALSE),1,0)</f>
        <v/>
      </c>
      <c r="BJ111" s="41">
        <f t="array" ref="BJ111">IF(AH111=VLOOKUP(VALUE(AH$1),{Questions[#],Questions[Answer]},2,FALSE),1,0)</f>
        <v/>
      </c>
      <c r="BK111" s="41">
        <f t="array" ref="BK111">IF(AI111=VLOOKUP(VALUE(AI$1),{Questions[#],Questions[Answer]},2,FALSE),1,0)</f>
        <v/>
      </c>
      <c r="BL111" s="41">
        <f t="array" ref="BL111">IF(AJ111=VLOOKUP(VALUE(AJ$1),{Questions[#],Questions[Answer]},2,FALSE),1,0)</f>
        <v/>
      </c>
      <c r="BM111" s="41">
        <f t="array" ref="BM111">IF(AK111=VLOOKUP(VALUE(AK$1),{Questions[#],Questions[Answer]},2,FALSE),1,0)</f>
        <v/>
      </c>
      <c r="BN111" s="41">
        <f t="array" ref="BN111">IF(AL111=VLOOKUP(VALUE(AL$1),{Questions[#],Questions[Answer]},2,FALSE),1,0)</f>
        <v/>
      </c>
    </row>
    <row r="112" ht="22.5" customHeight="1" s="93">
      <c r="A112" s="42" t="n"/>
      <c r="B112" s="41" t="n"/>
      <c r="C112" s="41" t="n"/>
      <c r="D112" s="43" t="n"/>
      <c r="E112" s="41" t="n"/>
      <c r="F112" s="41" t="n"/>
      <c r="G112" s="11">
        <f>SUM(AM112:BN112)</f>
        <v/>
      </c>
      <c r="H112" s="40">
        <f>G112/9</f>
        <v/>
      </c>
      <c r="I112" s="12">
        <f>0.5+(G112/54)</f>
        <v/>
      </c>
      <c r="J112" s="41">
        <f>COUNTIF(K112:AL112,"")</f>
        <v/>
      </c>
      <c r="K112" s="34" t="n"/>
      <c r="L112" s="35" t="n"/>
      <c r="M112" s="35" t="n"/>
      <c r="N112" s="35" t="n"/>
      <c r="O112" s="35" t="n"/>
      <c r="P112" s="35" t="n"/>
      <c r="Q112" s="35" t="n"/>
      <c r="R112" s="35" t="n"/>
      <c r="S112" s="35" t="n"/>
      <c r="T112" s="35" t="n"/>
      <c r="U112" s="35" t="n"/>
      <c r="V112" s="35" t="n"/>
      <c r="W112" s="35" t="n"/>
      <c r="X112" s="41" t="n"/>
      <c r="Y112" s="35" t="n"/>
      <c r="Z112" s="35" t="n"/>
      <c r="AA112" s="35" t="n"/>
      <c r="AB112" s="35" t="n"/>
      <c r="AC112" s="35" t="n"/>
      <c r="AD112" s="35" t="n"/>
      <c r="AE112" s="41" t="n"/>
      <c r="AF112" s="35" t="n"/>
      <c r="AG112" s="35" t="n"/>
      <c r="AH112" s="35" t="n"/>
      <c r="AI112" s="35" t="n"/>
      <c r="AJ112" s="35" t="n"/>
      <c r="AK112" s="35" t="n"/>
      <c r="AL112" s="38" t="n"/>
      <c r="AM112" s="19">
        <f t="array" ref="AM112">IF(K112=VLOOKUP(VALUE(K$1),{Questions[#],Questions[Answer]},2,FALSE),1,0)</f>
        <v/>
      </c>
      <c r="AN112" s="41">
        <f t="array" ref="AN112">IF(L112=VLOOKUP(VALUE(L$1),{Questions[#],Questions[Answer]},2,FALSE),1,0)</f>
        <v/>
      </c>
      <c r="AO112" s="41">
        <f t="array" ref="AO112">IF(M112=VLOOKUP(VALUE(M$1),{Questions[#],Questions[Answer]},2,FALSE),1,0)</f>
        <v/>
      </c>
      <c r="AP112" s="41">
        <f t="array" ref="AP112">IF(N112=VLOOKUP(VALUE(N$1),{Questions[#],Questions[Answer]},2,FALSE),1,0)</f>
        <v/>
      </c>
      <c r="AQ112" s="41">
        <f t="array" ref="AQ112">IF(O112=VLOOKUP(VALUE(O$1),{Questions[#],Questions[Answer]},2,FALSE),1,0)</f>
        <v/>
      </c>
      <c r="AR112" s="41">
        <f t="array" ref="AR112">IF(P112=VLOOKUP(VALUE(P$1),{Questions[#],Questions[Answer]},2,FALSE),1,0)</f>
        <v/>
      </c>
      <c r="AS112" s="41">
        <f t="array" ref="AS112">IF(Q112=VLOOKUP(VALUE(Q$1),{Questions[#],Questions[Answer]},2,FALSE),1,0)</f>
        <v/>
      </c>
      <c r="AT112" s="41">
        <f t="array" ref="AT112">IF(R112=VLOOKUP(VALUE(R$1),{Questions[#],Questions[Answer]},2,FALSE),1,0)</f>
        <v/>
      </c>
      <c r="AU112" s="41">
        <f t="array" ref="AU112">IF(S112=VLOOKUP(VALUE(S$1),{Questions[#],Questions[Answer]},2,FALSE),1,0)</f>
        <v/>
      </c>
      <c r="AV112" s="41">
        <f t="array" ref="AV112">IF(T112=VLOOKUP(VALUE(T$1),{Questions[#],Questions[Answer]},2,FALSE),1,0)</f>
        <v/>
      </c>
      <c r="AW112" s="41">
        <f t="array" ref="AW112">IF(U112=VLOOKUP(VALUE(U$1),{Questions[#],Questions[Answer]},2,FALSE),1,0)</f>
        <v/>
      </c>
      <c r="AX112" s="41">
        <f t="array" ref="AX112">IF(V112=VLOOKUP(VALUE(V$1),{Questions[#],Questions[Answer]},2,FALSE),1,0)</f>
        <v/>
      </c>
      <c r="AY112" s="41">
        <f t="array" ref="AY112">IF(W112=VLOOKUP(VALUE(W$1),{Questions[#],Questions[Answer]},2,FALSE),1,0)</f>
        <v/>
      </c>
      <c r="AZ112" s="41">
        <f t="array" ref="AZ112">IF(X112=VLOOKUP(VALUE(X$1),{Questions[#],Questions[Answer]},2,FALSE),1,0)</f>
        <v/>
      </c>
      <c r="BA112" s="41">
        <f t="array" ref="BA112">IF(Y112=VLOOKUP(VALUE(Y$1),{Questions[#],Questions[Answer]},2,FALSE),1,0)</f>
        <v/>
      </c>
      <c r="BB112" s="41">
        <f t="array" ref="BB112">IF(Z112=VLOOKUP(VALUE(Z$1),{Questions[#],Questions[Answer]},2,FALSE),1,0)</f>
        <v/>
      </c>
      <c r="BC112" s="41">
        <f t="array" ref="BC112">IF(AA112=VLOOKUP(VALUE(AA$1),{Questions[#],Questions[Answer]},2,FALSE),1,0)</f>
        <v/>
      </c>
      <c r="BD112" s="41">
        <f t="array" ref="BD112">IF(AB112=VLOOKUP(VALUE(AB$1),{Questions[#],Questions[Answer]},2,FALSE),1,0)</f>
        <v/>
      </c>
      <c r="BE112" s="41">
        <f t="array" ref="BE112">IF(AC112=VLOOKUP(VALUE(AC$1),{Questions[#],Questions[Answer]},2,FALSE),1,0)</f>
        <v/>
      </c>
      <c r="BF112" s="41">
        <f t="array" ref="BF112">IF(AD112=VLOOKUP(VALUE(AD$1),{Questions[#],Questions[Answer]},2,FALSE),1,0)</f>
        <v/>
      </c>
      <c r="BG112" s="41">
        <f t="array" ref="BG112">IF(AE112=VLOOKUP(VALUE(AE$1),{Questions[#],Questions[Answer]},2,FALSE),1,0)</f>
        <v/>
      </c>
      <c r="BH112" s="41">
        <f t="array" ref="BH112">IF(AF112=VLOOKUP(VALUE(AF$1),{Questions[#],Questions[Answer]},2,FALSE),1,0)</f>
        <v/>
      </c>
      <c r="BI112" s="41">
        <f t="array" ref="BI112">IF(AG112=VLOOKUP(VALUE(AG$1),{Questions[#],Questions[Answer]},2,FALSE),1,0)</f>
        <v/>
      </c>
      <c r="BJ112" s="41">
        <f t="array" ref="BJ112">IF(AH112=VLOOKUP(VALUE(AH$1),{Questions[#],Questions[Answer]},2,FALSE),1,0)</f>
        <v/>
      </c>
      <c r="BK112" s="41">
        <f t="array" ref="BK112">IF(AI112=VLOOKUP(VALUE(AI$1),{Questions[#],Questions[Answer]},2,FALSE),1,0)</f>
        <v/>
      </c>
      <c r="BL112" s="41">
        <f t="array" ref="BL112">IF(AJ112=VLOOKUP(VALUE(AJ$1),{Questions[#],Questions[Answer]},2,FALSE),1,0)</f>
        <v/>
      </c>
      <c r="BM112" s="41">
        <f t="array" ref="BM112">IF(AK112=VLOOKUP(VALUE(AK$1),{Questions[#],Questions[Answer]},2,FALSE),1,0)</f>
        <v/>
      </c>
      <c r="BN112" s="41">
        <f t="array" ref="BN112">IF(AL112=VLOOKUP(VALUE(AL$1),{Questions[#],Questions[Answer]},2,FALSE),1,0)</f>
        <v/>
      </c>
    </row>
    <row r="113" ht="22.5" customHeight="1" s="93">
      <c r="A113" s="42" t="n"/>
      <c r="B113" s="41" t="n"/>
      <c r="C113" s="41" t="n"/>
      <c r="D113" s="43" t="n"/>
      <c r="E113" s="41" t="n"/>
      <c r="F113" s="41" t="n"/>
      <c r="G113" s="11">
        <f>SUM(AM113:BN113)</f>
        <v/>
      </c>
      <c r="H113" s="40">
        <f>G113/9</f>
        <v/>
      </c>
      <c r="I113" s="12">
        <f>0.5+(G113/54)</f>
        <v/>
      </c>
      <c r="J113" s="41">
        <f>COUNTIF(K113:AL113,"")</f>
        <v/>
      </c>
      <c r="K113" s="34" t="n"/>
      <c r="L113" s="35" t="n"/>
      <c r="M113" s="35" t="n"/>
      <c r="N113" s="35" t="n"/>
      <c r="O113" s="35" t="n"/>
      <c r="P113" s="35" t="n"/>
      <c r="Q113" s="35" t="n"/>
      <c r="R113" s="35" t="n"/>
      <c r="S113" s="35" t="n"/>
      <c r="T113" s="35" t="n"/>
      <c r="U113" s="35" t="n"/>
      <c r="V113" s="35" t="n"/>
      <c r="W113" s="35" t="n"/>
      <c r="X113" s="41" t="n"/>
      <c r="Y113" s="35" t="n"/>
      <c r="Z113" s="35" t="n"/>
      <c r="AA113" s="35" t="n"/>
      <c r="AB113" s="35" t="n"/>
      <c r="AC113" s="35" t="n"/>
      <c r="AD113" s="35" t="n"/>
      <c r="AE113" s="41" t="n"/>
      <c r="AF113" s="35" t="n"/>
      <c r="AG113" s="35" t="n"/>
      <c r="AH113" s="35" t="n"/>
      <c r="AI113" s="35" t="n"/>
      <c r="AJ113" s="35" t="n"/>
      <c r="AK113" s="35" t="n"/>
      <c r="AL113" s="38" t="n"/>
      <c r="AM113" s="19">
        <f t="array" ref="AM113">IF(K113=VLOOKUP(VALUE(K$1),{Questions[#],Questions[Answer]},2,FALSE),1,0)</f>
        <v/>
      </c>
      <c r="AN113" s="41">
        <f t="array" ref="AN113">IF(L113=VLOOKUP(VALUE(L$1),{Questions[#],Questions[Answer]},2,FALSE),1,0)</f>
        <v/>
      </c>
      <c r="AO113" s="41">
        <f t="array" ref="AO113">IF(M113=VLOOKUP(VALUE(M$1),{Questions[#],Questions[Answer]},2,FALSE),1,0)</f>
        <v/>
      </c>
      <c r="AP113" s="41">
        <f t="array" ref="AP113">IF(N113=VLOOKUP(VALUE(N$1),{Questions[#],Questions[Answer]},2,FALSE),1,0)</f>
        <v/>
      </c>
      <c r="AQ113" s="41">
        <f t="array" ref="AQ113">IF(O113=VLOOKUP(VALUE(O$1),{Questions[#],Questions[Answer]},2,FALSE),1,0)</f>
        <v/>
      </c>
      <c r="AR113" s="41">
        <f t="array" ref="AR113">IF(P113=VLOOKUP(VALUE(P$1),{Questions[#],Questions[Answer]},2,FALSE),1,0)</f>
        <v/>
      </c>
      <c r="AS113" s="41">
        <f t="array" ref="AS113">IF(Q113=VLOOKUP(VALUE(Q$1),{Questions[#],Questions[Answer]},2,FALSE),1,0)</f>
        <v/>
      </c>
      <c r="AT113" s="41">
        <f t="array" ref="AT113">IF(R113=VLOOKUP(VALUE(R$1),{Questions[#],Questions[Answer]},2,FALSE),1,0)</f>
        <v/>
      </c>
      <c r="AU113" s="41">
        <f t="array" ref="AU113">IF(S113=VLOOKUP(VALUE(S$1),{Questions[#],Questions[Answer]},2,FALSE),1,0)</f>
        <v/>
      </c>
      <c r="AV113" s="41">
        <f t="array" ref="AV113">IF(T113=VLOOKUP(VALUE(T$1),{Questions[#],Questions[Answer]},2,FALSE),1,0)</f>
        <v/>
      </c>
      <c r="AW113" s="41">
        <f t="array" ref="AW113">IF(U113=VLOOKUP(VALUE(U$1),{Questions[#],Questions[Answer]},2,FALSE),1,0)</f>
        <v/>
      </c>
      <c r="AX113" s="41">
        <f t="array" ref="AX113">IF(V113=VLOOKUP(VALUE(V$1),{Questions[#],Questions[Answer]},2,FALSE),1,0)</f>
        <v/>
      </c>
      <c r="AY113" s="41">
        <f t="array" ref="AY113">IF(W113=VLOOKUP(VALUE(W$1),{Questions[#],Questions[Answer]},2,FALSE),1,0)</f>
        <v/>
      </c>
      <c r="AZ113" s="41">
        <f t="array" ref="AZ113">IF(X113=VLOOKUP(VALUE(X$1),{Questions[#],Questions[Answer]},2,FALSE),1,0)</f>
        <v/>
      </c>
      <c r="BA113" s="41">
        <f t="array" ref="BA113">IF(Y113=VLOOKUP(VALUE(Y$1),{Questions[#],Questions[Answer]},2,FALSE),1,0)</f>
        <v/>
      </c>
      <c r="BB113" s="41">
        <f t="array" ref="BB113">IF(Z113=VLOOKUP(VALUE(Z$1),{Questions[#],Questions[Answer]},2,FALSE),1,0)</f>
        <v/>
      </c>
      <c r="BC113" s="41">
        <f t="array" ref="BC113">IF(AA113=VLOOKUP(VALUE(AA$1),{Questions[#],Questions[Answer]},2,FALSE),1,0)</f>
        <v/>
      </c>
      <c r="BD113" s="41">
        <f t="array" ref="BD113">IF(AB113=VLOOKUP(VALUE(AB$1),{Questions[#],Questions[Answer]},2,FALSE),1,0)</f>
        <v/>
      </c>
      <c r="BE113" s="41">
        <f t="array" ref="BE113">IF(AC113=VLOOKUP(VALUE(AC$1),{Questions[#],Questions[Answer]},2,FALSE),1,0)</f>
        <v/>
      </c>
      <c r="BF113" s="41">
        <f t="array" ref="BF113">IF(AD113=VLOOKUP(VALUE(AD$1),{Questions[#],Questions[Answer]},2,FALSE),1,0)</f>
        <v/>
      </c>
      <c r="BG113" s="41">
        <f t="array" ref="BG113">IF(AE113=VLOOKUP(VALUE(AE$1),{Questions[#],Questions[Answer]},2,FALSE),1,0)</f>
        <v/>
      </c>
      <c r="BH113" s="41">
        <f t="array" ref="BH113">IF(AF113=VLOOKUP(VALUE(AF$1),{Questions[#],Questions[Answer]},2,FALSE),1,0)</f>
        <v/>
      </c>
      <c r="BI113" s="41">
        <f t="array" ref="BI113">IF(AG113=VLOOKUP(VALUE(AG$1),{Questions[#],Questions[Answer]},2,FALSE),1,0)</f>
        <v/>
      </c>
      <c r="BJ113" s="41">
        <f t="array" ref="BJ113">IF(AH113=VLOOKUP(VALUE(AH$1),{Questions[#],Questions[Answer]},2,FALSE),1,0)</f>
        <v/>
      </c>
      <c r="BK113" s="41">
        <f t="array" ref="BK113">IF(AI113=VLOOKUP(VALUE(AI$1),{Questions[#],Questions[Answer]},2,FALSE),1,0)</f>
        <v/>
      </c>
      <c r="BL113" s="41">
        <f t="array" ref="BL113">IF(AJ113=VLOOKUP(VALUE(AJ$1),{Questions[#],Questions[Answer]},2,FALSE),1,0)</f>
        <v/>
      </c>
      <c r="BM113" s="41">
        <f t="array" ref="BM113">IF(AK113=VLOOKUP(VALUE(AK$1),{Questions[#],Questions[Answer]},2,FALSE),1,0)</f>
        <v/>
      </c>
      <c r="BN113" s="41">
        <f t="array" ref="BN113">IF(AL113=VLOOKUP(VALUE(AL$1),{Questions[#],Questions[Answer]},2,FALSE),1,0)</f>
        <v/>
      </c>
    </row>
    <row r="114" ht="22.5" customHeight="1" s="93">
      <c r="A114" s="42" t="n"/>
      <c r="B114" s="41" t="n"/>
      <c r="C114" s="41" t="n"/>
      <c r="D114" s="43" t="n"/>
      <c r="E114" s="41" t="n"/>
      <c r="F114" s="41" t="n"/>
      <c r="G114" s="11">
        <f>SUM(AM114:BN114)</f>
        <v/>
      </c>
      <c r="H114" s="40">
        <f>G114/9</f>
        <v/>
      </c>
      <c r="I114" s="12">
        <f>0.5+(G114/54)</f>
        <v/>
      </c>
      <c r="J114" s="41">
        <f>COUNTIF(K114:AL114,"")</f>
        <v/>
      </c>
      <c r="K114" s="34" t="n"/>
      <c r="L114" s="35" t="n"/>
      <c r="M114" s="35" t="n"/>
      <c r="N114" s="35" t="n"/>
      <c r="O114" s="35" t="n"/>
      <c r="P114" s="35" t="n"/>
      <c r="Q114" s="35" t="n"/>
      <c r="R114" s="35" t="n"/>
      <c r="S114" s="35" t="n"/>
      <c r="T114" s="35" t="n"/>
      <c r="U114" s="35" t="n"/>
      <c r="V114" s="35" t="n"/>
      <c r="W114" s="35" t="n"/>
      <c r="X114" s="41" t="n"/>
      <c r="Y114" s="35" t="n"/>
      <c r="Z114" s="35" t="n"/>
      <c r="AA114" s="35" t="n"/>
      <c r="AB114" s="35" t="n"/>
      <c r="AC114" s="35" t="n"/>
      <c r="AD114" s="35" t="n"/>
      <c r="AE114" s="41" t="n"/>
      <c r="AF114" s="35" t="n"/>
      <c r="AG114" s="35" t="n"/>
      <c r="AH114" s="35" t="n"/>
      <c r="AI114" s="35" t="n"/>
      <c r="AJ114" s="35" t="n"/>
      <c r="AK114" s="35" t="n"/>
      <c r="AL114" s="38" t="n"/>
      <c r="AM114" s="19">
        <f t="array" ref="AM114">IF(K114=VLOOKUP(VALUE(K$1),{Questions[#],Questions[Answer]},2,FALSE),1,0)</f>
        <v/>
      </c>
      <c r="AN114" s="41">
        <f t="array" ref="AN114">IF(L114=VLOOKUP(VALUE(L$1),{Questions[#],Questions[Answer]},2,FALSE),1,0)</f>
        <v/>
      </c>
      <c r="AO114" s="41">
        <f t="array" ref="AO114">IF(M114=VLOOKUP(VALUE(M$1),{Questions[#],Questions[Answer]},2,FALSE),1,0)</f>
        <v/>
      </c>
      <c r="AP114" s="41">
        <f t="array" ref="AP114">IF(N114=VLOOKUP(VALUE(N$1),{Questions[#],Questions[Answer]},2,FALSE),1,0)</f>
        <v/>
      </c>
      <c r="AQ114" s="41">
        <f t="array" ref="AQ114">IF(O114=VLOOKUP(VALUE(O$1),{Questions[#],Questions[Answer]},2,FALSE),1,0)</f>
        <v/>
      </c>
      <c r="AR114" s="41">
        <f t="array" ref="AR114">IF(P114=VLOOKUP(VALUE(P$1),{Questions[#],Questions[Answer]},2,FALSE),1,0)</f>
        <v/>
      </c>
      <c r="AS114" s="41">
        <f t="array" ref="AS114">IF(Q114=VLOOKUP(VALUE(Q$1),{Questions[#],Questions[Answer]},2,FALSE),1,0)</f>
        <v/>
      </c>
      <c r="AT114" s="41">
        <f t="array" ref="AT114">IF(R114=VLOOKUP(VALUE(R$1),{Questions[#],Questions[Answer]},2,FALSE),1,0)</f>
        <v/>
      </c>
      <c r="AU114" s="41">
        <f t="array" ref="AU114">IF(S114=VLOOKUP(VALUE(S$1),{Questions[#],Questions[Answer]},2,FALSE),1,0)</f>
        <v/>
      </c>
      <c r="AV114" s="41">
        <f t="array" ref="AV114">IF(T114=VLOOKUP(VALUE(T$1),{Questions[#],Questions[Answer]},2,FALSE),1,0)</f>
        <v/>
      </c>
      <c r="AW114" s="41">
        <f t="array" ref="AW114">IF(U114=VLOOKUP(VALUE(U$1),{Questions[#],Questions[Answer]},2,FALSE),1,0)</f>
        <v/>
      </c>
      <c r="AX114" s="41">
        <f t="array" ref="AX114">IF(V114=VLOOKUP(VALUE(V$1),{Questions[#],Questions[Answer]},2,FALSE),1,0)</f>
        <v/>
      </c>
      <c r="AY114" s="41">
        <f t="array" ref="AY114">IF(W114=VLOOKUP(VALUE(W$1),{Questions[#],Questions[Answer]},2,FALSE),1,0)</f>
        <v/>
      </c>
      <c r="AZ114" s="41">
        <f t="array" ref="AZ114">IF(X114=VLOOKUP(VALUE(X$1),{Questions[#],Questions[Answer]},2,FALSE),1,0)</f>
        <v/>
      </c>
      <c r="BA114" s="41">
        <f t="array" ref="BA114">IF(Y114=VLOOKUP(VALUE(Y$1),{Questions[#],Questions[Answer]},2,FALSE),1,0)</f>
        <v/>
      </c>
      <c r="BB114" s="41">
        <f t="array" ref="BB114">IF(Z114=VLOOKUP(VALUE(Z$1),{Questions[#],Questions[Answer]},2,FALSE),1,0)</f>
        <v/>
      </c>
      <c r="BC114" s="41">
        <f t="array" ref="BC114">IF(AA114=VLOOKUP(VALUE(AA$1),{Questions[#],Questions[Answer]},2,FALSE),1,0)</f>
        <v/>
      </c>
      <c r="BD114" s="41">
        <f t="array" ref="BD114">IF(AB114=VLOOKUP(VALUE(AB$1),{Questions[#],Questions[Answer]},2,FALSE),1,0)</f>
        <v/>
      </c>
      <c r="BE114" s="41">
        <f t="array" ref="BE114">IF(AC114=VLOOKUP(VALUE(AC$1),{Questions[#],Questions[Answer]},2,FALSE),1,0)</f>
        <v/>
      </c>
      <c r="BF114" s="41">
        <f t="array" ref="BF114">IF(AD114=VLOOKUP(VALUE(AD$1),{Questions[#],Questions[Answer]},2,FALSE),1,0)</f>
        <v/>
      </c>
      <c r="BG114" s="41">
        <f t="array" ref="BG114">IF(AE114=VLOOKUP(VALUE(AE$1),{Questions[#],Questions[Answer]},2,FALSE),1,0)</f>
        <v/>
      </c>
      <c r="BH114" s="41">
        <f t="array" ref="BH114">IF(AF114=VLOOKUP(VALUE(AF$1),{Questions[#],Questions[Answer]},2,FALSE),1,0)</f>
        <v/>
      </c>
      <c r="BI114" s="41">
        <f t="array" ref="BI114">IF(AG114=VLOOKUP(VALUE(AG$1),{Questions[#],Questions[Answer]},2,FALSE),1,0)</f>
        <v/>
      </c>
      <c r="BJ114" s="41">
        <f t="array" ref="BJ114">IF(AH114=VLOOKUP(VALUE(AH$1),{Questions[#],Questions[Answer]},2,FALSE),1,0)</f>
        <v/>
      </c>
      <c r="BK114" s="41">
        <f t="array" ref="BK114">IF(AI114=VLOOKUP(VALUE(AI$1),{Questions[#],Questions[Answer]},2,FALSE),1,0)</f>
        <v/>
      </c>
      <c r="BL114" s="41">
        <f t="array" ref="BL114">IF(AJ114=VLOOKUP(VALUE(AJ$1),{Questions[#],Questions[Answer]},2,FALSE),1,0)</f>
        <v/>
      </c>
      <c r="BM114" s="41">
        <f t="array" ref="BM114">IF(AK114=VLOOKUP(VALUE(AK$1),{Questions[#],Questions[Answer]},2,FALSE),1,0)</f>
        <v/>
      </c>
      <c r="BN114" s="41">
        <f t="array" ref="BN114">IF(AL114=VLOOKUP(VALUE(AL$1),{Questions[#],Questions[Answer]},2,FALSE),1,0)</f>
        <v/>
      </c>
    </row>
    <row r="115" ht="22.5" customHeight="1" s="93">
      <c r="A115" s="42" t="n"/>
      <c r="B115" s="41" t="n"/>
      <c r="C115" s="41" t="n"/>
      <c r="D115" s="43" t="n"/>
      <c r="E115" s="41" t="n"/>
      <c r="F115" s="41" t="n"/>
      <c r="G115" s="11">
        <f>SUM(AM115:BN115)</f>
        <v/>
      </c>
      <c r="H115" s="40">
        <f>G115/9</f>
        <v/>
      </c>
      <c r="I115" s="12">
        <f>0.5+(G115/54)</f>
        <v/>
      </c>
      <c r="J115" s="41">
        <f>COUNTIF(K115:AL115,"")</f>
        <v/>
      </c>
      <c r="K115" s="34" t="n"/>
      <c r="L115" s="35" t="n"/>
      <c r="M115" s="35" t="n"/>
      <c r="N115" s="35" t="n"/>
      <c r="O115" s="35" t="n"/>
      <c r="P115" s="35" t="n"/>
      <c r="Q115" s="35" t="n"/>
      <c r="R115" s="35" t="n"/>
      <c r="S115" s="35" t="n"/>
      <c r="T115" s="35" t="n"/>
      <c r="U115" s="35" t="n"/>
      <c r="V115" s="35" t="n"/>
      <c r="W115" s="35" t="n"/>
      <c r="X115" s="41" t="n"/>
      <c r="Y115" s="35" t="n"/>
      <c r="Z115" s="35" t="n"/>
      <c r="AA115" s="35" t="n"/>
      <c r="AB115" s="35" t="n"/>
      <c r="AC115" s="35" t="n"/>
      <c r="AD115" s="35" t="n"/>
      <c r="AE115" s="41" t="n"/>
      <c r="AF115" s="35" t="n"/>
      <c r="AG115" s="35" t="n"/>
      <c r="AH115" s="35" t="n"/>
      <c r="AI115" s="35" t="n"/>
      <c r="AJ115" s="35" t="n"/>
      <c r="AK115" s="35" t="n"/>
      <c r="AL115" s="38" t="n"/>
      <c r="AM115" s="19">
        <f t="array" ref="AM115">IF(K115=VLOOKUP(VALUE(K$1),{Questions[#],Questions[Answer]},2,FALSE),1,0)</f>
        <v/>
      </c>
      <c r="AN115" s="41">
        <f t="array" ref="AN115">IF(L115=VLOOKUP(VALUE(L$1),{Questions[#],Questions[Answer]},2,FALSE),1,0)</f>
        <v/>
      </c>
      <c r="AO115" s="41">
        <f t="array" ref="AO115">IF(M115=VLOOKUP(VALUE(M$1),{Questions[#],Questions[Answer]},2,FALSE),1,0)</f>
        <v/>
      </c>
      <c r="AP115" s="41">
        <f t="array" ref="AP115">IF(N115=VLOOKUP(VALUE(N$1),{Questions[#],Questions[Answer]},2,FALSE),1,0)</f>
        <v/>
      </c>
      <c r="AQ115" s="41">
        <f t="array" ref="AQ115">IF(O115=VLOOKUP(VALUE(O$1),{Questions[#],Questions[Answer]},2,FALSE),1,0)</f>
        <v/>
      </c>
      <c r="AR115" s="41">
        <f t="array" ref="AR115">IF(P115=VLOOKUP(VALUE(P$1),{Questions[#],Questions[Answer]},2,FALSE),1,0)</f>
        <v/>
      </c>
      <c r="AS115" s="41">
        <f t="array" ref="AS115">IF(Q115=VLOOKUP(VALUE(Q$1),{Questions[#],Questions[Answer]},2,FALSE),1,0)</f>
        <v/>
      </c>
      <c r="AT115" s="41">
        <f t="array" ref="AT115">IF(R115=VLOOKUP(VALUE(R$1),{Questions[#],Questions[Answer]},2,FALSE),1,0)</f>
        <v/>
      </c>
      <c r="AU115" s="41">
        <f t="array" ref="AU115">IF(S115=VLOOKUP(VALUE(S$1),{Questions[#],Questions[Answer]},2,FALSE),1,0)</f>
        <v/>
      </c>
      <c r="AV115" s="41">
        <f t="array" ref="AV115">IF(T115=VLOOKUP(VALUE(T$1),{Questions[#],Questions[Answer]},2,FALSE),1,0)</f>
        <v/>
      </c>
      <c r="AW115" s="41">
        <f t="array" ref="AW115">IF(U115=VLOOKUP(VALUE(U$1),{Questions[#],Questions[Answer]},2,FALSE),1,0)</f>
        <v/>
      </c>
      <c r="AX115" s="41">
        <f t="array" ref="AX115">IF(V115=VLOOKUP(VALUE(V$1),{Questions[#],Questions[Answer]},2,FALSE),1,0)</f>
        <v/>
      </c>
      <c r="AY115" s="41">
        <f t="array" ref="AY115">IF(W115=VLOOKUP(VALUE(W$1),{Questions[#],Questions[Answer]},2,FALSE),1,0)</f>
        <v/>
      </c>
      <c r="AZ115" s="41">
        <f t="array" ref="AZ115">IF(X115=VLOOKUP(VALUE(X$1),{Questions[#],Questions[Answer]},2,FALSE),1,0)</f>
        <v/>
      </c>
      <c r="BA115" s="41">
        <f t="array" ref="BA115">IF(Y115=VLOOKUP(VALUE(Y$1),{Questions[#],Questions[Answer]},2,FALSE),1,0)</f>
        <v/>
      </c>
      <c r="BB115" s="41">
        <f t="array" ref="BB115">IF(Z115=VLOOKUP(VALUE(Z$1),{Questions[#],Questions[Answer]},2,FALSE),1,0)</f>
        <v/>
      </c>
      <c r="BC115" s="41">
        <f t="array" ref="BC115">IF(AA115=VLOOKUP(VALUE(AA$1),{Questions[#],Questions[Answer]},2,FALSE),1,0)</f>
        <v/>
      </c>
      <c r="BD115" s="41">
        <f t="array" ref="BD115">IF(AB115=VLOOKUP(VALUE(AB$1),{Questions[#],Questions[Answer]},2,FALSE),1,0)</f>
        <v/>
      </c>
      <c r="BE115" s="41">
        <f t="array" ref="BE115">IF(AC115=VLOOKUP(VALUE(AC$1),{Questions[#],Questions[Answer]},2,FALSE),1,0)</f>
        <v/>
      </c>
      <c r="BF115" s="41">
        <f t="array" ref="BF115">IF(AD115=VLOOKUP(VALUE(AD$1),{Questions[#],Questions[Answer]},2,FALSE),1,0)</f>
        <v/>
      </c>
      <c r="BG115" s="41">
        <f t="array" ref="BG115">IF(AE115=VLOOKUP(VALUE(AE$1),{Questions[#],Questions[Answer]},2,FALSE),1,0)</f>
        <v/>
      </c>
      <c r="BH115" s="41">
        <f t="array" ref="BH115">IF(AF115=VLOOKUP(VALUE(AF$1),{Questions[#],Questions[Answer]},2,FALSE),1,0)</f>
        <v/>
      </c>
      <c r="BI115" s="41">
        <f t="array" ref="BI115">IF(AG115=VLOOKUP(VALUE(AG$1),{Questions[#],Questions[Answer]},2,FALSE),1,0)</f>
        <v/>
      </c>
      <c r="BJ115" s="41">
        <f t="array" ref="BJ115">IF(AH115=VLOOKUP(VALUE(AH$1),{Questions[#],Questions[Answer]},2,FALSE),1,0)</f>
        <v/>
      </c>
      <c r="BK115" s="41">
        <f t="array" ref="BK115">IF(AI115=VLOOKUP(VALUE(AI$1),{Questions[#],Questions[Answer]},2,FALSE),1,0)</f>
        <v/>
      </c>
      <c r="BL115" s="41">
        <f t="array" ref="BL115">IF(AJ115=VLOOKUP(VALUE(AJ$1),{Questions[#],Questions[Answer]},2,FALSE),1,0)</f>
        <v/>
      </c>
      <c r="BM115" s="41">
        <f t="array" ref="BM115">IF(AK115=VLOOKUP(VALUE(AK$1),{Questions[#],Questions[Answer]},2,FALSE),1,0)</f>
        <v/>
      </c>
      <c r="BN115" s="41">
        <f t="array" ref="BN115">IF(AL115=VLOOKUP(VALUE(AL$1),{Questions[#],Questions[Answer]},2,FALSE),1,0)</f>
        <v/>
      </c>
    </row>
    <row r="116" ht="22.5" customHeight="1" s="93">
      <c r="A116" s="42" t="n"/>
      <c r="B116" s="41" t="n"/>
      <c r="C116" s="41" t="n"/>
      <c r="D116" s="43" t="n"/>
      <c r="E116" s="41" t="n"/>
      <c r="F116" s="41" t="n"/>
      <c r="G116" s="11">
        <f>SUM(AM116:BN116)</f>
        <v/>
      </c>
      <c r="H116" s="40">
        <f>G116/9</f>
        <v/>
      </c>
      <c r="I116" s="12">
        <f>0.5+(G116/54)</f>
        <v/>
      </c>
      <c r="J116" s="41">
        <f>COUNTIF(K116:AL116,"")</f>
        <v/>
      </c>
      <c r="K116" s="34" t="n"/>
      <c r="L116" s="35" t="n"/>
      <c r="M116" s="35" t="n"/>
      <c r="N116" s="35" t="n"/>
      <c r="O116" s="35" t="n"/>
      <c r="P116" s="35" t="n"/>
      <c r="Q116" s="35" t="n"/>
      <c r="R116" s="35" t="n"/>
      <c r="S116" s="35" t="n"/>
      <c r="T116" s="35" t="n"/>
      <c r="U116" s="35" t="n"/>
      <c r="V116" s="35" t="n"/>
      <c r="W116" s="35" t="n"/>
      <c r="X116" s="41" t="n"/>
      <c r="Y116" s="35" t="n"/>
      <c r="Z116" s="35" t="n"/>
      <c r="AA116" s="35" t="n"/>
      <c r="AB116" s="35" t="n"/>
      <c r="AC116" s="35" t="n"/>
      <c r="AD116" s="35" t="n"/>
      <c r="AE116" s="41" t="n"/>
      <c r="AF116" s="35" t="n"/>
      <c r="AG116" s="35" t="n"/>
      <c r="AH116" s="35" t="n"/>
      <c r="AI116" s="35" t="n"/>
      <c r="AJ116" s="35" t="n"/>
      <c r="AK116" s="35" t="n"/>
      <c r="AL116" s="38" t="n"/>
      <c r="AM116" s="19">
        <f t="array" ref="AM116">IF(K116=VLOOKUP(VALUE(K$1),{Questions[#],Questions[Answer]},2,FALSE),1,0)</f>
        <v/>
      </c>
      <c r="AN116" s="41">
        <f t="array" ref="AN116">IF(L116=VLOOKUP(VALUE(L$1),{Questions[#],Questions[Answer]},2,FALSE),1,0)</f>
        <v/>
      </c>
      <c r="AO116" s="41">
        <f t="array" ref="AO116">IF(M116=VLOOKUP(VALUE(M$1),{Questions[#],Questions[Answer]},2,FALSE),1,0)</f>
        <v/>
      </c>
      <c r="AP116" s="41">
        <f t="array" ref="AP116">IF(N116=VLOOKUP(VALUE(N$1),{Questions[#],Questions[Answer]},2,FALSE),1,0)</f>
        <v/>
      </c>
      <c r="AQ116" s="41">
        <f t="array" ref="AQ116">IF(O116=VLOOKUP(VALUE(O$1),{Questions[#],Questions[Answer]},2,FALSE),1,0)</f>
        <v/>
      </c>
      <c r="AR116" s="41">
        <f t="array" ref="AR116">IF(P116=VLOOKUP(VALUE(P$1),{Questions[#],Questions[Answer]},2,FALSE),1,0)</f>
        <v/>
      </c>
      <c r="AS116" s="41">
        <f t="array" ref="AS116">IF(Q116=VLOOKUP(VALUE(Q$1),{Questions[#],Questions[Answer]},2,FALSE),1,0)</f>
        <v/>
      </c>
      <c r="AT116" s="41">
        <f t="array" ref="AT116">IF(R116=VLOOKUP(VALUE(R$1),{Questions[#],Questions[Answer]},2,FALSE),1,0)</f>
        <v/>
      </c>
      <c r="AU116" s="41">
        <f t="array" ref="AU116">IF(S116=VLOOKUP(VALUE(S$1),{Questions[#],Questions[Answer]},2,FALSE),1,0)</f>
        <v/>
      </c>
      <c r="AV116" s="41">
        <f t="array" ref="AV116">IF(T116=VLOOKUP(VALUE(T$1),{Questions[#],Questions[Answer]},2,FALSE),1,0)</f>
        <v/>
      </c>
      <c r="AW116" s="41">
        <f t="array" ref="AW116">IF(U116=VLOOKUP(VALUE(U$1),{Questions[#],Questions[Answer]},2,FALSE),1,0)</f>
        <v/>
      </c>
      <c r="AX116" s="41">
        <f t="array" ref="AX116">IF(V116=VLOOKUP(VALUE(V$1),{Questions[#],Questions[Answer]},2,FALSE),1,0)</f>
        <v/>
      </c>
      <c r="AY116" s="41">
        <f t="array" ref="AY116">IF(W116=VLOOKUP(VALUE(W$1),{Questions[#],Questions[Answer]},2,FALSE),1,0)</f>
        <v/>
      </c>
      <c r="AZ116" s="41">
        <f t="array" ref="AZ116">IF(X116=VLOOKUP(VALUE(X$1),{Questions[#],Questions[Answer]},2,FALSE),1,0)</f>
        <v/>
      </c>
      <c r="BA116" s="41">
        <f t="array" ref="BA116">IF(Y116=VLOOKUP(VALUE(Y$1),{Questions[#],Questions[Answer]},2,FALSE),1,0)</f>
        <v/>
      </c>
      <c r="BB116" s="41">
        <f t="array" ref="BB116">IF(Z116=VLOOKUP(VALUE(Z$1),{Questions[#],Questions[Answer]},2,FALSE),1,0)</f>
        <v/>
      </c>
      <c r="BC116" s="41">
        <f t="array" ref="BC116">IF(AA116=VLOOKUP(VALUE(AA$1),{Questions[#],Questions[Answer]},2,FALSE),1,0)</f>
        <v/>
      </c>
      <c r="BD116" s="41">
        <f t="array" ref="BD116">IF(AB116=VLOOKUP(VALUE(AB$1),{Questions[#],Questions[Answer]},2,FALSE),1,0)</f>
        <v/>
      </c>
      <c r="BE116" s="41">
        <f t="array" ref="BE116">IF(AC116=VLOOKUP(VALUE(AC$1),{Questions[#],Questions[Answer]},2,FALSE),1,0)</f>
        <v/>
      </c>
      <c r="BF116" s="41">
        <f t="array" ref="BF116">IF(AD116=VLOOKUP(VALUE(AD$1),{Questions[#],Questions[Answer]},2,FALSE),1,0)</f>
        <v/>
      </c>
      <c r="BG116" s="41">
        <f t="array" ref="BG116">IF(AE116=VLOOKUP(VALUE(AE$1),{Questions[#],Questions[Answer]},2,FALSE),1,0)</f>
        <v/>
      </c>
      <c r="BH116" s="41">
        <f t="array" ref="BH116">IF(AF116=VLOOKUP(VALUE(AF$1),{Questions[#],Questions[Answer]},2,FALSE),1,0)</f>
        <v/>
      </c>
      <c r="BI116" s="41">
        <f t="array" ref="BI116">IF(AG116=VLOOKUP(VALUE(AG$1),{Questions[#],Questions[Answer]},2,FALSE),1,0)</f>
        <v/>
      </c>
      <c r="BJ116" s="41">
        <f t="array" ref="BJ116">IF(AH116=VLOOKUP(VALUE(AH$1),{Questions[#],Questions[Answer]},2,FALSE),1,0)</f>
        <v/>
      </c>
      <c r="BK116" s="41">
        <f t="array" ref="BK116">IF(AI116=VLOOKUP(VALUE(AI$1),{Questions[#],Questions[Answer]},2,FALSE),1,0)</f>
        <v/>
      </c>
      <c r="BL116" s="41">
        <f t="array" ref="BL116">IF(AJ116=VLOOKUP(VALUE(AJ$1),{Questions[#],Questions[Answer]},2,FALSE),1,0)</f>
        <v/>
      </c>
      <c r="BM116" s="41">
        <f t="array" ref="BM116">IF(AK116=VLOOKUP(VALUE(AK$1),{Questions[#],Questions[Answer]},2,FALSE),1,0)</f>
        <v/>
      </c>
      <c r="BN116" s="41">
        <f t="array" ref="BN116">IF(AL116=VLOOKUP(VALUE(AL$1),{Questions[#],Questions[Answer]},2,FALSE),1,0)</f>
        <v/>
      </c>
    </row>
    <row r="117" ht="22.5" customHeight="1" s="93">
      <c r="A117" s="42" t="n"/>
      <c r="B117" s="41" t="n"/>
      <c r="C117" s="41" t="n"/>
      <c r="D117" s="43" t="n"/>
      <c r="E117" s="41" t="n"/>
      <c r="F117" s="41" t="n"/>
      <c r="G117" s="11">
        <f>SUM(AM117:BN117)</f>
        <v/>
      </c>
      <c r="H117" s="40">
        <f>G117/9</f>
        <v/>
      </c>
      <c r="I117" s="12">
        <f>0.5+(G117/54)</f>
        <v/>
      </c>
      <c r="J117" s="41">
        <f>COUNTIF(K117:AL117,"")</f>
        <v/>
      </c>
      <c r="K117" s="34" t="n"/>
      <c r="L117" s="35" t="n"/>
      <c r="M117" s="35" t="n"/>
      <c r="N117" s="35" t="n"/>
      <c r="O117" s="35" t="n"/>
      <c r="P117" s="35" t="n"/>
      <c r="Q117" s="35" t="n"/>
      <c r="R117" s="35" t="n"/>
      <c r="S117" s="35" t="n"/>
      <c r="T117" s="35" t="n"/>
      <c r="U117" s="35" t="n"/>
      <c r="V117" s="35" t="n"/>
      <c r="W117" s="35" t="n"/>
      <c r="X117" s="41" t="n"/>
      <c r="Y117" s="35" t="n"/>
      <c r="Z117" s="35" t="n"/>
      <c r="AA117" s="35" t="n"/>
      <c r="AB117" s="35" t="n"/>
      <c r="AC117" s="35" t="n"/>
      <c r="AD117" s="35" t="n"/>
      <c r="AE117" s="41" t="n"/>
      <c r="AF117" s="35" t="n"/>
      <c r="AG117" s="35" t="n"/>
      <c r="AH117" s="35" t="n"/>
      <c r="AI117" s="35" t="n"/>
      <c r="AJ117" s="35" t="n"/>
      <c r="AK117" s="35" t="n"/>
      <c r="AL117" s="38" t="n"/>
      <c r="AM117" s="19">
        <f t="array" ref="AM117">IF(K117=VLOOKUP(VALUE(K$1),{Questions[#],Questions[Answer]},2,FALSE),1,0)</f>
        <v/>
      </c>
      <c r="AN117" s="41">
        <f t="array" ref="AN117">IF(L117=VLOOKUP(VALUE(L$1),{Questions[#],Questions[Answer]},2,FALSE),1,0)</f>
        <v/>
      </c>
      <c r="AO117" s="41">
        <f t="array" ref="AO117">IF(M117=VLOOKUP(VALUE(M$1),{Questions[#],Questions[Answer]},2,FALSE),1,0)</f>
        <v/>
      </c>
      <c r="AP117" s="41">
        <f t="array" ref="AP117">IF(N117=VLOOKUP(VALUE(N$1),{Questions[#],Questions[Answer]},2,FALSE),1,0)</f>
        <v/>
      </c>
      <c r="AQ117" s="41">
        <f t="array" ref="AQ117">IF(O117=VLOOKUP(VALUE(O$1),{Questions[#],Questions[Answer]},2,FALSE),1,0)</f>
        <v/>
      </c>
      <c r="AR117" s="41">
        <f t="array" ref="AR117">IF(P117=VLOOKUP(VALUE(P$1),{Questions[#],Questions[Answer]},2,FALSE),1,0)</f>
        <v/>
      </c>
      <c r="AS117" s="41">
        <f t="array" ref="AS117">IF(Q117=VLOOKUP(VALUE(Q$1),{Questions[#],Questions[Answer]},2,FALSE),1,0)</f>
        <v/>
      </c>
      <c r="AT117" s="41">
        <f t="array" ref="AT117">IF(R117=VLOOKUP(VALUE(R$1),{Questions[#],Questions[Answer]},2,FALSE),1,0)</f>
        <v/>
      </c>
      <c r="AU117" s="41">
        <f t="array" ref="AU117">IF(S117=VLOOKUP(VALUE(S$1),{Questions[#],Questions[Answer]},2,FALSE),1,0)</f>
        <v/>
      </c>
      <c r="AV117" s="41">
        <f t="array" ref="AV117">IF(T117=VLOOKUP(VALUE(T$1),{Questions[#],Questions[Answer]},2,FALSE),1,0)</f>
        <v/>
      </c>
      <c r="AW117" s="41">
        <f t="array" ref="AW117">IF(U117=VLOOKUP(VALUE(U$1),{Questions[#],Questions[Answer]},2,FALSE),1,0)</f>
        <v/>
      </c>
      <c r="AX117" s="41">
        <f t="array" ref="AX117">IF(V117=VLOOKUP(VALUE(V$1),{Questions[#],Questions[Answer]},2,FALSE),1,0)</f>
        <v/>
      </c>
      <c r="AY117" s="41">
        <f t="array" ref="AY117">IF(W117=VLOOKUP(VALUE(W$1),{Questions[#],Questions[Answer]},2,FALSE),1,0)</f>
        <v/>
      </c>
      <c r="AZ117" s="41">
        <f t="array" ref="AZ117">IF(X117=VLOOKUP(VALUE(X$1),{Questions[#],Questions[Answer]},2,FALSE),1,0)</f>
        <v/>
      </c>
      <c r="BA117" s="41">
        <f t="array" ref="BA117">IF(Y117=VLOOKUP(VALUE(Y$1),{Questions[#],Questions[Answer]},2,FALSE),1,0)</f>
        <v/>
      </c>
      <c r="BB117" s="41">
        <f t="array" ref="BB117">IF(Z117=VLOOKUP(VALUE(Z$1),{Questions[#],Questions[Answer]},2,FALSE),1,0)</f>
        <v/>
      </c>
      <c r="BC117" s="41">
        <f t="array" ref="BC117">IF(AA117=VLOOKUP(VALUE(AA$1),{Questions[#],Questions[Answer]},2,FALSE),1,0)</f>
        <v/>
      </c>
      <c r="BD117" s="41">
        <f t="array" ref="BD117">IF(AB117=VLOOKUP(VALUE(AB$1),{Questions[#],Questions[Answer]},2,FALSE),1,0)</f>
        <v/>
      </c>
      <c r="BE117" s="41">
        <f t="array" ref="BE117">IF(AC117=VLOOKUP(VALUE(AC$1),{Questions[#],Questions[Answer]},2,FALSE),1,0)</f>
        <v/>
      </c>
      <c r="BF117" s="41">
        <f t="array" ref="BF117">IF(AD117=VLOOKUP(VALUE(AD$1),{Questions[#],Questions[Answer]},2,FALSE),1,0)</f>
        <v/>
      </c>
      <c r="BG117" s="41">
        <f t="array" ref="BG117">IF(AE117=VLOOKUP(VALUE(AE$1),{Questions[#],Questions[Answer]},2,FALSE),1,0)</f>
        <v/>
      </c>
      <c r="BH117" s="41">
        <f t="array" ref="BH117">IF(AF117=VLOOKUP(VALUE(AF$1),{Questions[#],Questions[Answer]},2,FALSE),1,0)</f>
        <v/>
      </c>
      <c r="BI117" s="41">
        <f t="array" ref="BI117">IF(AG117=VLOOKUP(VALUE(AG$1),{Questions[#],Questions[Answer]},2,FALSE),1,0)</f>
        <v/>
      </c>
      <c r="BJ117" s="41">
        <f t="array" ref="BJ117">IF(AH117=VLOOKUP(VALUE(AH$1),{Questions[#],Questions[Answer]},2,FALSE),1,0)</f>
        <v/>
      </c>
      <c r="BK117" s="41">
        <f t="array" ref="BK117">IF(AI117=VLOOKUP(VALUE(AI$1),{Questions[#],Questions[Answer]},2,FALSE),1,0)</f>
        <v/>
      </c>
      <c r="BL117" s="41">
        <f t="array" ref="BL117">IF(AJ117=VLOOKUP(VALUE(AJ$1),{Questions[#],Questions[Answer]},2,FALSE),1,0)</f>
        <v/>
      </c>
      <c r="BM117" s="41">
        <f t="array" ref="BM117">IF(AK117=VLOOKUP(VALUE(AK$1),{Questions[#],Questions[Answer]},2,FALSE),1,0)</f>
        <v/>
      </c>
      <c r="BN117" s="41">
        <f t="array" ref="BN117">IF(AL117=VLOOKUP(VALUE(AL$1),{Questions[#],Questions[Answer]},2,FALSE),1,0)</f>
        <v/>
      </c>
    </row>
    <row r="118" ht="22.5" customHeight="1" s="93">
      <c r="A118" s="42" t="n"/>
      <c r="B118" s="41" t="n"/>
      <c r="C118" s="41" t="n"/>
      <c r="D118" s="43" t="n"/>
      <c r="E118" s="41" t="n"/>
      <c r="F118" s="41" t="n"/>
      <c r="G118" s="11">
        <f>SUM(AM118:BN118)</f>
        <v/>
      </c>
      <c r="H118" s="40">
        <f>G118/9</f>
        <v/>
      </c>
      <c r="I118" s="12">
        <f>0.5+(G118/54)</f>
        <v/>
      </c>
      <c r="J118" s="41">
        <f>COUNTIF(K118:AL118,"")</f>
        <v/>
      </c>
      <c r="K118" s="34" t="n"/>
      <c r="L118" s="35" t="n"/>
      <c r="M118" s="35" t="n"/>
      <c r="N118" s="35" t="n"/>
      <c r="O118" s="35" t="n"/>
      <c r="P118" s="35" t="n"/>
      <c r="Q118" s="35" t="n"/>
      <c r="R118" s="35" t="n"/>
      <c r="S118" s="35" t="n"/>
      <c r="T118" s="35" t="n"/>
      <c r="U118" s="35" t="n"/>
      <c r="V118" s="35" t="n"/>
      <c r="W118" s="35" t="n"/>
      <c r="X118" s="41" t="n"/>
      <c r="Y118" s="35" t="n"/>
      <c r="Z118" s="35" t="n"/>
      <c r="AA118" s="35" t="n"/>
      <c r="AB118" s="35" t="n"/>
      <c r="AC118" s="35" t="n"/>
      <c r="AD118" s="35" t="n"/>
      <c r="AE118" s="41" t="n"/>
      <c r="AF118" s="35" t="n"/>
      <c r="AG118" s="35" t="n"/>
      <c r="AH118" s="35" t="n"/>
      <c r="AI118" s="35" t="n"/>
      <c r="AJ118" s="35" t="n"/>
      <c r="AK118" s="35" t="n"/>
      <c r="AL118" s="38" t="n"/>
      <c r="AM118" s="19">
        <f t="array" ref="AM118">IF(K118=VLOOKUP(VALUE(K$1),{Questions[#],Questions[Answer]},2,FALSE),1,0)</f>
        <v/>
      </c>
      <c r="AN118" s="41">
        <f t="array" ref="AN118">IF(L118=VLOOKUP(VALUE(L$1),{Questions[#],Questions[Answer]},2,FALSE),1,0)</f>
        <v/>
      </c>
      <c r="AO118" s="41">
        <f t="array" ref="AO118">IF(M118=VLOOKUP(VALUE(M$1),{Questions[#],Questions[Answer]},2,FALSE),1,0)</f>
        <v/>
      </c>
      <c r="AP118" s="41">
        <f t="array" ref="AP118">IF(N118=VLOOKUP(VALUE(N$1),{Questions[#],Questions[Answer]},2,FALSE),1,0)</f>
        <v/>
      </c>
      <c r="AQ118" s="41">
        <f t="array" ref="AQ118">IF(O118=VLOOKUP(VALUE(O$1),{Questions[#],Questions[Answer]},2,FALSE),1,0)</f>
        <v/>
      </c>
      <c r="AR118" s="41">
        <f t="array" ref="AR118">IF(P118=VLOOKUP(VALUE(P$1),{Questions[#],Questions[Answer]},2,FALSE),1,0)</f>
        <v/>
      </c>
      <c r="AS118" s="41">
        <f t="array" ref="AS118">IF(Q118=VLOOKUP(VALUE(Q$1),{Questions[#],Questions[Answer]},2,FALSE),1,0)</f>
        <v/>
      </c>
      <c r="AT118" s="41">
        <f t="array" ref="AT118">IF(R118=VLOOKUP(VALUE(R$1),{Questions[#],Questions[Answer]},2,FALSE),1,0)</f>
        <v/>
      </c>
      <c r="AU118" s="41">
        <f t="array" ref="AU118">IF(S118=VLOOKUP(VALUE(S$1),{Questions[#],Questions[Answer]},2,FALSE),1,0)</f>
        <v/>
      </c>
      <c r="AV118" s="41">
        <f t="array" ref="AV118">IF(T118=VLOOKUP(VALUE(T$1),{Questions[#],Questions[Answer]},2,FALSE),1,0)</f>
        <v/>
      </c>
      <c r="AW118" s="41">
        <f t="array" ref="AW118">IF(U118=VLOOKUP(VALUE(U$1),{Questions[#],Questions[Answer]},2,FALSE),1,0)</f>
        <v/>
      </c>
      <c r="AX118" s="41">
        <f t="array" ref="AX118">IF(V118=VLOOKUP(VALUE(V$1),{Questions[#],Questions[Answer]},2,FALSE),1,0)</f>
        <v/>
      </c>
      <c r="AY118" s="41">
        <f t="array" ref="AY118">IF(W118=VLOOKUP(VALUE(W$1),{Questions[#],Questions[Answer]},2,FALSE),1,0)</f>
        <v/>
      </c>
      <c r="AZ118" s="41">
        <f t="array" ref="AZ118">IF(X118=VLOOKUP(VALUE(X$1),{Questions[#],Questions[Answer]},2,FALSE),1,0)</f>
        <v/>
      </c>
      <c r="BA118" s="41">
        <f t="array" ref="BA118">IF(Y118=VLOOKUP(VALUE(Y$1),{Questions[#],Questions[Answer]},2,FALSE),1,0)</f>
        <v/>
      </c>
      <c r="BB118" s="41">
        <f t="array" ref="BB118">IF(Z118=VLOOKUP(VALUE(Z$1),{Questions[#],Questions[Answer]},2,FALSE),1,0)</f>
        <v/>
      </c>
      <c r="BC118" s="41">
        <f t="array" ref="BC118">IF(AA118=VLOOKUP(VALUE(AA$1),{Questions[#],Questions[Answer]},2,FALSE),1,0)</f>
        <v/>
      </c>
      <c r="BD118" s="41">
        <f t="array" ref="BD118">IF(AB118=VLOOKUP(VALUE(AB$1),{Questions[#],Questions[Answer]},2,FALSE),1,0)</f>
        <v/>
      </c>
      <c r="BE118" s="41">
        <f t="array" ref="BE118">IF(AC118=VLOOKUP(VALUE(AC$1),{Questions[#],Questions[Answer]},2,FALSE),1,0)</f>
        <v/>
      </c>
      <c r="BF118" s="41">
        <f t="array" ref="BF118">IF(AD118=VLOOKUP(VALUE(AD$1),{Questions[#],Questions[Answer]},2,FALSE),1,0)</f>
        <v/>
      </c>
      <c r="BG118" s="41">
        <f t="array" ref="BG118">IF(AE118=VLOOKUP(VALUE(AE$1),{Questions[#],Questions[Answer]},2,FALSE),1,0)</f>
        <v/>
      </c>
      <c r="BH118" s="41">
        <f t="array" ref="BH118">IF(AF118=VLOOKUP(VALUE(AF$1),{Questions[#],Questions[Answer]},2,FALSE),1,0)</f>
        <v/>
      </c>
      <c r="BI118" s="41">
        <f t="array" ref="BI118">IF(AG118=VLOOKUP(VALUE(AG$1),{Questions[#],Questions[Answer]},2,FALSE),1,0)</f>
        <v/>
      </c>
      <c r="BJ118" s="41">
        <f t="array" ref="BJ118">IF(AH118=VLOOKUP(VALUE(AH$1),{Questions[#],Questions[Answer]},2,FALSE),1,0)</f>
        <v/>
      </c>
      <c r="BK118" s="41">
        <f t="array" ref="BK118">IF(AI118=VLOOKUP(VALUE(AI$1),{Questions[#],Questions[Answer]},2,FALSE),1,0)</f>
        <v/>
      </c>
      <c r="BL118" s="41">
        <f t="array" ref="BL118">IF(AJ118=VLOOKUP(VALUE(AJ$1),{Questions[#],Questions[Answer]},2,FALSE),1,0)</f>
        <v/>
      </c>
      <c r="BM118" s="41">
        <f t="array" ref="BM118">IF(AK118=VLOOKUP(VALUE(AK$1),{Questions[#],Questions[Answer]},2,FALSE),1,0)</f>
        <v/>
      </c>
      <c r="BN118" s="41">
        <f t="array" ref="BN118">IF(AL118=VLOOKUP(VALUE(AL$1),{Questions[#],Questions[Answer]},2,FALSE),1,0)</f>
        <v/>
      </c>
    </row>
    <row r="119" ht="22.5" customHeight="1" s="93">
      <c r="A119" s="42" t="n"/>
      <c r="B119" s="41" t="n"/>
      <c r="C119" s="41" t="n"/>
      <c r="D119" s="43" t="n"/>
      <c r="E119" s="41" t="n"/>
      <c r="F119" s="41" t="n"/>
      <c r="G119" s="11">
        <f>SUM(AM119:BN119)</f>
        <v/>
      </c>
      <c r="H119" s="40">
        <f>G119/9</f>
        <v/>
      </c>
      <c r="I119" s="12">
        <f>0.5+(G119/54)</f>
        <v/>
      </c>
      <c r="J119" s="41">
        <f>COUNTIF(K119:AL119,"")</f>
        <v/>
      </c>
      <c r="K119" s="34" t="n"/>
      <c r="L119" s="35" t="n"/>
      <c r="M119" s="35" t="n"/>
      <c r="N119" s="35" t="n"/>
      <c r="O119" s="35" t="n"/>
      <c r="P119" s="35" t="n"/>
      <c r="Q119" s="35" t="n"/>
      <c r="R119" s="35" t="n"/>
      <c r="S119" s="35" t="n"/>
      <c r="T119" s="35" t="n"/>
      <c r="U119" s="35" t="n"/>
      <c r="V119" s="35" t="n"/>
      <c r="W119" s="35" t="n"/>
      <c r="X119" s="41" t="n"/>
      <c r="Y119" s="35" t="n"/>
      <c r="Z119" s="35" t="n"/>
      <c r="AA119" s="35" t="n"/>
      <c r="AB119" s="35" t="n"/>
      <c r="AC119" s="35" t="n"/>
      <c r="AD119" s="35" t="n"/>
      <c r="AE119" s="41" t="n"/>
      <c r="AF119" s="35" t="n"/>
      <c r="AG119" s="35" t="n"/>
      <c r="AH119" s="35" t="n"/>
      <c r="AI119" s="35" t="n"/>
      <c r="AJ119" s="35" t="n"/>
      <c r="AK119" s="35" t="n"/>
      <c r="AL119" s="38" t="n"/>
      <c r="AM119" s="19">
        <f t="array" ref="AM119">IF(K119=VLOOKUP(VALUE(K$1),{Questions[#],Questions[Answer]},2,FALSE),1,0)</f>
        <v/>
      </c>
      <c r="AN119" s="41">
        <f t="array" ref="AN119">IF(L119=VLOOKUP(VALUE(L$1),{Questions[#],Questions[Answer]},2,FALSE),1,0)</f>
        <v/>
      </c>
      <c r="AO119" s="41">
        <f t="array" ref="AO119">IF(M119=VLOOKUP(VALUE(M$1),{Questions[#],Questions[Answer]},2,FALSE),1,0)</f>
        <v/>
      </c>
      <c r="AP119" s="41">
        <f t="array" ref="AP119">IF(N119=VLOOKUP(VALUE(N$1),{Questions[#],Questions[Answer]},2,FALSE),1,0)</f>
        <v/>
      </c>
      <c r="AQ119" s="41">
        <f t="array" ref="AQ119">IF(O119=VLOOKUP(VALUE(O$1),{Questions[#],Questions[Answer]},2,FALSE),1,0)</f>
        <v/>
      </c>
      <c r="AR119" s="41">
        <f t="array" ref="AR119">IF(P119=VLOOKUP(VALUE(P$1),{Questions[#],Questions[Answer]},2,FALSE),1,0)</f>
        <v/>
      </c>
      <c r="AS119" s="41">
        <f t="array" ref="AS119">IF(Q119=VLOOKUP(VALUE(Q$1),{Questions[#],Questions[Answer]},2,FALSE),1,0)</f>
        <v/>
      </c>
      <c r="AT119" s="41">
        <f t="array" ref="AT119">IF(R119=VLOOKUP(VALUE(R$1),{Questions[#],Questions[Answer]},2,FALSE),1,0)</f>
        <v/>
      </c>
      <c r="AU119" s="41">
        <f t="array" ref="AU119">IF(S119=VLOOKUP(VALUE(S$1),{Questions[#],Questions[Answer]},2,FALSE),1,0)</f>
        <v/>
      </c>
      <c r="AV119" s="41">
        <f t="array" ref="AV119">IF(T119=VLOOKUP(VALUE(T$1),{Questions[#],Questions[Answer]},2,FALSE),1,0)</f>
        <v/>
      </c>
      <c r="AW119" s="41">
        <f t="array" ref="AW119">IF(U119=VLOOKUP(VALUE(U$1),{Questions[#],Questions[Answer]},2,FALSE),1,0)</f>
        <v/>
      </c>
      <c r="AX119" s="41">
        <f t="array" ref="AX119">IF(V119=VLOOKUP(VALUE(V$1),{Questions[#],Questions[Answer]},2,FALSE),1,0)</f>
        <v/>
      </c>
      <c r="AY119" s="41">
        <f t="array" ref="AY119">IF(W119=VLOOKUP(VALUE(W$1),{Questions[#],Questions[Answer]},2,FALSE),1,0)</f>
        <v/>
      </c>
      <c r="AZ119" s="41">
        <f t="array" ref="AZ119">IF(X119=VLOOKUP(VALUE(X$1),{Questions[#],Questions[Answer]},2,FALSE),1,0)</f>
        <v/>
      </c>
      <c r="BA119" s="41">
        <f t="array" ref="BA119">IF(Y119=VLOOKUP(VALUE(Y$1),{Questions[#],Questions[Answer]},2,FALSE),1,0)</f>
        <v/>
      </c>
      <c r="BB119" s="41">
        <f t="array" ref="BB119">IF(Z119=VLOOKUP(VALUE(Z$1),{Questions[#],Questions[Answer]},2,FALSE),1,0)</f>
        <v/>
      </c>
      <c r="BC119" s="41">
        <f t="array" ref="BC119">IF(AA119=VLOOKUP(VALUE(AA$1),{Questions[#],Questions[Answer]},2,FALSE),1,0)</f>
        <v/>
      </c>
      <c r="BD119" s="41">
        <f t="array" ref="BD119">IF(AB119=VLOOKUP(VALUE(AB$1),{Questions[#],Questions[Answer]},2,FALSE),1,0)</f>
        <v/>
      </c>
      <c r="BE119" s="41">
        <f t="array" ref="BE119">IF(AC119=VLOOKUP(VALUE(AC$1),{Questions[#],Questions[Answer]},2,FALSE),1,0)</f>
        <v/>
      </c>
      <c r="BF119" s="41">
        <f t="array" ref="BF119">IF(AD119=VLOOKUP(VALUE(AD$1),{Questions[#],Questions[Answer]},2,FALSE),1,0)</f>
        <v/>
      </c>
      <c r="BG119" s="41">
        <f t="array" ref="BG119">IF(AE119=VLOOKUP(VALUE(AE$1),{Questions[#],Questions[Answer]},2,FALSE),1,0)</f>
        <v/>
      </c>
      <c r="BH119" s="41">
        <f t="array" ref="BH119">IF(AF119=VLOOKUP(VALUE(AF$1),{Questions[#],Questions[Answer]},2,FALSE),1,0)</f>
        <v/>
      </c>
      <c r="BI119" s="41">
        <f t="array" ref="BI119">IF(AG119=VLOOKUP(VALUE(AG$1),{Questions[#],Questions[Answer]},2,FALSE),1,0)</f>
        <v/>
      </c>
      <c r="BJ119" s="41">
        <f t="array" ref="BJ119">IF(AH119=VLOOKUP(VALUE(AH$1),{Questions[#],Questions[Answer]},2,FALSE),1,0)</f>
        <v/>
      </c>
      <c r="BK119" s="41">
        <f t="array" ref="BK119">IF(AI119=VLOOKUP(VALUE(AI$1),{Questions[#],Questions[Answer]},2,FALSE),1,0)</f>
        <v/>
      </c>
      <c r="BL119" s="41">
        <f t="array" ref="BL119">IF(AJ119=VLOOKUP(VALUE(AJ$1),{Questions[#],Questions[Answer]},2,FALSE),1,0)</f>
        <v/>
      </c>
      <c r="BM119" s="41">
        <f t="array" ref="BM119">IF(AK119=VLOOKUP(VALUE(AK$1),{Questions[#],Questions[Answer]},2,FALSE),1,0)</f>
        <v/>
      </c>
      <c r="BN119" s="41">
        <f t="array" ref="BN119">IF(AL119=VLOOKUP(VALUE(AL$1),{Questions[#],Questions[Answer]},2,FALSE),1,0)</f>
        <v/>
      </c>
    </row>
    <row r="120" ht="22.5" customHeight="1" s="93">
      <c r="A120" s="42" t="n"/>
      <c r="B120" s="41" t="n"/>
      <c r="C120" s="41" t="n"/>
      <c r="D120" s="43" t="n"/>
      <c r="E120" s="41" t="n"/>
      <c r="F120" s="41" t="n"/>
      <c r="G120" s="11">
        <f>SUM(AM120:BN120)</f>
        <v/>
      </c>
      <c r="H120" s="40">
        <f>G120/9</f>
        <v/>
      </c>
      <c r="I120" s="12">
        <f>0.5+(G120/54)</f>
        <v/>
      </c>
      <c r="J120" s="41">
        <f>COUNTIF(K120:AL120,"")</f>
        <v/>
      </c>
      <c r="K120" s="34" t="n"/>
      <c r="L120" s="35" t="n"/>
      <c r="M120" s="35" t="n"/>
      <c r="N120" s="35" t="n"/>
      <c r="O120" s="35" t="n"/>
      <c r="P120" s="35" t="n"/>
      <c r="Q120" s="35" t="n"/>
      <c r="R120" s="35" t="n"/>
      <c r="S120" s="35" t="n"/>
      <c r="T120" s="35" t="n"/>
      <c r="U120" s="35" t="n"/>
      <c r="V120" s="35" t="n"/>
      <c r="W120" s="35" t="n"/>
      <c r="X120" s="41" t="n"/>
      <c r="Y120" s="35" t="n"/>
      <c r="Z120" s="35" t="n"/>
      <c r="AA120" s="35" t="n"/>
      <c r="AB120" s="35" t="n"/>
      <c r="AC120" s="35" t="n"/>
      <c r="AD120" s="35" t="n"/>
      <c r="AE120" s="41" t="n"/>
      <c r="AF120" s="35" t="n"/>
      <c r="AG120" s="35" t="n"/>
      <c r="AH120" s="35" t="n"/>
      <c r="AI120" s="35" t="n"/>
      <c r="AJ120" s="35" t="n"/>
      <c r="AK120" s="35" t="n"/>
      <c r="AL120" s="38" t="n"/>
      <c r="AM120" s="19">
        <f t="array" ref="AM120">IF(K120=VLOOKUP(VALUE(K$1),{Questions[#],Questions[Answer]},2,FALSE),1,0)</f>
        <v/>
      </c>
      <c r="AN120" s="41">
        <f t="array" ref="AN120">IF(L120=VLOOKUP(VALUE(L$1),{Questions[#],Questions[Answer]},2,FALSE),1,0)</f>
        <v/>
      </c>
      <c r="AO120" s="41">
        <f t="array" ref="AO120">IF(M120=VLOOKUP(VALUE(M$1),{Questions[#],Questions[Answer]},2,FALSE),1,0)</f>
        <v/>
      </c>
      <c r="AP120" s="41">
        <f t="array" ref="AP120">IF(N120=VLOOKUP(VALUE(N$1),{Questions[#],Questions[Answer]},2,FALSE),1,0)</f>
        <v/>
      </c>
      <c r="AQ120" s="41">
        <f t="array" ref="AQ120">IF(O120=VLOOKUP(VALUE(O$1),{Questions[#],Questions[Answer]},2,FALSE),1,0)</f>
        <v/>
      </c>
      <c r="AR120" s="41">
        <f t="array" ref="AR120">IF(P120=VLOOKUP(VALUE(P$1),{Questions[#],Questions[Answer]},2,FALSE),1,0)</f>
        <v/>
      </c>
      <c r="AS120" s="41">
        <f t="array" ref="AS120">IF(Q120=VLOOKUP(VALUE(Q$1),{Questions[#],Questions[Answer]},2,FALSE),1,0)</f>
        <v/>
      </c>
      <c r="AT120" s="41">
        <f t="array" ref="AT120">IF(R120=VLOOKUP(VALUE(R$1),{Questions[#],Questions[Answer]},2,FALSE),1,0)</f>
        <v/>
      </c>
      <c r="AU120" s="41">
        <f t="array" ref="AU120">IF(S120=VLOOKUP(VALUE(S$1),{Questions[#],Questions[Answer]},2,FALSE),1,0)</f>
        <v/>
      </c>
      <c r="AV120" s="41">
        <f t="array" ref="AV120">IF(T120=VLOOKUP(VALUE(T$1),{Questions[#],Questions[Answer]},2,FALSE),1,0)</f>
        <v/>
      </c>
      <c r="AW120" s="41">
        <f t="array" ref="AW120">IF(U120=VLOOKUP(VALUE(U$1),{Questions[#],Questions[Answer]},2,FALSE),1,0)</f>
        <v/>
      </c>
      <c r="AX120" s="41">
        <f t="array" ref="AX120">IF(V120=VLOOKUP(VALUE(V$1),{Questions[#],Questions[Answer]},2,FALSE),1,0)</f>
        <v/>
      </c>
      <c r="AY120" s="41">
        <f t="array" ref="AY120">IF(W120=VLOOKUP(VALUE(W$1),{Questions[#],Questions[Answer]},2,FALSE),1,0)</f>
        <v/>
      </c>
      <c r="AZ120" s="41">
        <f t="array" ref="AZ120">IF(X120=VLOOKUP(VALUE(X$1),{Questions[#],Questions[Answer]},2,FALSE),1,0)</f>
        <v/>
      </c>
      <c r="BA120" s="41">
        <f t="array" ref="BA120">IF(Y120=VLOOKUP(VALUE(Y$1),{Questions[#],Questions[Answer]},2,FALSE),1,0)</f>
        <v/>
      </c>
      <c r="BB120" s="41">
        <f t="array" ref="BB120">IF(Z120=VLOOKUP(VALUE(Z$1),{Questions[#],Questions[Answer]},2,FALSE),1,0)</f>
        <v/>
      </c>
      <c r="BC120" s="41">
        <f t="array" ref="BC120">IF(AA120=VLOOKUP(VALUE(AA$1),{Questions[#],Questions[Answer]},2,FALSE),1,0)</f>
        <v/>
      </c>
      <c r="BD120" s="41">
        <f t="array" ref="BD120">IF(AB120=VLOOKUP(VALUE(AB$1),{Questions[#],Questions[Answer]},2,FALSE),1,0)</f>
        <v/>
      </c>
      <c r="BE120" s="41">
        <f t="array" ref="BE120">IF(AC120=VLOOKUP(VALUE(AC$1),{Questions[#],Questions[Answer]},2,FALSE),1,0)</f>
        <v/>
      </c>
      <c r="BF120" s="41">
        <f t="array" ref="BF120">IF(AD120=VLOOKUP(VALUE(AD$1),{Questions[#],Questions[Answer]},2,FALSE),1,0)</f>
        <v/>
      </c>
      <c r="BG120" s="41">
        <f t="array" ref="BG120">IF(AE120=VLOOKUP(VALUE(AE$1),{Questions[#],Questions[Answer]},2,FALSE),1,0)</f>
        <v/>
      </c>
      <c r="BH120" s="41">
        <f t="array" ref="BH120">IF(AF120=VLOOKUP(VALUE(AF$1),{Questions[#],Questions[Answer]},2,FALSE),1,0)</f>
        <v/>
      </c>
      <c r="BI120" s="41">
        <f t="array" ref="BI120">IF(AG120=VLOOKUP(VALUE(AG$1),{Questions[#],Questions[Answer]},2,FALSE),1,0)</f>
        <v/>
      </c>
      <c r="BJ120" s="41">
        <f t="array" ref="BJ120">IF(AH120=VLOOKUP(VALUE(AH$1),{Questions[#],Questions[Answer]},2,FALSE),1,0)</f>
        <v/>
      </c>
      <c r="BK120" s="41">
        <f t="array" ref="BK120">IF(AI120=VLOOKUP(VALUE(AI$1),{Questions[#],Questions[Answer]},2,FALSE),1,0)</f>
        <v/>
      </c>
      <c r="BL120" s="41">
        <f t="array" ref="BL120">IF(AJ120=VLOOKUP(VALUE(AJ$1),{Questions[#],Questions[Answer]},2,FALSE),1,0)</f>
        <v/>
      </c>
      <c r="BM120" s="41">
        <f t="array" ref="BM120">IF(AK120=VLOOKUP(VALUE(AK$1),{Questions[#],Questions[Answer]},2,FALSE),1,0)</f>
        <v/>
      </c>
      <c r="BN120" s="41">
        <f t="array" ref="BN120">IF(AL120=VLOOKUP(VALUE(AL$1),{Questions[#],Questions[Answer]},2,FALSE),1,0)</f>
        <v/>
      </c>
    </row>
    <row r="121" ht="22.5" customHeight="1" s="93">
      <c r="A121" s="42" t="n"/>
      <c r="B121" s="41" t="n"/>
      <c r="C121" s="41" t="n"/>
      <c r="D121" s="43" t="n"/>
      <c r="E121" s="41" t="n"/>
      <c r="F121" s="41" t="n"/>
      <c r="G121" s="11">
        <f>SUM(AM121:BN121)</f>
        <v/>
      </c>
      <c r="H121" s="40">
        <f>G121/9</f>
        <v/>
      </c>
      <c r="I121" s="12">
        <f>0.5+(G121/54)</f>
        <v/>
      </c>
      <c r="J121" s="41">
        <f>COUNTIF(K121:AL121,"")</f>
        <v/>
      </c>
      <c r="K121" s="34" t="n"/>
      <c r="L121" s="35" t="n"/>
      <c r="M121" s="35" t="n"/>
      <c r="N121" s="35" t="n"/>
      <c r="O121" s="35" t="n"/>
      <c r="P121" s="35" t="n"/>
      <c r="Q121" s="35" t="n"/>
      <c r="R121" s="35" t="n"/>
      <c r="S121" s="35" t="n"/>
      <c r="T121" s="35" t="n"/>
      <c r="U121" s="35" t="n"/>
      <c r="V121" s="35" t="n"/>
      <c r="W121" s="35" t="n"/>
      <c r="X121" s="41" t="n"/>
      <c r="Y121" s="35" t="n"/>
      <c r="Z121" s="35" t="n"/>
      <c r="AA121" s="35" t="n"/>
      <c r="AB121" s="35" t="n"/>
      <c r="AC121" s="35" t="n"/>
      <c r="AD121" s="35" t="n"/>
      <c r="AE121" s="41" t="n"/>
      <c r="AF121" s="35" t="n"/>
      <c r="AG121" s="35" t="n"/>
      <c r="AH121" s="35" t="n"/>
      <c r="AI121" s="35" t="n"/>
      <c r="AJ121" s="35" t="n"/>
      <c r="AK121" s="35" t="n"/>
      <c r="AL121" s="38" t="n"/>
      <c r="AM121" s="19">
        <f t="array" ref="AM121">IF(K121=VLOOKUP(VALUE(K$1),{Questions[#],Questions[Answer]},2,FALSE),1,0)</f>
        <v/>
      </c>
      <c r="AN121" s="41">
        <f t="array" ref="AN121">IF(L121=VLOOKUP(VALUE(L$1),{Questions[#],Questions[Answer]},2,FALSE),1,0)</f>
        <v/>
      </c>
      <c r="AO121" s="41">
        <f t="array" ref="AO121">IF(M121=VLOOKUP(VALUE(M$1),{Questions[#],Questions[Answer]},2,FALSE),1,0)</f>
        <v/>
      </c>
      <c r="AP121" s="41">
        <f t="array" ref="AP121">IF(N121=VLOOKUP(VALUE(N$1),{Questions[#],Questions[Answer]},2,FALSE),1,0)</f>
        <v/>
      </c>
      <c r="AQ121" s="41">
        <f t="array" ref="AQ121">IF(O121=VLOOKUP(VALUE(O$1),{Questions[#],Questions[Answer]},2,FALSE),1,0)</f>
        <v/>
      </c>
      <c r="AR121" s="41">
        <f t="array" ref="AR121">IF(P121=VLOOKUP(VALUE(P$1),{Questions[#],Questions[Answer]},2,FALSE),1,0)</f>
        <v/>
      </c>
      <c r="AS121" s="41">
        <f t="array" ref="AS121">IF(Q121=VLOOKUP(VALUE(Q$1),{Questions[#],Questions[Answer]},2,FALSE),1,0)</f>
        <v/>
      </c>
      <c r="AT121" s="41">
        <f t="array" ref="AT121">IF(R121=VLOOKUP(VALUE(R$1),{Questions[#],Questions[Answer]},2,FALSE),1,0)</f>
        <v/>
      </c>
      <c r="AU121" s="41">
        <f t="array" ref="AU121">IF(S121=VLOOKUP(VALUE(S$1),{Questions[#],Questions[Answer]},2,FALSE),1,0)</f>
        <v/>
      </c>
      <c r="AV121" s="41">
        <f t="array" ref="AV121">IF(T121=VLOOKUP(VALUE(T$1),{Questions[#],Questions[Answer]},2,FALSE),1,0)</f>
        <v/>
      </c>
      <c r="AW121" s="41">
        <f t="array" ref="AW121">IF(U121=VLOOKUP(VALUE(U$1),{Questions[#],Questions[Answer]},2,FALSE),1,0)</f>
        <v/>
      </c>
      <c r="AX121" s="41">
        <f t="array" ref="AX121">IF(V121=VLOOKUP(VALUE(V$1),{Questions[#],Questions[Answer]},2,FALSE),1,0)</f>
        <v/>
      </c>
      <c r="AY121" s="41">
        <f t="array" ref="AY121">IF(W121=VLOOKUP(VALUE(W$1),{Questions[#],Questions[Answer]},2,FALSE),1,0)</f>
        <v/>
      </c>
      <c r="AZ121" s="41">
        <f t="array" ref="AZ121">IF(X121=VLOOKUP(VALUE(X$1),{Questions[#],Questions[Answer]},2,FALSE),1,0)</f>
        <v/>
      </c>
      <c r="BA121" s="41">
        <f t="array" ref="BA121">IF(Y121=VLOOKUP(VALUE(Y$1),{Questions[#],Questions[Answer]},2,FALSE),1,0)</f>
        <v/>
      </c>
      <c r="BB121" s="41">
        <f t="array" ref="BB121">IF(Z121=VLOOKUP(VALUE(Z$1),{Questions[#],Questions[Answer]},2,FALSE),1,0)</f>
        <v/>
      </c>
      <c r="BC121" s="41">
        <f t="array" ref="BC121">IF(AA121=VLOOKUP(VALUE(AA$1),{Questions[#],Questions[Answer]},2,FALSE),1,0)</f>
        <v/>
      </c>
      <c r="BD121" s="41">
        <f t="array" ref="BD121">IF(AB121=VLOOKUP(VALUE(AB$1),{Questions[#],Questions[Answer]},2,FALSE),1,0)</f>
        <v/>
      </c>
      <c r="BE121" s="41">
        <f t="array" ref="BE121">IF(AC121=VLOOKUP(VALUE(AC$1),{Questions[#],Questions[Answer]},2,FALSE),1,0)</f>
        <v/>
      </c>
      <c r="BF121" s="41">
        <f t="array" ref="BF121">IF(AD121=VLOOKUP(VALUE(AD$1),{Questions[#],Questions[Answer]},2,FALSE),1,0)</f>
        <v/>
      </c>
      <c r="BG121" s="41">
        <f t="array" ref="BG121">IF(AE121=VLOOKUP(VALUE(AE$1),{Questions[#],Questions[Answer]},2,FALSE),1,0)</f>
        <v/>
      </c>
      <c r="BH121" s="41">
        <f t="array" ref="BH121">IF(AF121=VLOOKUP(VALUE(AF$1),{Questions[#],Questions[Answer]},2,FALSE),1,0)</f>
        <v/>
      </c>
      <c r="BI121" s="41">
        <f t="array" ref="BI121">IF(AG121=VLOOKUP(VALUE(AG$1),{Questions[#],Questions[Answer]},2,FALSE),1,0)</f>
        <v/>
      </c>
      <c r="BJ121" s="41">
        <f t="array" ref="BJ121">IF(AH121=VLOOKUP(VALUE(AH$1),{Questions[#],Questions[Answer]},2,FALSE),1,0)</f>
        <v/>
      </c>
      <c r="BK121" s="41">
        <f t="array" ref="BK121">IF(AI121=VLOOKUP(VALUE(AI$1),{Questions[#],Questions[Answer]},2,FALSE),1,0)</f>
        <v/>
      </c>
      <c r="BL121" s="41">
        <f t="array" ref="BL121">IF(AJ121=VLOOKUP(VALUE(AJ$1),{Questions[#],Questions[Answer]},2,FALSE),1,0)</f>
        <v/>
      </c>
      <c r="BM121" s="41">
        <f t="array" ref="BM121">IF(AK121=VLOOKUP(VALUE(AK$1),{Questions[#],Questions[Answer]},2,FALSE),1,0)</f>
        <v/>
      </c>
      <c r="BN121" s="41">
        <f t="array" ref="BN121">IF(AL121=VLOOKUP(VALUE(AL$1),{Questions[#],Questions[Answer]},2,FALSE),1,0)</f>
        <v/>
      </c>
    </row>
    <row r="122" ht="22.5" customHeight="1" s="93">
      <c r="A122" s="42" t="n"/>
      <c r="B122" s="41" t="n"/>
      <c r="C122" s="41" t="n"/>
      <c r="D122" s="43" t="n"/>
      <c r="E122" s="41" t="n"/>
      <c r="F122" s="41" t="n"/>
      <c r="G122" s="11">
        <f>SUM(AM122:BN122)</f>
        <v/>
      </c>
      <c r="H122" s="40">
        <f>G122/9</f>
        <v/>
      </c>
      <c r="I122" s="12">
        <f>0.5+(G122/54)</f>
        <v/>
      </c>
      <c r="J122" s="41">
        <f>COUNTIF(K122:AL122,"")</f>
        <v/>
      </c>
      <c r="K122" s="34" t="n"/>
      <c r="L122" s="35" t="n"/>
      <c r="M122" s="35" t="n"/>
      <c r="N122" s="35" t="n"/>
      <c r="O122" s="35" t="n"/>
      <c r="P122" s="35" t="n"/>
      <c r="Q122" s="35" t="n"/>
      <c r="R122" s="35" t="n"/>
      <c r="S122" s="35" t="n"/>
      <c r="T122" s="35" t="n"/>
      <c r="U122" s="35" t="n"/>
      <c r="V122" s="35" t="n"/>
      <c r="W122" s="35" t="n"/>
      <c r="X122" s="41" t="n"/>
      <c r="Y122" s="35" t="n"/>
      <c r="Z122" s="35" t="n"/>
      <c r="AA122" s="35" t="n"/>
      <c r="AB122" s="35" t="n"/>
      <c r="AC122" s="35" t="n"/>
      <c r="AD122" s="35" t="n"/>
      <c r="AE122" s="41" t="n"/>
      <c r="AF122" s="35" t="n"/>
      <c r="AG122" s="35" t="n"/>
      <c r="AH122" s="35" t="n"/>
      <c r="AI122" s="35" t="n"/>
      <c r="AJ122" s="35" t="n"/>
      <c r="AK122" s="35" t="n"/>
      <c r="AL122" s="38" t="n"/>
      <c r="AM122" s="19">
        <f t="array" ref="AM122">IF(K122=VLOOKUP(VALUE(K$1),{Questions[#],Questions[Answer]},2,FALSE),1,0)</f>
        <v/>
      </c>
      <c r="AN122" s="41">
        <f t="array" ref="AN122">IF(L122=VLOOKUP(VALUE(L$1),{Questions[#],Questions[Answer]},2,FALSE),1,0)</f>
        <v/>
      </c>
      <c r="AO122" s="41">
        <f t="array" ref="AO122">IF(M122=VLOOKUP(VALUE(M$1),{Questions[#],Questions[Answer]},2,FALSE),1,0)</f>
        <v/>
      </c>
      <c r="AP122" s="41">
        <f t="array" ref="AP122">IF(N122=VLOOKUP(VALUE(N$1),{Questions[#],Questions[Answer]},2,FALSE),1,0)</f>
        <v/>
      </c>
      <c r="AQ122" s="41">
        <f t="array" ref="AQ122">IF(O122=VLOOKUP(VALUE(O$1),{Questions[#],Questions[Answer]},2,FALSE),1,0)</f>
        <v/>
      </c>
      <c r="AR122" s="41">
        <f t="array" ref="AR122">IF(P122=VLOOKUP(VALUE(P$1),{Questions[#],Questions[Answer]},2,FALSE),1,0)</f>
        <v/>
      </c>
      <c r="AS122" s="41">
        <f t="array" ref="AS122">IF(Q122=VLOOKUP(VALUE(Q$1),{Questions[#],Questions[Answer]},2,FALSE),1,0)</f>
        <v/>
      </c>
      <c r="AT122" s="41">
        <f t="array" ref="AT122">IF(R122=VLOOKUP(VALUE(R$1),{Questions[#],Questions[Answer]},2,FALSE),1,0)</f>
        <v/>
      </c>
      <c r="AU122" s="41">
        <f t="array" ref="AU122">IF(S122=VLOOKUP(VALUE(S$1),{Questions[#],Questions[Answer]},2,FALSE),1,0)</f>
        <v/>
      </c>
      <c r="AV122" s="41">
        <f t="array" ref="AV122">IF(T122=VLOOKUP(VALUE(T$1),{Questions[#],Questions[Answer]},2,FALSE),1,0)</f>
        <v/>
      </c>
      <c r="AW122" s="41">
        <f t="array" ref="AW122">IF(U122=VLOOKUP(VALUE(U$1),{Questions[#],Questions[Answer]},2,FALSE),1,0)</f>
        <v/>
      </c>
      <c r="AX122" s="41">
        <f t="array" ref="AX122">IF(V122=VLOOKUP(VALUE(V$1),{Questions[#],Questions[Answer]},2,FALSE),1,0)</f>
        <v/>
      </c>
      <c r="AY122" s="41">
        <f t="array" ref="AY122">IF(W122=VLOOKUP(VALUE(W$1),{Questions[#],Questions[Answer]},2,FALSE),1,0)</f>
        <v/>
      </c>
      <c r="AZ122" s="41">
        <f t="array" ref="AZ122">IF(X122=VLOOKUP(VALUE(X$1),{Questions[#],Questions[Answer]},2,FALSE),1,0)</f>
        <v/>
      </c>
      <c r="BA122" s="41">
        <f t="array" ref="BA122">IF(Y122=VLOOKUP(VALUE(Y$1),{Questions[#],Questions[Answer]},2,FALSE),1,0)</f>
        <v/>
      </c>
      <c r="BB122" s="41">
        <f t="array" ref="BB122">IF(Z122=VLOOKUP(VALUE(Z$1),{Questions[#],Questions[Answer]},2,FALSE),1,0)</f>
        <v/>
      </c>
      <c r="BC122" s="41">
        <f t="array" ref="BC122">IF(AA122=VLOOKUP(VALUE(AA$1),{Questions[#],Questions[Answer]},2,FALSE),1,0)</f>
        <v/>
      </c>
      <c r="BD122" s="41">
        <f t="array" ref="BD122">IF(AB122=VLOOKUP(VALUE(AB$1),{Questions[#],Questions[Answer]},2,FALSE),1,0)</f>
        <v/>
      </c>
      <c r="BE122" s="41">
        <f t="array" ref="BE122">IF(AC122=VLOOKUP(VALUE(AC$1),{Questions[#],Questions[Answer]},2,FALSE),1,0)</f>
        <v/>
      </c>
      <c r="BF122" s="41">
        <f t="array" ref="BF122">IF(AD122=VLOOKUP(VALUE(AD$1),{Questions[#],Questions[Answer]},2,FALSE),1,0)</f>
        <v/>
      </c>
      <c r="BG122" s="41">
        <f t="array" ref="BG122">IF(AE122=VLOOKUP(VALUE(AE$1),{Questions[#],Questions[Answer]},2,FALSE),1,0)</f>
        <v/>
      </c>
      <c r="BH122" s="41">
        <f t="array" ref="BH122">IF(AF122=VLOOKUP(VALUE(AF$1),{Questions[#],Questions[Answer]},2,FALSE),1,0)</f>
        <v/>
      </c>
      <c r="BI122" s="41">
        <f t="array" ref="BI122">IF(AG122=VLOOKUP(VALUE(AG$1),{Questions[#],Questions[Answer]},2,FALSE),1,0)</f>
        <v/>
      </c>
      <c r="BJ122" s="41">
        <f t="array" ref="BJ122">IF(AH122=VLOOKUP(VALUE(AH$1),{Questions[#],Questions[Answer]},2,FALSE),1,0)</f>
        <v/>
      </c>
      <c r="BK122" s="41">
        <f t="array" ref="BK122">IF(AI122=VLOOKUP(VALUE(AI$1),{Questions[#],Questions[Answer]},2,FALSE),1,0)</f>
        <v/>
      </c>
      <c r="BL122" s="41">
        <f t="array" ref="BL122">IF(AJ122=VLOOKUP(VALUE(AJ$1),{Questions[#],Questions[Answer]},2,FALSE),1,0)</f>
        <v/>
      </c>
      <c r="BM122" s="41">
        <f t="array" ref="BM122">IF(AK122=VLOOKUP(VALUE(AK$1),{Questions[#],Questions[Answer]},2,FALSE),1,0)</f>
        <v/>
      </c>
      <c r="BN122" s="41">
        <f t="array" ref="BN122">IF(AL122=VLOOKUP(VALUE(AL$1),{Questions[#],Questions[Answer]},2,FALSE),1,0)</f>
        <v/>
      </c>
    </row>
    <row r="123" ht="22.5" customHeight="1" s="93">
      <c r="A123" s="42" t="n"/>
      <c r="B123" s="41" t="n"/>
      <c r="C123" s="41" t="n"/>
      <c r="D123" s="43" t="n"/>
      <c r="E123" s="41" t="n"/>
      <c r="F123" s="41" t="n"/>
      <c r="G123" s="11">
        <f>SUM(AM123:BN123)</f>
        <v/>
      </c>
      <c r="H123" s="40">
        <f>G123/9</f>
        <v/>
      </c>
      <c r="I123" s="12">
        <f>0.5+(G123/54)</f>
        <v/>
      </c>
      <c r="J123" s="41">
        <f>COUNTIF(K123:AL123,"")</f>
        <v/>
      </c>
      <c r="K123" s="34" t="n"/>
      <c r="L123" s="35" t="n"/>
      <c r="M123" s="35" t="n"/>
      <c r="N123" s="35" t="n"/>
      <c r="O123" s="35" t="n"/>
      <c r="P123" s="35" t="n"/>
      <c r="Q123" s="35" t="n"/>
      <c r="R123" s="35" t="n"/>
      <c r="S123" s="35" t="n"/>
      <c r="T123" s="35" t="n"/>
      <c r="U123" s="35" t="n"/>
      <c r="V123" s="35" t="n"/>
      <c r="W123" s="35" t="n"/>
      <c r="X123" s="41" t="n"/>
      <c r="Y123" s="35" t="n"/>
      <c r="Z123" s="35" t="n"/>
      <c r="AA123" s="35" t="n"/>
      <c r="AB123" s="35" t="n"/>
      <c r="AC123" s="35" t="n"/>
      <c r="AD123" s="35" t="n"/>
      <c r="AE123" s="41" t="n"/>
      <c r="AF123" s="35" t="n"/>
      <c r="AG123" s="35" t="n"/>
      <c r="AH123" s="35" t="n"/>
      <c r="AI123" s="35" t="n"/>
      <c r="AJ123" s="35" t="n"/>
      <c r="AK123" s="35" t="n"/>
      <c r="AL123" s="38" t="n"/>
      <c r="AM123" s="19">
        <f t="array" ref="AM123">IF(K123=VLOOKUP(VALUE(K$1),{Questions[#],Questions[Answer]},2,FALSE),1,0)</f>
        <v/>
      </c>
      <c r="AN123" s="41">
        <f t="array" ref="AN123">IF(L123=VLOOKUP(VALUE(L$1),{Questions[#],Questions[Answer]},2,FALSE),1,0)</f>
        <v/>
      </c>
      <c r="AO123" s="41">
        <f t="array" ref="AO123">IF(M123=VLOOKUP(VALUE(M$1),{Questions[#],Questions[Answer]},2,FALSE),1,0)</f>
        <v/>
      </c>
      <c r="AP123" s="41">
        <f t="array" ref="AP123">IF(N123=VLOOKUP(VALUE(N$1),{Questions[#],Questions[Answer]},2,FALSE),1,0)</f>
        <v/>
      </c>
      <c r="AQ123" s="41">
        <f t="array" ref="AQ123">IF(O123=VLOOKUP(VALUE(O$1),{Questions[#],Questions[Answer]},2,FALSE),1,0)</f>
        <v/>
      </c>
      <c r="AR123" s="41">
        <f t="array" ref="AR123">IF(P123=VLOOKUP(VALUE(P$1),{Questions[#],Questions[Answer]},2,FALSE),1,0)</f>
        <v/>
      </c>
      <c r="AS123" s="41">
        <f t="array" ref="AS123">IF(Q123=VLOOKUP(VALUE(Q$1),{Questions[#],Questions[Answer]},2,FALSE),1,0)</f>
        <v/>
      </c>
      <c r="AT123" s="41">
        <f t="array" ref="AT123">IF(R123=VLOOKUP(VALUE(R$1),{Questions[#],Questions[Answer]},2,FALSE),1,0)</f>
        <v/>
      </c>
      <c r="AU123" s="41">
        <f t="array" ref="AU123">IF(S123=VLOOKUP(VALUE(S$1),{Questions[#],Questions[Answer]},2,FALSE),1,0)</f>
        <v/>
      </c>
      <c r="AV123" s="41">
        <f t="array" ref="AV123">IF(T123=VLOOKUP(VALUE(T$1),{Questions[#],Questions[Answer]},2,FALSE),1,0)</f>
        <v/>
      </c>
      <c r="AW123" s="41">
        <f t="array" ref="AW123">IF(U123=VLOOKUP(VALUE(U$1),{Questions[#],Questions[Answer]},2,FALSE),1,0)</f>
        <v/>
      </c>
      <c r="AX123" s="41">
        <f t="array" ref="AX123">IF(V123=VLOOKUP(VALUE(V$1),{Questions[#],Questions[Answer]},2,FALSE),1,0)</f>
        <v/>
      </c>
      <c r="AY123" s="41">
        <f t="array" ref="AY123">IF(W123=VLOOKUP(VALUE(W$1),{Questions[#],Questions[Answer]},2,FALSE),1,0)</f>
        <v/>
      </c>
      <c r="AZ123" s="41">
        <f t="array" ref="AZ123">IF(X123=VLOOKUP(VALUE(X$1),{Questions[#],Questions[Answer]},2,FALSE),1,0)</f>
        <v/>
      </c>
      <c r="BA123" s="41">
        <f t="array" ref="BA123">IF(Y123=VLOOKUP(VALUE(Y$1),{Questions[#],Questions[Answer]},2,FALSE),1,0)</f>
        <v/>
      </c>
      <c r="BB123" s="41">
        <f t="array" ref="BB123">IF(Z123=VLOOKUP(VALUE(Z$1),{Questions[#],Questions[Answer]},2,FALSE),1,0)</f>
        <v/>
      </c>
      <c r="BC123" s="41">
        <f t="array" ref="BC123">IF(AA123=VLOOKUP(VALUE(AA$1),{Questions[#],Questions[Answer]},2,FALSE),1,0)</f>
        <v/>
      </c>
      <c r="BD123" s="41">
        <f t="array" ref="BD123">IF(AB123=VLOOKUP(VALUE(AB$1),{Questions[#],Questions[Answer]},2,FALSE),1,0)</f>
        <v/>
      </c>
      <c r="BE123" s="41">
        <f t="array" ref="BE123">IF(AC123=VLOOKUP(VALUE(AC$1),{Questions[#],Questions[Answer]},2,FALSE),1,0)</f>
        <v/>
      </c>
      <c r="BF123" s="41">
        <f t="array" ref="BF123">IF(AD123=VLOOKUP(VALUE(AD$1),{Questions[#],Questions[Answer]},2,FALSE),1,0)</f>
        <v/>
      </c>
      <c r="BG123" s="41">
        <f t="array" ref="BG123">IF(AE123=VLOOKUP(VALUE(AE$1),{Questions[#],Questions[Answer]},2,FALSE),1,0)</f>
        <v/>
      </c>
      <c r="BH123" s="41">
        <f t="array" ref="BH123">IF(AF123=VLOOKUP(VALUE(AF$1),{Questions[#],Questions[Answer]},2,FALSE),1,0)</f>
        <v/>
      </c>
      <c r="BI123" s="41">
        <f t="array" ref="BI123">IF(AG123=VLOOKUP(VALUE(AG$1),{Questions[#],Questions[Answer]},2,FALSE),1,0)</f>
        <v/>
      </c>
      <c r="BJ123" s="41">
        <f t="array" ref="BJ123">IF(AH123=VLOOKUP(VALUE(AH$1),{Questions[#],Questions[Answer]},2,FALSE),1,0)</f>
        <v/>
      </c>
      <c r="BK123" s="41">
        <f t="array" ref="BK123">IF(AI123=VLOOKUP(VALUE(AI$1),{Questions[#],Questions[Answer]},2,FALSE),1,0)</f>
        <v/>
      </c>
      <c r="BL123" s="41">
        <f t="array" ref="BL123">IF(AJ123=VLOOKUP(VALUE(AJ$1),{Questions[#],Questions[Answer]},2,FALSE),1,0)</f>
        <v/>
      </c>
      <c r="BM123" s="41">
        <f t="array" ref="BM123">IF(AK123=VLOOKUP(VALUE(AK$1),{Questions[#],Questions[Answer]},2,FALSE),1,0)</f>
        <v/>
      </c>
      <c r="BN123" s="41">
        <f t="array" ref="BN123">IF(AL123=VLOOKUP(VALUE(AL$1),{Questions[#],Questions[Answer]},2,FALSE),1,0)</f>
        <v/>
      </c>
    </row>
    <row r="124" ht="22.5" customHeight="1" s="93">
      <c r="A124" s="42" t="n"/>
      <c r="B124" s="41" t="n"/>
      <c r="C124" s="41" t="n"/>
      <c r="D124" s="43" t="n"/>
      <c r="E124" s="41" t="n"/>
      <c r="F124" s="41" t="n"/>
      <c r="G124" s="11">
        <f>SUM(AM124:BN124)</f>
        <v/>
      </c>
      <c r="H124" s="40">
        <f>G124/9</f>
        <v/>
      </c>
      <c r="I124" s="12">
        <f>0.5+(G124/54)</f>
        <v/>
      </c>
      <c r="J124" s="41">
        <f>COUNTIF(K124:AL124,"")</f>
        <v/>
      </c>
      <c r="K124" s="34" t="n"/>
      <c r="L124" s="35" t="n"/>
      <c r="M124" s="35" t="n"/>
      <c r="N124" s="35" t="n"/>
      <c r="O124" s="35" t="n"/>
      <c r="P124" s="35" t="n"/>
      <c r="Q124" s="35" t="n"/>
      <c r="R124" s="35" t="n"/>
      <c r="S124" s="35" t="n"/>
      <c r="T124" s="35" t="n"/>
      <c r="U124" s="35" t="n"/>
      <c r="V124" s="35" t="n"/>
      <c r="W124" s="35" t="n"/>
      <c r="X124" s="41" t="n"/>
      <c r="Y124" s="35" t="n"/>
      <c r="Z124" s="35" t="n"/>
      <c r="AA124" s="35" t="n"/>
      <c r="AB124" s="35" t="n"/>
      <c r="AC124" s="35" t="n"/>
      <c r="AD124" s="35" t="n"/>
      <c r="AE124" s="41" t="n"/>
      <c r="AF124" s="35" t="n"/>
      <c r="AG124" s="35" t="n"/>
      <c r="AH124" s="35" t="n"/>
      <c r="AI124" s="35" t="n"/>
      <c r="AJ124" s="35" t="n"/>
      <c r="AK124" s="35" t="n"/>
      <c r="AL124" s="38" t="n"/>
      <c r="AM124" s="19">
        <f t="array" ref="AM124">IF(K124=VLOOKUP(VALUE(K$1),{Questions[#],Questions[Answer]},2,FALSE),1,0)</f>
        <v/>
      </c>
      <c r="AN124" s="41">
        <f t="array" ref="AN124">IF(L124=VLOOKUP(VALUE(L$1),{Questions[#],Questions[Answer]},2,FALSE),1,0)</f>
        <v/>
      </c>
      <c r="AO124" s="41">
        <f t="array" ref="AO124">IF(M124=VLOOKUP(VALUE(M$1),{Questions[#],Questions[Answer]},2,FALSE),1,0)</f>
        <v/>
      </c>
      <c r="AP124" s="41">
        <f t="array" ref="AP124">IF(N124=VLOOKUP(VALUE(N$1),{Questions[#],Questions[Answer]},2,FALSE),1,0)</f>
        <v/>
      </c>
      <c r="AQ124" s="41">
        <f t="array" ref="AQ124">IF(O124=VLOOKUP(VALUE(O$1),{Questions[#],Questions[Answer]},2,FALSE),1,0)</f>
        <v/>
      </c>
      <c r="AR124" s="41">
        <f t="array" ref="AR124">IF(P124=VLOOKUP(VALUE(P$1),{Questions[#],Questions[Answer]},2,FALSE),1,0)</f>
        <v/>
      </c>
      <c r="AS124" s="41">
        <f t="array" ref="AS124">IF(Q124=VLOOKUP(VALUE(Q$1),{Questions[#],Questions[Answer]},2,FALSE),1,0)</f>
        <v/>
      </c>
      <c r="AT124" s="41">
        <f t="array" ref="AT124">IF(R124=VLOOKUP(VALUE(R$1),{Questions[#],Questions[Answer]},2,FALSE),1,0)</f>
        <v/>
      </c>
      <c r="AU124" s="41">
        <f t="array" ref="AU124">IF(S124=VLOOKUP(VALUE(S$1),{Questions[#],Questions[Answer]},2,FALSE),1,0)</f>
        <v/>
      </c>
      <c r="AV124" s="41">
        <f t="array" ref="AV124">IF(T124=VLOOKUP(VALUE(T$1),{Questions[#],Questions[Answer]},2,FALSE),1,0)</f>
        <v/>
      </c>
      <c r="AW124" s="41">
        <f t="array" ref="AW124">IF(U124=VLOOKUP(VALUE(U$1),{Questions[#],Questions[Answer]},2,FALSE),1,0)</f>
        <v/>
      </c>
      <c r="AX124" s="41">
        <f t="array" ref="AX124">IF(V124=VLOOKUP(VALUE(V$1),{Questions[#],Questions[Answer]},2,FALSE),1,0)</f>
        <v/>
      </c>
      <c r="AY124" s="41">
        <f t="array" ref="AY124">IF(W124=VLOOKUP(VALUE(W$1),{Questions[#],Questions[Answer]},2,FALSE),1,0)</f>
        <v/>
      </c>
      <c r="AZ124" s="41">
        <f t="array" ref="AZ124">IF(X124=VLOOKUP(VALUE(X$1),{Questions[#],Questions[Answer]},2,FALSE),1,0)</f>
        <v/>
      </c>
      <c r="BA124" s="41">
        <f t="array" ref="BA124">IF(Y124=VLOOKUP(VALUE(Y$1),{Questions[#],Questions[Answer]},2,FALSE),1,0)</f>
        <v/>
      </c>
      <c r="BB124" s="41">
        <f t="array" ref="BB124">IF(Z124=VLOOKUP(VALUE(Z$1),{Questions[#],Questions[Answer]},2,FALSE),1,0)</f>
        <v/>
      </c>
      <c r="BC124" s="41">
        <f t="array" ref="BC124">IF(AA124=VLOOKUP(VALUE(AA$1),{Questions[#],Questions[Answer]},2,FALSE),1,0)</f>
        <v/>
      </c>
      <c r="BD124" s="41">
        <f t="array" ref="BD124">IF(AB124=VLOOKUP(VALUE(AB$1),{Questions[#],Questions[Answer]},2,FALSE),1,0)</f>
        <v/>
      </c>
      <c r="BE124" s="41">
        <f t="array" ref="BE124">IF(AC124=VLOOKUP(VALUE(AC$1),{Questions[#],Questions[Answer]},2,FALSE),1,0)</f>
        <v/>
      </c>
      <c r="BF124" s="41">
        <f t="array" ref="BF124">IF(AD124=VLOOKUP(VALUE(AD$1),{Questions[#],Questions[Answer]},2,FALSE),1,0)</f>
        <v/>
      </c>
      <c r="BG124" s="41">
        <f t="array" ref="BG124">IF(AE124=VLOOKUP(VALUE(AE$1),{Questions[#],Questions[Answer]},2,FALSE),1,0)</f>
        <v/>
      </c>
      <c r="BH124" s="41">
        <f t="array" ref="BH124">IF(AF124=VLOOKUP(VALUE(AF$1),{Questions[#],Questions[Answer]},2,FALSE),1,0)</f>
        <v/>
      </c>
      <c r="BI124" s="41">
        <f t="array" ref="BI124">IF(AG124=VLOOKUP(VALUE(AG$1),{Questions[#],Questions[Answer]},2,FALSE),1,0)</f>
        <v/>
      </c>
      <c r="BJ124" s="41">
        <f t="array" ref="BJ124">IF(AH124=VLOOKUP(VALUE(AH$1),{Questions[#],Questions[Answer]},2,FALSE),1,0)</f>
        <v/>
      </c>
      <c r="BK124" s="41">
        <f t="array" ref="BK124">IF(AI124=VLOOKUP(VALUE(AI$1),{Questions[#],Questions[Answer]},2,FALSE),1,0)</f>
        <v/>
      </c>
      <c r="BL124" s="41">
        <f t="array" ref="BL124">IF(AJ124=VLOOKUP(VALUE(AJ$1),{Questions[#],Questions[Answer]},2,FALSE),1,0)</f>
        <v/>
      </c>
      <c r="BM124" s="41">
        <f t="array" ref="BM124">IF(AK124=VLOOKUP(VALUE(AK$1),{Questions[#],Questions[Answer]},2,FALSE),1,0)</f>
        <v/>
      </c>
      <c r="BN124" s="41">
        <f t="array" ref="BN124">IF(AL124=VLOOKUP(VALUE(AL$1),{Questions[#],Questions[Answer]},2,FALSE),1,0)</f>
        <v/>
      </c>
    </row>
    <row r="125" ht="22.5" customHeight="1" s="93">
      <c r="A125" s="42" t="n"/>
      <c r="B125" s="41" t="n"/>
      <c r="C125" s="41" t="n"/>
      <c r="D125" s="43" t="n"/>
      <c r="E125" s="41" t="n"/>
      <c r="F125" s="41" t="n"/>
      <c r="G125" s="11">
        <f>SUM(AM125:BN125)</f>
        <v/>
      </c>
      <c r="H125" s="40">
        <f>G125/9</f>
        <v/>
      </c>
      <c r="I125" s="12">
        <f>0.5+(G125/54)</f>
        <v/>
      </c>
      <c r="J125" s="41">
        <f>COUNTIF(K125:AL125,"")</f>
        <v/>
      </c>
      <c r="K125" s="34" t="n"/>
      <c r="L125" s="35" t="n"/>
      <c r="M125" s="35" t="n"/>
      <c r="N125" s="35" t="n"/>
      <c r="O125" s="35" t="n"/>
      <c r="P125" s="35" t="n"/>
      <c r="Q125" s="35" t="n"/>
      <c r="R125" s="35" t="n"/>
      <c r="S125" s="35" t="n"/>
      <c r="T125" s="35" t="n"/>
      <c r="U125" s="35" t="n"/>
      <c r="V125" s="35" t="n"/>
      <c r="W125" s="35" t="n"/>
      <c r="X125" s="41" t="n"/>
      <c r="Y125" s="35" t="n"/>
      <c r="Z125" s="35" t="n"/>
      <c r="AA125" s="35" t="n"/>
      <c r="AB125" s="35" t="n"/>
      <c r="AC125" s="35" t="n"/>
      <c r="AD125" s="35" t="n"/>
      <c r="AE125" s="41" t="n"/>
      <c r="AF125" s="35" t="n"/>
      <c r="AG125" s="35" t="n"/>
      <c r="AH125" s="35" t="n"/>
      <c r="AI125" s="35" t="n"/>
      <c r="AJ125" s="35" t="n"/>
      <c r="AK125" s="35" t="n"/>
      <c r="AL125" s="38" t="n"/>
      <c r="AM125" s="19">
        <f t="array" ref="AM125">IF(K125=VLOOKUP(VALUE(K$1),{Questions[#],Questions[Answer]},2,FALSE),1,0)</f>
        <v/>
      </c>
      <c r="AN125" s="41">
        <f t="array" ref="AN125">IF(L125=VLOOKUP(VALUE(L$1),{Questions[#],Questions[Answer]},2,FALSE),1,0)</f>
        <v/>
      </c>
      <c r="AO125" s="41">
        <f t="array" ref="AO125">IF(M125=VLOOKUP(VALUE(M$1),{Questions[#],Questions[Answer]},2,FALSE),1,0)</f>
        <v/>
      </c>
      <c r="AP125" s="41">
        <f t="array" ref="AP125">IF(N125=VLOOKUP(VALUE(N$1),{Questions[#],Questions[Answer]},2,FALSE),1,0)</f>
        <v/>
      </c>
      <c r="AQ125" s="41">
        <f t="array" ref="AQ125">IF(O125=VLOOKUP(VALUE(O$1),{Questions[#],Questions[Answer]},2,FALSE),1,0)</f>
        <v/>
      </c>
      <c r="AR125" s="41">
        <f t="array" ref="AR125">IF(P125=VLOOKUP(VALUE(P$1),{Questions[#],Questions[Answer]},2,FALSE),1,0)</f>
        <v/>
      </c>
      <c r="AS125" s="41">
        <f t="array" ref="AS125">IF(Q125=VLOOKUP(VALUE(Q$1),{Questions[#],Questions[Answer]},2,FALSE),1,0)</f>
        <v/>
      </c>
      <c r="AT125" s="41">
        <f t="array" ref="AT125">IF(R125=VLOOKUP(VALUE(R$1),{Questions[#],Questions[Answer]},2,FALSE),1,0)</f>
        <v/>
      </c>
      <c r="AU125" s="41">
        <f t="array" ref="AU125">IF(S125=VLOOKUP(VALUE(S$1),{Questions[#],Questions[Answer]},2,FALSE),1,0)</f>
        <v/>
      </c>
      <c r="AV125" s="41">
        <f t="array" ref="AV125">IF(T125=VLOOKUP(VALUE(T$1),{Questions[#],Questions[Answer]},2,FALSE),1,0)</f>
        <v/>
      </c>
      <c r="AW125" s="41">
        <f t="array" ref="AW125">IF(U125=VLOOKUP(VALUE(U$1),{Questions[#],Questions[Answer]},2,FALSE),1,0)</f>
        <v/>
      </c>
      <c r="AX125" s="41">
        <f t="array" ref="AX125">IF(V125=VLOOKUP(VALUE(V$1),{Questions[#],Questions[Answer]},2,FALSE),1,0)</f>
        <v/>
      </c>
      <c r="AY125" s="41">
        <f t="array" ref="AY125">IF(W125=VLOOKUP(VALUE(W$1),{Questions[#],Questions[Answer]},2,FALSE),1,0)</f>
        <v/>
      </c>
      <c r="AZ125" s="41">
        <f t="array" ref="AZ125">IF(X125=VLOOKUP(VALUE(X$1),{Questions[#],Questions[Answer]},2,FALSE),1,0)</f>
        <v/>
      </c>
      <c r="BA125" s="41">
        <f t="array" ref="BA125">IF(Y125=VLOOKUP(VALUE(Y$1),{Questions[#],Questions[Answer]},2,FALSE),1,0)</f>
        <v/>
      </c>
      <c r="BB125" s="41">
        <f t="array" ref="BB125">IF(Z125=VLOOKUP(VALUE(Z$1),{Questions[#],Questions[Answer]},2,FALSE),1,0)</f>
        <v/>
      </c>
      <c r="BC125" s="41">
        <f t="array" ref="BC125">IF(AA125=VLOOKUP(VALUE(AA$1),{Questions[#],Questions[Answer]},2,FALSE),1,0)</f>
        <v/>
      </c>
      <c r="BD125" s="41">
        <f t="array" ref="BD125">IF(AB125=VLOOKUP(VALUE(AB$1),{Questions[#],Questions[Answer]},2,FALSE),1,0)</f>
        <v/>
      </c>
      <c r="BE125" s="41">
        <f t="array" ref="BE125">IF(AC125=VLOOKUP(VALUE(AC$1),{Questions[#],Questions[Answer]},2,FALSE),1,0)</f>
        <v/>
      </c>
      <c r="BF125" s="41">
        <f t="array" ref="BF125">IF(AD125=VLOOKUP(VALUE(AD$1),{Questions[#],Questions[Answer]},2,FALSE),1,0)</f>
        <v/>
      </c>
      <c r="BG125" s="41">
        <f t="array" ref="BG125">IF(AE125=VLOOKUP(VALUE(AE$1),{Questions[#],Questions[Answer]},2,FALSE),1,0)</f>
        <v/>
      </c>
      <c r="BH125" s="41">
        <f t="array" ref="BH125">IF(AF125=VLOOKUP(VALUE(AF$1),{Questions[#],Questions[Answer]},2,FALSE),1,0)</f>
        <v/>
      </c>
      <c r="BI125" s="41">
        <f t="array" ref="BI125">IF(AG125=VLOOKUP(VALUE(AG$1),{Questions[#],Questions[Answer]},2,FALSE),1,0)</f>
        <v/>
      </c>
      <c r="BJ125" s="41">
        <f t="array" ref="BJ125">IF(AH125=VLOOKUP(VALUE(AH$1),{Questions[#],Questions[Answer]},2,FALSE),1,0)</f>
        <v/>
      </c>
      <c r="BK125" s="41">
        <f t="array" ref="BK125">IF(AI125=VLOOKUP(VALUE(AI$1),{Questions[#],Questions[Answer]},2,FALSE),1,0)</f>
        <v/>
      </c>
      <c r="BL125" s="41">
        <f t="array" ref="BL125">IF(AJ125=VLOOKUP(VALUE(AJ$1),{Questions[#],Questions[Answer]},2,FALSE),1,0)</f>
        <v/>
      </c>
      <c r="BM125" s="41">
        <f t="array" ref="BM125">IF(AK125=VLOOKUP(VALUE(AK$1),{Questions[#],Questions[Answer]},2,FALSE),1,0)</f>
        <v/>
      </c>
      <c r="BN125" s="41">
        <f t="array" ref="BN125">IF(AL125=VLOOKUP(VALUE(AL$1),{Questions[#],Questions[Answer]},2,FALSE),1,0)</f>
        <v/>
      </c>
    </row>
    <row r="126" ht="22.5" customHeight="1" s="93">
      <c r="A126" s="42" t="n"/>
      <c r="B126" s="41" t="n"/>
      <c r="C126" s="41" t="n"/>
      <c r="D126" s="43" t="n"/>
      <c r="E126" s="41" t="n"/>
      <c r="F126" s="41" t="n"/>
      <c r="G126" s="11">
        <f>SUM(AM126:BN126)</f>
        <v/>
      </c>
      <c r="H126" s="40">
        <f>G126/9</f>
        <v/>
      </c>
      <c r="I126" s="12">
        <f>0.5+(G126/54)</f>
        <v/>
      </c>
      <c r="J126" s="41">
        <f>COUNTIF(K126:AL126,"")</f>
        <v/>
      </c>
      <c r="K126" s="34" t="n"/>
      <c r="L126" s="35" t="n"/>
      <c r="M126" s="35" t="n"/>
      <c r="N126" s="35" t="n"/>
      <c r="O126" s="35" t="n"/>
      <c r="P126" s="35" t="n"/>
      <c r="Q126" s="35" t="n"/>
      <c r="R126" s="35" t="n"/>
      <c r="S126" s="35" t="n"/>
      <c r="T126" s="35" t="n"/>
      <c r="U126" s="35" t="n"/>
      <c r="V126" s="35" t="n"/>
      <c r="W126" s="35" t="n"/>
      <c r="X126" s="41" t="n"/>
      <c r="Y126" s="35" t="n"/>
      <c r="Z126" s="35" t="n"/>
      <c r="AA126" s="35" t="n"/>
      <c r="AB126" s="35" t="n"/>
      <c r="AC126" s="35" t="n"/>
      <c r="AD126" s="35" t="n"/>
      <c r="AE126" s="41" t="n"/>
      <c r="AF126" s="35" t="n"/>
      <c r="AG126" s="35" t="n"/>
      <c r="AH126" s="35" t="n"/>
      <c r="AI126" s="35" t="n"/>
      <c r="AJ126" s="35" t="n"/>
      <c r="AK126" s="35" t="n"/>
      <c r="AL126" s="38" t="n"/>
      <c r="AM126" s="19">
        <f t="array" ref="AM126">IF(K126=VLOOKUP(VALUE(K$1),{Questions[#],Questions[Answer]},2,FALSE),1,0)</f>
        <v/>
      </c>
      <c r="AN126" s="41">
        <f t="array" ref="AN126">IF(L126=VLOOKUP(VALUE(L$1),{Questions[#],Questions[Answer]},2,FALSE),1,0)</f>
        <v/>
      </c>
      <c r="AO126" s="41">
        <f t="array" ref="AO126">IF(M126=VLOOKUP(VALUE(M$1),{Questions[#],Questions[Answer]},2,FALSE),1,0)</f>
        <v/>
      </c>
      <c r="AP126" s="41">
        <f t="array" ref="AP126">IF(N126=VLOOKUP(VALUE(N$1),{Questions[#],Questions[Answer]},2,FALSE),1,0)</f>
        <v/>
      </c>
      <c r="AQ126" s="41">
        <f t="array" ref="AQ126">IF(O126=VLOOKUP(VALUE(O$1),{Questions[#],Questions[Answer]},2,FALSE),1,0)</f>
        <v/>
      </c>
      <c r="AR126" s="41">
        <f t="array" ref="AR126">IF(P126=VLOOKUP(VALUE(P$1),{Questions[#],Questions[Answer]},2,FALSE),1,0)</f>
        <v/>
      </c>
      <c r="AS126" s="41">
        <f t="array" ref="AS126">IF(Q126=VLOOKUP(VALUE(Q$1),{Questions[#],Questions[Answer]},2,FALSE),1,0)</f>
        <v/>
      </c>
      <c r="AT126" s="41">
        <f t="array" ref="AT126">IF(R126=VLOOKUP(VALUE(R$1),{Questions[#],Questions[Answer]},2,FALSE),1,0)</f>
        <v/>
      </c>
      <c r="AU126" s="41">
        <f t="array" ref="AU126">IF(S126=VLOOKUP(VALUE(S$1),{Questions[#],Questions[Answer]},2,FALSE),1,0)</f>
        <v/>
      </c>
      <c r="AV126" s="41">
        <f t="array" ref="AV126">IF(T126=VLOOKUP(VALUE(T$1),{Questions[#],Questions[Answer]},2,FALSE),1,0)</f>
        <v/>
      </c>
      <c r="AW126" s="41">
        <f t="array" ref="AW126">IF(U126=VLOOKUP(VALUE(U$1),{Questions[#],Questions[Answer]},2,FALSE),1,0)</f>
        <v/>
      </c>
      <c r="AX126" s="41">
        <f t="array" ref="AX126">IF(V126=VLOOKUP(VALUE(V$1),{Questions[#],Questions[Answer]},2,FALSE),1,0)</f>
        <v/>
      </c>
      <c r="AY126" s="41">
        <f t="array" ref="AY126">IF(W126=VLOOKUP(VALUE(W$1),{Questions[#],Questions[Answer]},2,FALSE),1,0)</f>
        <v/>
      </c>
      <c r="AZ126" s="41">
        <f t="array" ref="AZ126">IF(X126=VLOOKUP(VALUE(X$1),{Questions[#],Questions[Answer]},2,FALSE),1,0)</f>
        <v/>
      </c>
      <c r="BA126" s="41">
        <f t="array" ref="BA126">IF(Y126=VLOOKUP(VALUE(Y$1),{Questions[#],Questions[Answer]},2,FALSE),1,0)</f>
        <v/>
      </c>
      <c r="BB126" s="41">
        <f t="array" ref="BB126">IF(Z126=VLOOKUP(VALUE(Z$1),{Questions[#],Questions[Answer]},2,FALSE),1,0)</f>
        <v/>
      </c>
      <c r="BC126" s="41">
        <f t="array" ref="BC126">IF(AA126=VLOOKUP(VALUE(AA$1),{Questions[#],Questions[Answer]},2,FALSE),1,0)</f>
        <v/>
      </c>
      <c r="BD126" s="41">
        <f t="array" ref="BD126">IF(AB126=VLOOKUP(VALUE(AB$1),{Questions[#],Questions[Answer]},2,FALSE),1,0)</f>
        <v/>
      </c>
      <c r="BE126" s="41">
        <f t="array" ref="BE126">IF(AC126=VLOOKUP(VALUE(AC$1),{Questions[#],Questions[Answer]},2,FALSE),1,0)</f>
        <v/>
      </c>
      <c r="BF126" s="41">
        <f t="array" ref="BF126">IF(AD126=VLOOKUP(VALUE(AD$1),{Questions[#],Questions[Answer]},2,FALSE),1,0)</f>
        <v/>
      </c>
      <c r="BG126" s="41">
        <f t="array" ref="BG126">IF(AE126=VLOOKUP(VALUE(AE$1),{Questions[#],Questions[Answer]},2,FALSE),1,0)</f>
        <v/>
      </c>
      <c r="BH126" s="41">
        <f t="array" ref="BH126">IF(AF126=VLOOKUP(VALUE(AF$1),{Questions[#],Questions[Answer]},2,FALSE),1,0)</f>
        <v/>
      </c>
      <c r="BI126" s="41">
        <f t="array" ref="BI126">IF(AG126=VLOOKUP(VALUE(AG$1),{Questions[#],Questions[Answer]},2,FALSE),1,0)</f>
        <v/>
      </c>
      <c r="BJ126" s="41">
        <f t="array" ref="BJ126">IF(AH126=VLOOKUP(VALUE(AH$1),{Questions[#],Questions[Answer]},2,FALSE),1,0)</f>
        <v/>
      </c>
      <c r="BK126" s="41">
        <f t="array" ref="BK126">IF(AI126=VLOOKUP(VALUE(AI$1),{Questions[#],Questions[Answer]},2,FALSE),1,0)</f>
        <v/>
      </c>
      <c r="BL126" s="41">
        <f t="array" ref="BL126">IF(AJ126=VLOOKUP(VALUE(AJ$1),{Questions[#],Questions[Answer]},2,FALSE),1,0)</f>
        <v/>
      </c>
      <c r="BM126" s="41">
        <f t="array" ref="BM126">IF(AK126=VLOOKUP(VALUE(AK$1),{Questions[#],Questions[Answer]},2,FALSE),1,0)</f>
        <v/>
      </c>
      <c r="BN126" s="41">
        <f t="array" ref="BN126">IF(AL126=VLOOKUP(VALUE(AL$1),{Questions[#],Questions[Answer]},2,FALSE),1,0)</f>
        <v/>
      </c>
    </row>
    <row r="127" ht="22.5" customHeight="1" s="93">
      <c r="A127" s="42" t="n"/>
      <c r="B127" s="41" t="n"/>
      <c r="C127" s="41" t="n"/>
      <c r="D127" s="43" t="n"/>
      <c r="E127" s="41" t="n"/>
      <c r="F127" s="41" t="n"/>
      <c r="G127" s="11">
        <f>SUM(AM127:BN127)</f>
        <v/>
      </c>
      <c r="H127" s="40">
        <f>G127/9</f>
        <v/>
      </c>
      <c r="I127" s="12">
        <f>0.5+(G127/54)</f>
        <v/>
      </c>
      <c r="J127" s="41">
        <f>COUNTIF(K127:AL127,"")</f>
        <v/>
      </c>
      <c r="K127" s="34" t="n"/>
      <c r="L127" s="35" t="n"/>
      <c r="M127" s="35" t="n"/>
      <c r="N127" s="35" t="n"/>
      <c r="O127" s="35" t="n"/>
      <c r="P127" s="35" t="n"/>
      <c r="Q127" s="35" t="n"/>
      <c r="R127" s="35" t="n"/>
      <c r="S127" s="35" t="n"/>
      <c r="T127" s="35" t="n"/>
      <c r="U127" s="35" t="n"/>
      <c r="V127" s="35" t="n"/>
      <c r="W127" s="35" t="n"/>
      <c r="X127" s="41" t="n"/>
      <c r="Y127" s="35" t="n"/>
      <c r="Z127" s="35" t="n"/>
      <c r="AA127" s="35" t="n"/>
      <c r="AB127" s="35" t="n"/>
      <c r="AC127" s="35" t="n"/>
      <c r="AD127" s="35" t="n"/>
      <c r="AE127" s="41" t="n"/>
      <c r="AF127" s="35" t="n"/>
      <c r="AG127" s="35" t="n"/>
      <c r="AH127" s="35" t="n"/>
      <c r="AI127" s="35" t="n"/>
      <c r="AJ127" s="35" t="n"/>
      <c r="AK127" s="35" t="n"/>
      <c r="AL127" s="38" t="n"/>
      <c r="AM127" s="19">
        <f t="array" ref="AM127">IF(K127=VLOOKUP(VALUE(K$1),{Questions[#],Questions[Answer]},2,FALSE),1,0)</f>
        <v/>
      </c>
      <c r="AN127" s="41">
        <f t="array" ref="AN127">IF(L127=VLOOKUP(VALUE(L$1),{Questions[#],Questions[Answer]},2,FALSE),1,0)</f>
        <v/>
      </c>
      <c r="AO127" s="41">
        <f t="array" ref="AO127">IF(M127=VLOOKUP(VALUE(M$1),{Questions[#],Questions[Answer]},2,FALSE),1,0)</f>
        <v/>
      </c>
      <c r="AP127" s="41">
        <f t="array" ref="AP127">IF(N127=VLOOKUP(VALUE(N$1),{Questions[#],Questions[Answer]},2,FALSE),1,0)</f>
        <v/>
      </c>
      <c r="AQ127" s="41">
        <f t="array" ref="AQ127">IF(O127=VLOOKUP(VALUE(O$1),{Questions[#],Questions[Answer]},2,FALSE),1,0)</f>
        <v/>
      </c>
      <c r="AR127" s="41">
        <f t="array" ref="AR127">IF(P127=VLOOKUP(VALUE(P$1),{Questions[#],Questions[Answer]},2,FALSE),1,0)</f>
        <v/>
      </c>
      <c r="AS127" s="41">
        <f t="array" ref="AS127">IF(Q127=VLOOKUP(VALUE(Q$1),{Questions[#],Questions[Answer]},2,FALSE),1,0)</f>
        <v/>
      </c>
      <c r="AT127" s="41">
        <f t="array" ref="AT127">IF(R127=VLOOKUP(VALUE(R$1),{Questions[#],Questions[Answer]},2,FALSE),1,0)</f>
        <v/>
      </c>
      <c r="AU127" s="41">
        <f t="array" ref="AU127">IF(S127=VLOOKUP(VALUE(S$1),{Questions[#],Questions[Answer]},2,FALSE),1,0)</f>
        <v/>
      </c>
      <c r="AV127" s="41">
        <f t="array" ref="AV127">IF(T127=VLOOKUP(VALUE(T$1),{Questions[#],Questions[Answer]},2,FALSE),1,0)</f>
        <v/>
      </c>
      <c r="AW127" s="41">
        <f t="array" ref="AW127">IF(U127=VLOOKUP(VALUE(U$1),{Questions[#],Questions[Answer]},2,FALSE),1,0)</f>
        <v/>
      </c>
      <c r="AX127" s="41">
        <f t="array" ref="AX127">IF(V127=VLOOKUP(VALUE(V$1),{Questions[#],Questions[Answer]},2,FALSE),1,0)</f>
        <v/>
      </c>
      <c r="AY127" s="41">
        <f t="array" ref="AY127">IF(W127=VLOOKUP(VALUE(W$1),{Questions[#],Questions[Answer]},2,FALSE),1,0)</f>
        <v/>
      </c>
      <c r="AZ127" s="41">
        <f t="array" ref="AZ127">IF(X127=VLOOKUP(VALUE(X$1),{Questions[#],Questions[Answer]},2,FALSE),1,0)</f>
        <v/>
      </c>
      <c r="BA127" s="41">
        <f t="array" ref="BA127">IF(Y127=VLOOKUP(VALUE(Y$1),{Questions[#],Questions[Answer]},2,FALSE),1,0)</f>
        <v/>
      </c>
      <c r="BB127" s="41">
        <f t="array" ref="BB127">IF(Z127=VLOOKUP(VALUE(Z$1),{Questions[#],Questions[Answer]},2,FALSE),1,0)</f>
        <v/>
      </c>
      <c r="BC127" s="41">
        <f t="array" ref="BC127">IF(AA127=VLOOKUP(VALUE(AA$1),{Questions[#],Questions[Answer]},2,FALSE),1,0)</f>
        <v/>
      </c>
      <c r="BD127" s="41">
        <f t="array" ref="BD127">IF(AB127=VLOOKUP(VALUE(AB$1),{Questions[#],Questions[Answer]},2,FALSE),1,0)</f>
        <v/>
      </c>
      <c r="BE127" s="41">
        <f t="array" ref="BE127">IF(AC127=VLOOKUP(VALUE(AC$1),{Questions[#],Questions[Answer]},2,FALSE),1,0)</f>
        <v/>
      </c>
      <c r="BF127" s="41">
        <f t="array" ref="BF127">IF(AD127=VLOOKUP(VALUE(AD$1),{Questions[#],Questions[Answer]},2,FALSE),1,0)</f>
        <v/>
      </c>
      <c r="BG127" s="41">
        <f t="array" ref="BG127">IF(AE127=VLOOKUP(VALUE(AE$1),{Questions[#],Questions[Answer]},2,FALSE),1,0)</f>
        <v/>
      </c>
      <c r="BH127" s="41">
        <f t="array" ref="BH127">IF(AF127=VLOOKUP(VALUE(AF$1),{Questions[#],Questions[Answer]},2,FALSE),1,0)</f>
        <v/>
      </c>
      <c r="BI127" s="41">
        <f t="array" ref="BI127">IF(AG127=VLOOKUP(VALUE(AG$1),{Questions[#],Questions[Answer]},2,FALSE),1,0)</f>
        <v/>
      </c>
      <c r="BJ127" s="41">
        <f t="array" ref="BJ127">IF(AH127=VLOOKUP(VALUE(AH$1),{Questions[#],Questions[Answer]},2,FALSE),1,0)</f>
        <v/>
      </c>
      <c r="BK127" s="41">
        <f t="array" ref="BK127">IF(AI127=VLOOKUP(VALUE(AI$1),{Questions[#],Questions[Answer]},2,FALSE),1,0)</f>
        <v/>
      </c>
      <c r="BL127" s="41">
        <f t="array" ref="BL127">IF(AJ127=VLOOKUP(VALUE(AJ$1),{Questions[#],Questions[Answer]},2,FALSE),1,0)</f>
        <v/>
      </c>
      <c r="BM127" s="41">
        <f t="array" ref="BM127">IF(AK127=VLOOKUP(VALUE(AK$1),{Questions[#],Questions[Answer]},2,FALSE),1,0)</f>
        <v/>
      </c>
      <c r="BN127" s="41">
        <f t="array" ref="BN127">IF(AL127=VLOOKUP(VALUE(AL$1),{Questions[#],Questions[Answer]},2,FALSE),1,0)</f>
        <v/>
      </c>
    </row>
    <row r="128" ht="22.5" customHeight="1" s="93">
      <c r="A128" s="42" t="n"/>
      <c r="B128" s="41" t="n"/>
      <c r="C128" s="41" t="n"/>
      <c r="D128" s="43" t="n"/>
      <c r="E128" s="41" t="n"/>
      <c r="F128" s="41" t="n"/>
      <c r="G128" s="11">
        <f>SUM(AM128:BN128)</f>
        <v/>
      </c>
      <c r="H128" s="40">
        <f>G128/9</f>
        <v/>
      </c>
      <c r="I128" s="12">
        <f>0.5+(G128/54)</f>
        <v/>
      </c>
      <c r="J128" s="41">
        <f>COUNTIF(K128:AL128,"")</f>
        <v/>
      </c>
      <c r="K128" s="34" t="n"/>
      <c r="L128" s="35" t="n"/>
      <c r="M128" s="35" t="n"/>
      <c r="N128" s="35" t="n"/>
      <c r="O128" s="35" t="n"/>
      <c r="P128" s="35" t="n"/>
      <c r="Q128" s="35" t="n"/>
      <c r="R128" s="35" t="n"/>
      <c r="S128" s="35" t="n"/>
      <c r="T128" s="35" t="n"/>
      <c r="U128" s="35" t="n"/>
      <c r="V128" s="35" t="n"/>
      <c r="W128" s="35" t="n"/>
      <c r="X128" s="41" t="n"/>
      <c r="Y128" s="35" t="n"/>
      <c r="Z128" s="35" t="n"/>
      <c r="AA128" s="35" t="n"/>
      <c r="AB128" s="35" t="n"/>
      <c r="AC128" s="35" t="n"/>
      <c r="AD128" s="35" t="n"/>
      <c r="AE128" s="41" t="n"/>
      <c r="AF128" s="35" t="n"/>
      <c r="AG128" s="35" t="n"/>
      <c r="AH128" s="35" t="n"/>
      <c r="AI128" s="35" t="n"/>
      <c r="AJ128" s="35" t="n"/>
      <c r="AK128" s="35" t="n"/>
      <c r="AL128" s="38" t="n"/>
      <c r="AM128" s="19">
        <f t="array" ref="AM128">IF(K128=VLOOKUP(VALUE(K$1),{Questions[#],Questions[Answer]},2,FALSE),1,0)</f>
        <v/>
      </c>
      <c r="AN128" s="41">
        <f t="array" ref="AN128">IF(L128=VLOOKUP(VALUE(L$1),{Questions[#],Questions[Answer]},2,FALSE),1,0)</f>
        <v/>
      </c>
      <c r="AO128" s="41">
        <f t="array" ref="AO128">IF(M128=VLOOKUP(VALUE(M$1),{Questions[#],Questions[Answer]},2,FALSE),1,0)</f>
        <v/>
      </c>
      <c r="AP128" s="41">
        <f t="array" ref="AP128">IF(N128=VLOOKUP(VALUE(N$1),{Questions[#],Questions[Answer]},2,FALSE),1,0)</f>
        <v/>
      </c>
      <c r="AQ128" s="41">
        <f t="array" ref="AQ128">IF(O128=VLOOKUP(VALUE(O$1),{Questions[#],Questions[Answer]},2,FALSE),1,0)</f>
        <v/>
      </c>
      <c r="AR128" s="41">
        <f t="array" ref="AR128">IF(P128=VLOOKUP(VALUE(P$1),{Questions[#],Questions[Answer]},2,FALSE),1,0)</f>
        <v/>
      </c>
      <c r="AS128" s="41">
        <f t="array" ref="AS128">IF(Q128=VLOOKUP(VALUE(Q$1),{Questions[#],Questions[Answer]},2,FALSE),1,0)</f>
        <v/>
      </c>
      <c r="AT128" s="41">
        <f t="array" ref="AT128">IF(R128=VLOOKUP(VALUE(R$1),{Questions[#],Questions[Answer]},2,FALSE),1,0)</f>
        <v/>
      </c>
      <c r="AU128" s="41">
        <f t="array" ref="AU128">IF(S128=VLOOKUP(VALUE(S$1),{Questions[#],Questions[Answer]},2,FALSE),1,0)</f>
        <v/>
      </c>
      <c r="AV128" s="41">
        <f t="array" ref="AV128">IF(T128=VLOOKUP(VALUE(T$1),{Questions[#],Questions[Answer]},2,FALSE),1,0)</f>
        <v/>
      </c>
      <c r="AW128" s="41">
        <f t="array" ref="AW128">IF(U128=VLOOKUP(VALUE(U$1),{Questions[#],Questions[Answer]},2,FALSE),1,0)</f>
        <v/>
      </c>
      <c r="AX128" s="41">
        <f t="array" ref="AX128">IF(V128=VLOOKUP(VALUE(V$1),{Questions[#],Questions[Answer]},2,FALSE),1,0)</f>
        <v/>
      </c>
      <c r="AY128" s="41">
        <f t="array" ref="AY128">IF(W128=VLOOKUP(VALUE(W$1),{Questions[#],Questions[Answer]},2,FALSE),1,0)</f>
        <v/>
      </c>
      <c r="AZ128" s="41">
        <f t="array" ref="AZ128">IF(X128=VLOOKUP(VALUE(X$1),{Questions[#],Questions[Answer]},2,FALSE),1,0)</f>
        <v/>
      </c>
      <c r="BA128" s="41">
        <f t="array" ref="BA128">IF(Y128=VLOOKUP(VALUE(Y$1),{Questions[#],Questions[Answer]},2,FALSE),1,0)</f>
        <v/>
      </c>
      <c r="BB128" s="41">
        <f t="array" ref="BB128">IF(Z128=VLOOKUP(VALUE(Z$1),{Questions[#],Questions[Answer]},2,FALSE),1,0)</f>
        <v/>
      </c>
      <c r="BC128" s="41">
        <f t="array" ref="BC128">IF(AA128=VLOOKUP(VALUE(AA$1),{Questions[#],Questions[Answer]},2,FALSE),1,0)</f>
        <v/>
      </c>
      <c r="BD128" s="41">
        <f t="array" ref="BD128">IF(AB128=VLOOKUP(VALUE(AB$1),{Questions[#],Questions[Answer]},2,FALSE),1,0)</f>
        <v/>
      </c>
      <c r="BE128" s="41">
        <f t="array" ref="BE128">IF(AC128=VLOOKUP(VALUE(AC$1),{Questions[#],Questions[Answer]},2,FALSE),1,0)</f>
        <v/>
      </c>
      <c r="BF128" s="41">
        <f t="array" ref="BF128">IF(AD128=VLOOKUP(VALUE(AD$1),{Questions[#],Questions[Answer]},2,FALSE),1,0)</f>
        <v/>
      </c>
      <c r="BG128" s="41">
        <f t="array" ref="BG128">IF(AE128=VLOOKUP(VALUE(AE$1),{Questions[#],Questions[Answer]},2,FALSE),1,0)</f>
        <v/>
      </c>
      <c r="BH128" s="41">
        <f t="array" ref="BH128">IF(AF128=VLOOKUP(VALUE(AF$1),{Questions[#],Questions[Answer]},2,FALSE),1,0)</f>
        <v/>
      </c>
      <c r="BI128" s="41">
        <f t="array" ref="BI128">IF(AG128=VLOOKUP(VALUE(AG$1),{Questions[#],Questions[Answer]},2,FALSE),1,0)</f>
        <v/>
      </c>
      <c r="BJ128" s="41">
        <f t="array" ref="BJ128">IF(AH128=VLOOKUP(VALUE(AH$1),{Questions[#],Questions[Answer]},2,FALSE),1,0)</f>
        <v/>
      </c>
      <c r="BK128" s="41">
        <f t="array" ref="BK128">IF(AI128=VLOOKUP(VALUE(AI$1),{Questions[#],Questions[Answer]},2,FALSE),1,0)</f>
        <v/>
      </c>
      <c r="BL128" s="41">
        <f t="array" ref="BL128">IF(AJ128=VLOOKUP(VALUE(AJ$1),{Questions[#],Questions[Answer]},2,FALSE),1,0)</f>
        <v/>
      </c>
      <c r="BM128" s="41">
        <f t="array" ref="BM128">IF(AK128=VLOOKUP(VALUE(AK$1),{Questions[#],Questions[Answer]},2,FALSE),1,0)</f>
        <v/>
      </c>
      <c r="BN128" s="41">
        <f t="array" ref="BN128">IF(AL128=VLOOKUP(VALUE(AL$1),{Questions[#],Questions[Answer]},2,FALSE),1,0)</f>
        <v/>
      </c>
    </row>
    <row r="129" ht="22.5" customHeight="1" s="93">
      <c r="A129" s="42" t="n"/>
      <c r="B129" s="41" t="n"/>
      <c r="C129" s="41" t="n"/>
      <c r="D129" s="43" t="n"/>
      <c r="E129" s="41" t="n"/>
      <c r="F129" s="41" t="n"/>
      <c r="G129" s="11">
        <f>SUM(AM129:BN129)</f>
        <v/>
      </c>
      <c r="H129" s="40">
        <f>G129/9</f>
        <v/>
      </c>
      <c r="I129" s="12">
        <f>0.5+(G129/54)</f>
        <v/>
      </c>
      <c r="J129" s="41">
        <f>COUNTIF(K129:AL129,"")</f>
        <v/>
      </c>
      <c r="K129" s="34" t="n"/>
      <c r="L129" s="35" t="n"/>
      <c r="M129" s="35" t="n"/>
      <c r="N129" s="35" t="n"/>
      <c r="O129" s="35" t="n"/>
      <c r="P129" s="35" t="n"/>
      <c r="Q129" s="35" t="n"/>
      <c r="R129" s="35" t="n"/>
      <c r="S129" s="35" t="n"/>
      <c r="T129" s="35" t="n"/>
      <c r="U129" s="35" t="n"/>
      <c r="V129" s="35" t="n"/>
      <c r="W129" s="35" t="n"/>
      <c r="X129" s="41" t="n"/>
      <c r="Y129" s="35" t="n"/>
      <c r="Z129" s="35" t="n"/>
      <c r="AA129" s="35" t="n"/>
      <c r="AB129" s="35" t="n"/>
      <c r="AC129" s="35" t="n"/>
      <c r="AD129" s="35" t="n"/>
      <c r="AE129" s="41" t="n"/>
      <c r="AF129" s="35" t="n"/>
      <c r="AG129" s="35" t="n"/>
      <c r="AH129" s="35" t="n"/>
      <c r="AI129" s="35" t="n"/>
      <c r="AJ129" s="35" t="n"/>
      <c r="AK129" s="35" t="n"/>
      <c r="AL129" s="38" t="n"/>
      <c r="AM129" s="19">
        <f t="array" ref="AM129">IF(K129=VLOOKUP(VALUE(K$1),{Questions[#],Questions[Answer]},2,FALSE),1,0)</f>
        <v/>
      </c>
      <c r="AN129" s="41">
        <f t="array" ref="AN129">IF(L129=VLOOKUP(VALUE(L$1),{Questions[#],Questions[Answer]},2,FALSE),1,0)</f>
        <v/>
      </c>
      <c r="AO129" s="41">
        <f t="array" ref="AO129">IF(M129=VLOOKUP(VALUE(M$1),{Questions[#],Questions[Answer]},2,FALSE),1,0)</f>
        <v/>
      </c>
      <c r="AP129" s="41">
        <f t="array" ref="AP129">IF(N129=VLOOKUP(VALUE(N$1),{Questions[#],Questions[Answer]},2,FALSE),1,0)</f>
        <v/>
      </c>
      <c r="AQ129" s="41">
        <f t="array" ref="AQ129">IF(O129=VLOOKUP(VALUE(O$1),{Questions[#],Questions[Answer]},2,FALSE),1,0)</f>
        <v/>
      </c>
      <c r="AR129" s="41">
        <f t="array" ref="AR129">IF(P129=VLOOKUP(VALUE(P$1),{Questions[#],Questions[Answer]},2,FALSE),1,0)</f>
        <v/>
      </c>
      <c r="AS129" s="41">
        <f t="array" ref="AS129">IF(Q129=VLOOKUP(VALUE(Q$1),{Questions[#],Questions[Answer]},2,FALSE),1,0)</f>
        <v/>
      </c>
      <c r="AT129" s="41">
        <f t="array" ref="AT129">IF(R129=VLOOKUP(VALUE(R$1),{Questions[#],Questions[Answer]},2,FALSE),1,0)</f>
        <v/>
      </c>
      <c r="AU129" s="41">
        <f t="array" ref="AU129">IF(S129=VLOOKUP(VALUE(S$1),{Questions[#],Questions[Answer]},2,FALSE),1,0)</f>
        <v/>
      </c>
      <c r="AV129" s="41">
        <f t="array" ref="AV129">IF(T129=VLOOKUP(VALUE(T$1),{Questions[#],Questions[Answer]},2,FALSE),1,0)</f>
        <v/>
      </c>
      <c r="AW129" s="41">
        <f t="array" ref="AW129">IF(U129=VLOOKUP(VALUE(U$1),{Questions[#],Questions[Answer]},2,FALSE),1,0)</f>
        <v/>
      </c>
      <c r="AX129" s="41">
        <f t="array" ref="AX129">IF(V129=VLOOKUP(VALUE(V$1),{Questions[#],Questions[Answer]},2,FALSE),1,0)</f>
        <v/>
      </c>
      <c r="AY129" s="41">
        <f t="array" ref="AY129">IF(W129=VLOOKUP(VALUE(W$1),{Questions[#],Questions[Answer]},2,FALSE),1,0)</f>
        <v/>
      </c>
      <c r="AZ129" s="41">
        <f t="array" ref="AZ129">IF(X129=VLOOKUP(VALUE(X$1),{Questions[#],Questions[Answer]},2,FALSE),1,0)</f>
        <v/>
      </c>
      <c r="BA129" s="41">
        <f t="array" ref="BA129">IF(Y129=VLOOKUP(VALUE(Y$1),{Questions[#],Questions[Answer]},2,FALSE),1,0)</f>
        <v/>
      </c>
      <c r="BB129" s="41">
        <f t="array" ref="BB129">IF(Z129=VLOOKUP(VALUE(Z$1),{Questions[#],Questions[Answer]},2,FALSE),1,0)</f>
        <v/>
      </c>
      <c r="BC129" s="41">
        <f t="array" ref="BC129">IF(AA129=VLOOKUP(VALUE(AA$1),{Questions[#],Questions[Answer]},2,FALSE),1,0)</f>
        <v/>
      </c>
      <c r="BD129" s="41">
        <f t="array" ref="BD129">IF(AB129=VLOOKUP(VALUE(AB$1),{Questions[#],Questions[Answer]},2,FALSE),1,0)</f>
        <v/>
      </c>
      <c r="BE129" s="41">
        <f t="array" ref="BE129">IF(AC129=VLOOKUP(VALUE(AC$1),{Questions[#],Questions[Answer]},2,FALSE),1,0)</f>
        <v/>
      </c>
      <c r="BF129" s="41">
        <f t="array" ref="BF129">IF(AD129=VLOOKUP(VALUE(AD$1),{Questions[#],Questions[Answer]},2,FALSE),1,0)</f>
        <v/>
      </c>
      <c r="BG129" s="41">
        <f t="array" ref="BG129">IF(AE129=VLOOKUP(VALUE(AE$1),{Questions[#],Questions[Answer]},2,FALSE),1,0)</f>
        <v/>
      </c>
      <c r="BH129" s="41">
        <f t="array" ref="BH129">IF(AF129=VLOOKUP(VALUE(AF$1),{Questions[#],Questions[Answer]},2,FALSE),1,0)</f>
        <v/>
      </c>
      <c r="BI129" s="41">
        <f t="array" ref="BI129">IF(AG129=VLOOKUP(VALUE(AG$1),{Questions[#],Questions[Answer]},2,FALSE),1,0)</f>
        <v/>
      </c>
      <c r="BJ129" s="41">
        <f t="array" ref="BJ129">IF(AH129=VLOOKUP(VALUE(AH$1),{Questions[#],Questions[Answer]},2,FALSE),1,0)</f>
        <v/>
      </c>
      <c r="BK129" s="41">
        <f t="array" ref="BK129">IF(AI129=VLOOKUP(VALUE(AI$1),{Questions[#],Questions[Answer]},2,FALSE),1,0)</f>
        <v/>
      </c>
      <c r="BL129" s="41">
        <f t="array" ref="BL129">IF(AJ129=VLOOKUP(VALUE(AJ$1),{Questions[#],Questions[Answer]},2,FALSE),1,0)</f>
        <v/>
      </c>
      <c r="BM129" s="41">
        <f t="array" ref="BM129">IF(AK129=VLOOKUP(VALUE(AK$1),{Questions[#],Questions[Answer]},2,FALSE),1,0)</f>
        <v/>
      </c>
      <c r="BN129" s="41">
        <f t="array" ref="BN129">IF(AL129=VLOOKUP(VALUE(AL$1),{Questions[#],Questions[Answer]},2,FALSE),1,0)</f>
        <v/>
      </c>
    </row>
    <row r="130" ht="22.5" customHeight="1" s="93">
      <c r="A130" s="42" t="n"/>
      <c r="B130" s="41" t="n"/>
      <c r="C130" s="41" t="n"/>
      <c r="D130" s="43" t="n"/>
      <c r="E130" s="41" t="n"/>
      <c r="F130" s="41" t="n"/>
      <c r="G130" s="11">
        <f>SUM(AM130:BN130)</f>
        <v/>
      </c>
      <c r="H130" s="40">
        <f>G130/9</f>
        <v/>
      </c>
      <c r="I130" s="12">
        <f>0.5+(G130/54)</f>
        <v/>
      </c>
      <c r="J130" s="41">
        <f>COUNTIF(K130:AL130,"")</f>
        <v/>
      </c>
      <c r="K130" s="34" t="n"/>
      <c r="L130" s="35" t="n"/>
      <c r="M130" s="35" t="n"/>
      <c r="N130" s="35" t="n"/>
      <c r="O130" s="35" t="n"/>
      <c r="P130" s="35" t="n"/>
      <c r="Q130" s="35" t="n"/>
      <c r="R130" s="35" t="n"/>
      <c r="S130" s="35" t="n"/>
      <c r="T130" s="35" t="n"/>
      <c r="U130" s="35" t="n"/>
      <c r="V130" s="35" t="n"/>
      <c r="W130" s="35" t="n"/>
      <c r="X130" s="41" t="n"/>
      <c r="Y130" s="35" t="n"/>
      <c r="Z130" s="35" t="n"/>
      <c r="AA130" s="35" t="n"/>
      <c r="AB130" s="35" t="n"/>
      <c r="AC130" s="35" t="n"/>
      <c r="AD130" s="35" t="n"/>
      <c r="AE130" s="41" t="n"/>
      <c r="AF130" s="35" t="n"/>
      <c r="AG130" s="35" t="n"/>
      <c r="AH130" s="35" t="n"/>
      <c r="AI130" s="35" t="n"/>
      <c r="AJ130" s="35" t="n"/>
      <c r="AK130" s="35" t="n"/>
      <c r="AL130" s="38" t="n"/>
      <c r="AM130" s="19">
        <f t="array" ref="AM130">IF(K130=VLOOKUP(VALUE(K$1),{Questions[#],Questions[Answer]},2,FALSE),1,0)</f>
        <v/>
      </c>
      <c r="AN130" s="41">
        <f t="array" ref="AN130">IF(L130=VLOOKUP(VALUE(L$1),{Questions[#],Questions[Answer]},2,FALSE),1,0)</f>
        <v/>
      </c>
      <c r="AO130" s="41">
        <f t="array" ref="AO130">IF(M130=VLOOKUP(VALUE(M$1),{Questions[#],Questions[Answer]},2,FALSE),1,0)</f>
        <v/>
      </c>
      <c r="AP130" s="41">
        <f t="array" ref="AP130">IF(N130=VLOOKUP(VALUE(N$1),{Questions[#],Questions[Answer]},2,FALSE),1,0)</f>
        <v/>
      </c>
      <c r="AQ130" s="41">
        <f t="array" ref="AQ130">IF(O130=VLOOKUP(VALUE(O$1),{Questions[#],Questions[Answer]},2,FALSE),1,0)</f>
        <v/>
      </c>
      <c r="AR130" s="41">
        <f t="array" ref="AR130">IF(P130=VLOOKUP(VALUE(P$1),{Questions[#],Questions[Answer]},2,FALSE),1,0)</f>
        <v/>
      </c>
      <c r="AS130" s="41">
        <f t="array" ref="AS130">IF(Q130=VLOOKUP(VALUE(Q$1),{Questions[#],Questions[Answer]},2,FALSE),1,0)</f>
        <v/>
      </c>
      <c r="AT130" s="41">
        <f t="array" ref="AT130">IF(R130=VLOOKUP(VALUE(R$1),{Questions[#],Questions[Answer]},2,FALSE),1,0)</f>
        <v/>
      </c>
      <c r="AU130" s="41">
        <f t="array" ref="AU130">IF(S130=VLOOKUP(VALUE(S$1),{Questions[#],Questions[Answer]},2,FALSE),1,0)</f>
        <v/>
      </c>
      <c r="AV130" s="41">
        <f t="array" ref="AV130">IF(T130=VLOOKUP(VALUE(T$1),{Questions[#],Questions[Answer]},2,FALSE),1,0)</f>
        <v/>
      </c>
      <c r="AW130" s="41">
        <f t="array" ref="AW130">IF(U130=VLOOKUP(VALUE(U$1),{Questions[#],Questions[Answer]},2,FALSE),1,0)</f>
        <v/>
      </c>
      <c r="AX130" s="41">
        <f t="array" ref="AX130">IF(V130=VLOOKUP(VALUE(V$1),{Questions[#],Questions[Answer]},2,FALSE),1,0)</f>
        <v/>
      </c>
      <c r="AY130" s="41">
        <f t="array" ref="AY130">IF(W130=VLOOKUP(VALUE(W$1),{Questions[#],Questions[Answer]},2,FALSE),1,0)</f>
        <v/>
      </c>
      <c r="AZ130" s="41">
        <f t="array" ref="AZ130">IF(X130=VLOOKUP(VALUE(X$1),{Questions[#],Questions[Answer]},2,FALSE),1,0)</f>
        <v/>
      </c>
      <c r="BA130" s="41">
        <f t="array" ref="BA130">IF(Y130=VLOOKUP(VALUE(Y$1),{Questions[#],Questions[Answer]},2,FALSE),1,0)</f>
        <v/>
      </c>
      <c r="BB130" s="41">
        <f t="array" ref="BB130">IF(Z130=VLOOKUP(VALUE(Z$1),{Questions[#],Questions[Answer]},2,FALSE),1,0)</f>
        <v/>
      </c>
      <c r="BC130" s="41">
        <f t="array" ref="BC130">IF(AA130=VLOOKUP(VALUE(AA$1),{Questions[#],Questions[Answer]},2,FALSE),1,0)</f>
        <v/>
      </c>
      <c r="BD130" s="41">
        <f t="array" ref="BD130">IF(AB130=VLOOKUP(VALUE(AB$1),{Questions[#],Questions[Answer]},2,FALSE),1,0)</f>
        <v/>
      </c>
      <c r="BE130" s="41">
        <f t="array" ref="BE130">IF(AC130=VLOOKUP(VALUE(AC$1),{Questions[#],Questions[Answer]},2,FALSE),1,0)</f>
        <v/>
      </c>
      <c r="BF130" s="41">
        <f t="array" ref="BF130">IF(AD130=VLOOKUP(VALUE(AD$1),{Questions[#],Questions[Answer]},2,FALSE),1,0)</f>
        <v/>
      </c>
      <c r="BG130" s="41">
        <f t="array" ref="BG130">IF(AE130=VLOOKUP(VALUE(AE$1),{Questions[#],Questions[Answer]},2,FALSE),1,0)</f>
        <v/>
      </c>
      <c r="BH130" s="41">
        <f t="array" ref="BH130">IF(AF130=VLOOKUP(VALUE(AF$1),{Questions[#],Questions[Answer]},2,FALSE),1,0)</f>
        <v/>
      </c>
      <c r="BI130" s="41">
        <f t="array" ref="BI130">IF(AG130=VLOOKUP(VALUE(AG$1),{Questions[#],Questions[Answer]},2,FALSE),1,0)</f>
        <v/>
      </c>
      <c r="BJ130" s="41">
        <f t="array" ref="BJ130">IF(AH130=VLOOKUP(VALUE(AH$1),{Questions[#],Questions[Answer]},2,FALSE),1,0)</f>
        <v/>
      </c>
      <c r="BK130" s="41">
        <f t="array" ref="BK130">IF(AI130=VLOOKUP(VALUE(AI$1),{Questions[#],Questions[Answer]},2,FALSE),1,0)</f>
        <v/>
      </c>
      <c r="BL130" s="41">
        <f t="array" ref="BL130">IF(AJ130=VLOOKUP(VALUE(AJ$1),{Questions[#],Questions[Answer]},2,FALSE),1,0)</f>
        <v/>
      </c>
      <c r="BM130" s="41">
        <f t="array" ref="BM130">IF(AK130=VLOOKUP(VALUE(AK$1),{Questions[#],Questions[Answer]},2,FALSE),1,0)</f>
        <v/>
      </c>
      <c r="BN130" s="41">
        <f t="array" ref="BN130">IF(AL130=VLOOKUP(VALUE(AL$1),{Questions[#],Questions[Answer]},2,FALSE),1,0)</f>
        <v/>
      </c>
    </row>
    <row r="131" ht="22.5" customHeight="1" s="93">
      <c r="A131" s="42" t="n"/>
      <c r="B131" s="41" t="n"/>
      <c r="C131" s="41" t="n"/>
      <c r="D131" s="43" t="n"/>
      <c r="E131" s="41" t="n"/>
      <c r="F131" s="41" t="n"/>
      <c r="G131" s="11">
        <f>SUM(AM131:BN131)</f>
        <v/>
      </c>
      <c r="H131" s="40">
        <f>G131/9</f>
        <v/>
      </c>
      <c r="I131" s="12">
        <f>0.5+(G131/54)</f>
        <v/>
      </c>
      <c r="J131" s="41">
        <f>COUNTIF(K131:AL131,"")</f>
        <v/>
      </c>
      <c r="K131" s="34" t="n"/>
      <c r="L131" s="35" t="n"/>
      <c r="M131" s="35" t="n"/>
      <c r="N131" s="35" t="n"/>
      <c r="O131" s="35" t="n"/>
      <c r="P131" s="35" t="n"/>
      <c r="Q131" s="35" t="n"/>
      <c r="R131" s="35" t="n"/>
      <c r="S131" s="35" t="n"/>
      <c r="T131" s="35" t="n"/>
      <c r="U131" s="35" t="n"/>
      <c r="V131" s="35" t="n"/>
      <c r="W131" s="35" t="n"/>
      <c r="X131" s="41" t="n"/>
      <c r="Y131" s="35" t="n"/>
      <c r="Z131" s="35" t="n"/>
      <c r="AA131" s="35" t="n"/>
      <c r="AB131" s="35" t="n"/>
      <c r="AC131" s="35" t="n"/>
      <c r="AD131" s="35" t="n"/>
      <c r="AE131" s="41" t="n"/>
      <c r="AF131" s="35" t="n"/>
      <c r="AG131" s="35" t="n"/>
      <c r="AH131" s="35" t="n"/>
      <c r="AI131" s="35" t="n"/>
      <c r="AJ131" s="35" t="n"/>
      <c r="AK131" s="35" t="n"/>
      <c r="AL131" s="38" t="n"/>
      <c r="AM131" s="19">
        <f t="array" ref="AM131">IF(K131=VLOOKUP(VALUE(K$1),{Questions[#],Questions[Answer]},2,FALSE),1,0)</f>
        <v/>
      </c>
      <c r="AN131" s="41">
        <f t="array" ref="AN131">IF(L131=VLOOKUP(VALUE(L$1),{Questions[#],Questions[Answer]},2,FALSE),1,0)</f>
        <v/>
      </c>
      <c r="AO131" s="41">
        <f t="array" ref="AO131">IF(M131=VLOOKUP(VALUE(M$1),{Questions[#],Questions[Answer]},2,FALSE),1,0)</f>
        <v/>
      </c>
      <c r="AP131" s="41">
        <f t="array" ref="AP131">IF(N131=VLOOKUP(VALUE(N$1),{Questions[#],Questions[Answer]},2,FALSE),1,0)</f>
        <v/>
      </c>
      <c r="AQ131" s="41">
        <f t="array" ref="AQ131">IF(O131=VLOOKUP(VALUE(O$1),{Questions[#],Questions[Answer]},2,FALSE),1,0)</f>
        <v/>
      </c>
      <c r="AR131" s="41">
        <f t="array" ref="AR131">IF(P131=VLOOKUP(VALUE(P$1),{Questions[#],Questions[Answer]},2,FALSE),1,0)</f>
        <v/>
      </c>
      <c r="AS131" s="41">
        <f t="array" ref="AS131">IF(Q131=VLOOKUP(VALUE(Q$1),{Questions[#],Questions[Answer]},2,FALSE),1,0)</f>
        <v/>
      </c>
      <c r="AT131" s="41">
        <f t="array" ref="AT131">IF(R131=VLOOKUP(VALUE(R$1),{Questions[#],Questions[Answer]},2,FALSE),1,0)</f>
        <v/>
      </c>
      <c r="AU131" s="41">
        <f t="array" ref="AU131">IF(S131=VLOOKUP(VALUE(S$1),{Questions[#],Questions[Answer]},2,FALSE),1,0)</f>
        <v/>
      </c>
      <c r="AV131" s="41">
        <f t="array" ref="AV131">IF(T131=VLOOKUP(VALUE(T$1),{Questions[#],Questions[Answer]},2,FALSE),1,0)</f>
        <v/>
      </c>
      <c r="AW131" s="41">
        <f t="array" ref="AW131">IF(U131=VLOOKUP(VALUE(U$1),{Questions[#],Questions[Answer]},2,FALSE),1,0)</f>
        <v/>
      </c>
      <c r="AX131" s="41">
        <f t="array" ref="AX131">IF(V131=VLOOKUP(VALUE(V$1),{Questions[#],Questions[Answer]},2,FALSE),1,0)</f>
        <v/>
      </c>
      <c r="AY131" s="41">
        <f t="array" ref="AY131">IF(W131=VLOOKUP(VALUE(W$1),{Questions[#],Questions[Answer]},2,FALSE),1,0)</f>
        <v/>
      </c>
      <c r="AZ131" s="41">
        <f t="array" ref="AZ131">IF(X131=VLOOKUP(VALUE(X$1),{Questions[#],Questions[Answer]},2,FALSE),1,0)</f>
        <v/>
      </c>
      <c r="BA131" s="41">
        <f t="array" ref="BA131">IF(Y131=VLOOKUP(VALUE(Y$1),{Questions[#],Questions[Answer]},2,FALSE),1,0)</f>
        <v/>
      </c>
      <c r="BB131" s="41">
        <f t="array" ref="BB131">IF(Z131=VLOOKUP(VALUE(Z$1),{Questions[#],Questions[Answer]},2,FALSE),1,0)</f>
        <v/>
      </c>
      <c r="BC131" s="41">
        <f t="array" ref="BC131">IF(AA131=VLOOKUP(VALUE(AA$1),{Questions[#],Questions[Answer]},2,FALSE),1,0)</f>
        <v/>
      </c>
      <c r="BD131" s="41">
        <f t="array" ref="BD131">IF(AB131=VLOOKUP(VALUE(AB$1),{Questions[#],Questions[Answer]},2,FALSE),1,0)</f>
        <v/>
      </c>
      <c r="BE131" s="41">
        <f t="array" ref="BE131">IF(AC131=VLOOKUP(VALUE(AC$1),{Questions[#],Questions[Answer]},2,FALSE),1,0)</f>
        <v/>
      </c>
      <c r="BF131" s="41">
        <f t="array" ref="BF131">IF(AD131=VLOOKUP(VALUE(AD$1),{Questions[#],Questions[Answer]},2,FALSE),1,0)</f>
        <v/>
      </c>
      <c r="BG131" s="41">
        <f t="array" ref="BG131">IF(AE131=VLOOKUP(VALUE(AE$1),{Questions[#],Questions[Answer]},2,FALSE),1,0)</f>
        <v/>
      </c>
      <c r="BH131" s="41">
        <f t="array" ref="BH131">IF(AF131=VLOOKUP(VALUE(AF$1),{Questions[#],Questions[Answer]},2,FALSE),1,0)</f>
        <v/>
      </c>
      <c r="BI131" s="41">
        <f t="array" ref="BI131">IF(AG131=VLOOKUP(VALUE(AG$1),{Questions[#],Questions[Answer]},2,FALSE),1,0)</f>
        <v/>
      </c>
      <c r="BJ131" s="41">
        <f t="array" ref="BJ131">IF(AH131=VLOOKUP(VALUE(AH$1),{Questions[#],Questions[Answer]},2,FALSE),1,0)</f>
        <v/>
      </c>
      <c r="BK131" s="41">
        <f t="array" ref="BK131">IF(AI131=VLOOKUP(VALUE(AI$1),{Questions[#],Questions[Answer]},2,FALSE),1,0)</f>
        <v/>
      </c>
      <c r="BL131" s="41">
        <f t="array" ref="BL131">IF(AJ131=VLOOKUP(VALUE(AJ$1),{Questions[#],Questions[Answer]},2,FALSE),1,0)</f>
        <v/>
      </c>
      <c r="BM131" s="41">
        <f t="array" ref="BM131">IF(AK131=VLOOKUP(VALUE(AK$1),{Questions[#],Questions[Answer]},2,FALSE),1,0)</f>
        <v/>
      </c>
      <c r="BN131" s="41">
        <f t="array" ref="BN131">IF(AL131=VLOOKUP(VALUE(AL$1),{Questions[#],Questions[Answer]},2,FALSE),1,0)</f>
        <v/>
      </c>
    </row>
    <row r="132" ht="22.5" customHeight="1" s="93">
      <c r="A132" s="42" t="n"/>
      <c r="B132" s="41" t="n"/>
      <c r="C132" s="41" t="n"/>
      <c r="D132" s="43" t="n"/>
      <c r="E132" s="41" t="n"/>
      <c r="F132" s="41" t="n"/>
      <c r="G132" s="11">
        <f>SUM(AM132:BN132)</f>
        <v/>
      </c>
      <c r="H132" s="40">
        <f>G132/9</f>
        <v/>
      </c>
      <c r="I132" s="12">
        <f>0.5+(G132/54)</f>
        <v/>
      </c>
      <c r="J132" s="41">
        <f>COUNTIF(K132:AL132,"")</f>
        <v/>
      </c>
      <c r="K132" s="34" t="n"/>
      <c r="L132" s="35" t="n"/>
      <c r="M132" s="35" t="n"/>
      <c r="N132" s="35" t="n"/>
      <c r="O132" s="35" t="n"/>
      <c r="P132" s="35" t="n"/>
      <c r="Q132" s="35" t="n"/>
      <c r="R132" s="35" t="n"/>
      <c r="S132" s="35" t="n"/>
      <c r="T132" s="35" t="n"/>
      <c r="U132" s="35" t="n"/>
      <c r="V132" s="35" t="n"/>
      <c r="W132" s="35" t="n"/>
      <c r="X132" s="41" t="n"/>
      <c r="Y132" s="35" t="n"/>
      <c r="Z132" s="35" t="n"/>
      <c r="AA132" s="35" t="n"/>
      <c r="AB132" s="35" t="n"/>
      <c r="AC132" s="35" t="n"/>
      <c r="AD132" s="35" t="n"/>
      <c r="AE132" s="41" t="n"/>
      <c r="AF132" s="35" t="n"/>
      <c r="AG132" s="35" t="n"/>
      <c r="AH132" s="35" t="n"/>
      <c r="AI132" s="35" t="n"/>
      <c r="AJ132" s="35" t="n"/>
      <c r="AK132" s="35" t="n"/>
      <c r="AL132" s="38" t="n"/>
      <c r="AM132" s="19">
        <f t="array" ref="AM132">IF(K132=VLOOKUP(VALUE(K$1),{Questions[#],Questions[Answer]},2,FALSE),1,0)</f>
        <v/>
      </c>
      <c r="AN132" s="41">
        <f t="array" ref="AN132">IF(L132=VLOOKUP(VALUE(L$1),{Questions[#],Questions[Answer]},2,FALSE),1,0)</f>
        <v/>
      </c>
      <c r="AO132" s="41">
        <f t="array" ref="AO132">IF(M132=VLOOKUP(VALUE(M$1),{Questions[#],Questions[Answer]},2,FALSE),1,0)</f>
        <v/>
      </c>
      <c r="AP132" s="41">
        <f t="array" ref="AP132">IF(N132=VLOOKUP(VALUE(N$1),{Questions[#],Questions[Answer]},2,FALSE),1,0)</f>
        <v/>
      </c>
      <c r="AQ132" s="41">
        <f t="array" ref="AQ132">IF(O132=VLOOKUP(VALUE(O$1),{Questions[#],Questions[Answer]},2,FALSE),1,0)</f>
        <v/>
      </c>
      <c r="AR132" s="41">
        <f t="array" ref="AR132">IF(P132=VLOOKUP(VALUE(P$1),{Questions[#],Questions[Answer]},2,FALSE),1,0)</f>
        <v/>
      </c>
      <c r="AS132" s="41">
        <f t="array" ref="AS132">IF(Q132=VLOOKUP(VALUE(Q$1),{Questions[#],Questions[Answer]},2,FALSE),1,0)</f>
        <v/>
      </c>
      <c r="AT132" s="41">
        <f t="array" ref="AT132">IF(R132=VLOOKUP(VALUE(R$1),{Questions[#],Questions[Answer]},2,FALSE),1,0)</f>
        <v/>
      </c>
      <c r="AU132" s="41">
        <f t="array" ref="AU132">IF(S132=VLOOKUP(VALUE(S$1),{Questions[#],Questions[Answer]},2,FALSE),1,0)</f>
        <v/>
      </c>
      <c r="AV132" s="41">
        <f t="array" ref="AV132">IF(T132=VLOOKUP(VALUE(T$1),{Questions[#],Questions[Answer]},2,FALSE),1,0)</f>
        <v/>
      </c>
      <c r="AW132" s="41">
        <f t="array" ref="AW132">IF(U132=VLOOKUP(VALUE(U$1),{Questions[#],Questions[Answer]},2,FALSE),1,0)</f>
        <v/>
      </c>
      <c r="AX132" s="41">
        <f t="array" ref="AX132">IF(V132=VLOOKUP(VALUE(V$1),{Questions[#],Questions[Answer]},2,FALSE),1,0)</f>
        <v/>
      </c>
      <c r="AY132" s="41">
        <f t="array" ref="AY132">IF(W132=VLOOKUP(VALUE(W$1),{Questions[#],Questions[Answer]},2,FALSE),1,0)</f>
        <v/>
      </c>
      <c r="AZ132" s="41">
        <f t="array" ref="AZ132">IF(X132=VLOOKUP(VALUE(X$1),{Questions[#],Questions[Answer]},2,FALSE),1,0)</f>
        <v/>
      </c>
      <c r="BA132" s="41">
        <f t="array" ref="BA132">IF(Y132=VLOOKUP(VALUE(Y$1),{Questions[#],Questions[Answer]},2,FALSE),1,0)</f>
        <v/>
      </c>
      <c r="BB132" s="41">
        <f t="array" ref="BB132">IF(Z132=VLOOKUP(VALUE(Z$1),{Questions[#],Questions[Answer]},2,FALSE),1,0)</f>
        <v/>
      </c>
      <c r="BC132" s="41">
        <f t="array" ref="BC132">IF(AA132=VLOOKUP(VALUE(AA$1),{Questions[#],Questions[Answer]},2,FALSE),1,0)</f>
        <v/>
      </c>
      <c r="BD132" s="41">
        <f t="array" ref="BD132">IF(AB132=VLOOKUP(VALUE(AB$1),{Questions[#],Questions[Answer]},2,FALSE),1,0)</f>
        <v/>
      </c>
      <c r="BE132" s="41">
        <f t="array" ref="BE132">IF(AC132=VLOOKUP(VALUE(AC$1),{Questions[#],Questions[Answer]},2,FALSE),1,0)</f>
        <v/>
      </c>
      <c r="BF132" s="41">
        <f t="array" ref="BF132">IF(AD132=VLOOKUP(VALUE(AD$1),{Questions[#],Questions[Answer]},2,FALSE),1,0)</f>
        <v/>
      </c>
      <c r="BG132" s="41">
        <f t="array" ref="BG132">IF(AE132=VLOOKUP(VALUE(AE$1),{Questions[#],Questions[Answer]},2,FALSE),1,0)</f>
        <v/>
      </c>
      <c r="BH132" s="41">
        <f t="array" ref="BH132">IF(AF132=VLOOKUP(VALUE(AF$1),{Questions[#],Questions[Answer]},2,FALSE),1,0)</f>
        <v/>
      </c>
      <c r="BI132" s="41">
        <f t="array" ref="BI132">IF(AG132=VLOOKUP(VALUE(AG$1),{Questions[#],Questions[Answer]},2,FALSE),1,0)</f>
        <v/>
      </c>
      <c r="BJ132" s="41">
        <f t="array" ref="BJ132">IF(AH132=VLOOKUP(VALUE(AH$1),{Questions[#],Questions[Answer]},2,FALSE),1,0)</f>
        <v/>
      </c>
      <c r="BK132" s="41">
        <f t="array" ref="BK132">IF(AI132=VLOOKUP(VALUE(AI$1),{Questions[#],Questions[Answer]},2,FALSE),1,0)</f>
        <v/>
      </c>
      <c r="BL132" s="41">
        <f t="array" ref="BL132">IF(AJ132=VLOOKUP(VALUE(AJ$1),{Questions[#],Questions[Answer]},2,FALSE),1,0)</f>
        <v/>
      </c>
      <c r="BM132" s="41">
        <f t="array" ref="BM132">IF(AK132=VLOOKUP(VALUE(AK$1),{Questions[#],Questions[Answer]},2,FALSE),1,0)</f>
        <v/>
      </c>
      <c r="BN132" s="41">
        <f t="array" ref="BN132">IF(AL132=VLOOKUP(VALUE(AL$1),{Questions[#],Questions[Answer]},2,FALSE),1,0)</f>
        <v/>
      </c>
    </row>
    <row r="133" ht="22.5" customHeight="1" s="93">
      <c r="A133" s="42" t="n"/>
      <c r="B133" s="41" t="n"/>
      <c r="C133" s="41" t="n"/>
      <c r="D133" s="43" t="n"/>
      <c r="E133" s="41" t="n"/>
      <c r="F133" s="41" t="n"/>
      <c r="G133" s="11">
        <f>SUM(AM133:BN133)</f>
        <v/>
      </c>
      <c r="H133" s="40">
        <f>G133/9</f>
        <v/>
      </c>
      <c r="I133" s="12">
        <f>0.5+(G133/54)</f>
        <v/>
      </c>
      <c r="J133" s="41">
        <f>COUNTIF(K133:AL133,"")</f>
        <v/>
      </c>
      <c r="K133" s="34" t="n"/>
      <c r="L133" s="35" t="n"/>
      <c r="M133" s="35" t="n"/>
      <c r="N133" s="35" t="n"/>
      <c r="O133" s="35" t="n"/>
      <c r="P133" s="35" t="n"/>
      <c r="Q133" s="35" t="n"/>
      <c r="R133" s="35" t="n"/>
      <c r="S133" s="35" t="n"/>
      <c r="T133" s="35" t="n"/>
      <c r="U133" s="35" t="n"/>
      <c r="V133" s="35" t="n"/>
      <c r="W133" s="35" t="n"/>
      <c r="X133" s="41" t="n"/>
      <c r="Y133" s="35" t="n"/>
      <c r="Z133" s="35" t="n"/>
      <c r="AA133" s="35" t="n"/>
      <c r="AB133" s="35" t="n"/>
      <c r="AC133" s="35" t="n"/>
      <c r="AD133" s="35" t="n"/>
      <c r="AE133" s="41" t="n"/>
      <c r="AF133" s="35" t="n"/>
      <c r="AG133" s="35" t="n"/>
      <c r="AH133" s="35" t="n"/>
      <c r="AI133" s="35" t="n"/>
      <c r="AJ133" s="35" t="n"/>
      <c r="AK133" s="35" t="n"/>
      <c r="AL133" s="38" t="n"/>
      <c r="AM133" s="19">
        <f t="array" ref="AM133">IF(K133=VLOOKUP(VALUE(K$1),{Questions[#],Questions[Answer]},2,FALSE),1,0)</f>
        <v/>
      </c>
      <c r="AN133" s="41">
        <f t="array" ref="AN133">IF(L133=VLOOKUP(VALUE(L$1),{Questions[#],Questions[Answer]},2,FALSE),1,0)</f>
        <v/>
      </c>
      <c r="AO133" s="41">
        <f t="array" ref="AO133">IF(M133=VLOOKUP(VALUE(M$1),{Questions[#],Questions[Answer]},2,FALSE),1,0)</f>
        <v/>
      </c>
      <c r="AP133" s="41">
        <f t="array" ref="AP133">IF(N133=VLOOKUP(VALUE(N$1),{Questions[#],Questions[Answer]},2,FALSE),1,0)</f>
        <v/>
      </c>
      <c r="AQ133" s="41">
        <f t="array" ref="AQ133">IF(O133=VLOOKUP(VALUE(O$1),{Questions[#],Questions[Answer]},2,FALSE),1,0)</f>
        <v/>
      </c>
      <c r="AR133" s="41">
        <f t="array" ref="AR133">IF(P133=VLOOKUP(VALUE(P$1),{Questions[#],Questions[Answer]},2,FALSE),1,0)</f>
        <v/>
      </c>
      <c r="AS133" s="41">
        <f t="array" ref="AS133">IF(Q133=VLOOKUP(VALUE(Q$1),{Questions[#],Questions[Answer]},2,FALSE),1,0)</f>
        <v/>
      </c>
      <c r="AT133" s="41">
        <f t="array" ref="AT133">IF(R133=VLOOKUP(VALUE(R$1),{Questions[#],Questions[Answer]},2,FALSE),1,0)</f>
        <v/>
      </c>
      <c r="AU133" s="41">
        <f t="array" ref="AU133">IF(S133=VLOOKUP(VALUE(S$1),{Questions[#],Questions[Answer]},2,FALSE),1,0)</f>
        <v/>
      </c>
      <c r="AV133" s="41">
        <f t="array" ref="AV133">IF(T133=VLOOKUP(VALUE(T$1),{Questions[#],Questions[Answer]},2,FALSE),1,0)</f>
        <v/>
      </c>
      <c r="AW133" s="41">
        <f t="array" ref="AW133">IF(U133=VLOOKUP(VALUE(U$1),{Questions[#],Questions[Answer]},2,FALSE),1,0)</f>
        <v/>
      </c>
      <c r="AX133" s="41">
        <f t="array" ref="AX133">IF(V133=VLOOKUP(VALUE(V$1),{Questions[#],Questions[Answer]},2,FALSE),1,0)</f>
        <v/>
      </c>
      <c r="AY133" s="41">
        <f t="array" ref="AY133">IF(W133=VLOOKUP(VALUE(W$1),{Questions[#],Questions[Answer]},2,FALSE),1,0)</f>
        <v/>
      </c>
      <c r="AZ133" s="41">
        <f t="array" ref="AZ133">IF(X133=VLOOKUP(VALUE(X$1),{Questions[#],Questions[Answer]},2,FALSE),1,0)</f>
        <v/>
      </c>
      <c r="BA133" s="41">
        <f t="array" ref="BA133">IF(Y133=VLOOKUP(VALUE(Y$1),{Questions[#],Questions[Answer]},2,FALSE),1,0)</f>
        <v/>
      </c>
      <c r="BB133" s="41">
        <f t="array" ref="BB133">IF(Z133=VLOOKUP(VALUE(Z$1),{Questions[#],Questions[Answer]},2,FALSE),1,0)</f>
        <v/>
      </c>
      <c r="BC133" s="41">
        <f t="array" ref="BC133">IF(AA133=VLOOKUP(VALUE(AA$1),{Questions[#],Questions[Answer]},2,FALSE),1,0)</f>
        <v/>
      </c>
      <c r="BD133" s="41">
        <f t="array" ref="BD133">IF(AB133=VLOOKUP(VALUE(AB$1),{Questions[#],Questions[Answer]},2,FALSE),1,0)</f>
        <v/>
      </c>
      <c r="BE133" s="41">
        <f t="array" ref="BE133">IF(AC133=VLOOKUP(VALUE(AC$1),{Questions[#],Questions[Answer]},2,FALSE),1,0)</f>
        <v/>
      </c>
      <c r="BF133" s="41">
        <f t="array" ref="BF133">IF(AD133=VLOOKUP(VALUE(AD$1),{Questions[#],Questions[Answer]},2,FALSE),1,0)</f>
        <v/>
      </c>
      <c r="BG133" s="41">
        <f t="array" ref="BG133">IF(AE133=VLOOKUP(VALUE(AE$1),{Questions[#],Questions[Answer]},2,FALSE),1,0)</f>
        <v/>
      </c>
      <c r="BH133" s="41">
        <f t="array" ref="BH133">IF(AF133=VLOOKUP(VALUE(AF$1),{Questions[#],Questions[Answer]},2,FALSE),1,0)</f>
        <v/>
      </c>
      <c r="BI133" s="41">
        <f t="array" ref="BI133">IF(AG133=VLOOKUP(VALUE(AG$1),{Questions[#],Questions[Answer]},2,FALSE),1,0)</f>
        <v/>
      </c>
      <c r="BJ133" s="41">
        <f t="array" ref="BJ133">IF(AH133=VLOOKUP(VALUE(AH$1),{Questions[#],Questions[Answer]},2,FALSE),1,0)</f>
        <v/>
      </c>
      <c r="BK133" s="41">
        <f t="array" ref="BK133">IF(AI133=VLOOKUP(VALUE(AI$1),{Questions[#],Questions[Answer]},2,FALSE),1,0)</f>
        <v/>
      </c>
      <c r="BL133" s="41">
        <f t="array" ref="BL133">IF(AJ133=VLOOKUP(VALUE(AJ$1),{Questions[#],Questions[Answer]},2,FALSE),1,0)</f>
        <v/>
      </c>
      <c r="BM133" s="41">
        <f t="array" ref="BM133">IF(AK133=VLOOKUP(VALUE(AK$1),{Questions[#],Questions[Answer]},2,FALSE),1,0)</f>
        <v/>
      </c>
      <c r="BN133" s="41">
        <f t="array" ref="BN133">IF(AL133=VLOOKUP(VALUE(AL$1),{Questions[#],Questions[Answer]},2,FALSE),1,0)</f>
        <v/>
      </c>
    </row>
    <row r="134" ht="22.5" customHeight="1" s="93">
      <c r="A134" s="42" t="n"/>
      <c r="B134" s="41" t="n"/>
      <c r="C134" s="41" t="n"/>
      <c r="D134" s="43" t="n"/>
      <c r="E134" s="41" t="n"/>
      <c r="F134" s="41" t="n"/>
      <c r="G134" s="11">
        <f>SUM(AM134:BN134)</f>
        <v/>
      </c>
      <c r="H134" s="40">
        <f>G134/9</f>
        <v/>
      </c>
      <c r="I134" s="12">
        <f>0.5+(G134/54)</f>
        <v/>
      </c>
      <c r="J134" s="41">
        <f>COUNTIF(K134:AL134,"")</f>
        <v/>
      </c>
      <c r="K134" s="34" t="n"/>
      <c r="L134" s="35" t="n"/>
      <c r="M134" s="35" t="n"/>
      <c r="N134" s="35" t="n"/>
      <c r="O134" s="35" t="n"/>
      <c r="P134" s="35" t="n"/>
      <c r="Q134" s="35" t="n"/>
      <c r="R134" s="35" t="n"/>
      <c r="S134" s="35" t="n"/>
      <c r="T134" s="35" t="n"/>
      <c r="U134" s="35" t="n"/>
      <c r="V134" s="35" t="n"/>
      <c r="W134" s="35" t="n"/>
      <c r="X134" s="41" t="n"/>
      <c r="Y134" s="35" t="n"/>
      <c r="Z134" s="35" t="n"/>
      <c r="AA134" s="35" t="n"/>
      <c r="AB134" s="35" t="n"/>
      <c r="AC134" s="35" t="n"/>
      <c r="AD134" s="35" t="n"/>
      <c r="AE134" s="41" t="n"/>
      <c r="AF134" s="35" t="n"/>
      <c r="AG134" s="35" t="n"/>
      <c r="AH134" s="35" t="n"/>
      <c r="AI134" s="35" t="n"/>
      <c r="AJ134" s="35" t="n"/>
      <c r="AK134" s="35" t="n"/>
      <c r="AL134" s="38" t="n"/>
      <c r="AM134" s="19">
        <f t="array" ref="AM134">IF(K134=VLOOKUP(VALUE(K$1),{Questions[#],Questions[Answer]},2,FALSE),1,0)</f>
        <v/>
      </c>
      <c r="AN134" s="41">
        <f t="array" ref="AN134">IF(L134=VLOOKUP(VALUE(L$1),{Questions[#],Questions[Answer]},2,FALSE),1,0)</f>
        <v/>
      </c>
      <c r="AO134" s="41">
        <f t="array" ref="AO134">IF(M134=VLOOKUP(VALUE(M$1),{Questions[#],Questions[Answer]},2,FALSE),1,0)</f>
        <v/>
      </c>
      <c r="AP134" s="41">
        <f t="array" ref="AP134">IF(N134=VLOOKUP(VALUE(N$1),{Questions[#],Questions[Answer]},2,FALSE),1,0)</f>
        <v/>
      </c>
      <c r="AQ134" s="41">
        <f t="array" ref="AQ134">IF(O134=VLOOKUP(VALUE(O$1),{Questions[#],Questions[Answer]},2,FALSE),1,0)</f>
        <v/>
      </c>
      <c r="AR134" s="41">
        <f t="array" ref="AR134">IF(P134=VLOOKUP(VALUE(P$1),{Questions[#],Questions[Answer]},2,FALSE),1,0)</f>
        <v/>
      </c>
      <c r="AS134" s="41">
        <f t="array" ref="AS134">IF(Q134=VLOOKUP(VALUE(Q$1),{Questions[#],Questions[Answer]},2,FALSE),1,0)</f>
        <v/>
      </c>
      <c r="AT134" s="41">
        <f t="array" ref="AT134">IF(R134=VLOOKUP(VALUE(R$1),{Questions[#],Questions[Answer]},2,FALSE),1,0)</f>
        <v/>
      </c>
      <c r="AU134" s="41">
        <f t="array" ref="AU134">IF(S134=VLOOKUP(VALUE(S$1),{Questions[#],Questions[Answer]},2,FALSE),1,0)</f>
        <v/>
      </c>
      <c r="AV134" s="41">
        <f t="array" ref="AV134">IF(T134=VLOOKUP(VALUE(T$1),{Questions[#],Questions[Answer]},2,FALSE),1,0)</f>
        <v/>
      </c>
      <c r="AW134" s="41">
        <f t="array" ref="AW134">IF(U134=VLOOKUP(VALUE(U$1),{Questions[#],Questions[Answer]},2,FALSE),1,0)</f>
        <v/>
      </c>
      <c r="AX134" s="41">
        <f t="array" ref="AX134">IF(V134=VLOOKUP(VALUE(V$1),{Questions[#],Questions[Answer]},2,FALSE),1,0)</f>
        <v/>
      </c>
      <c r="AY134" s="41">
        <f t="array" ref="AY134">IF(W134=VLOOKUP(VALUE(W$1),{Questions[#],Questions[Answer]},2,FALSE),1,0)</f>
        <v/>
      </c>
      <c r="AZ134" s="41">
        <f t="array" ref="AZ134">IF(X134=VLOOKUP(VALUE(X$1),{Questions[#],Questions[Answer]},2,FALSE),1,0)</f>
        <v/>
      </c>
      <c r="BA134" s="41">
        <f t="array" ref="BA134">IF(Y134=VLOOKUP(VALUE(Y$1),{Questions[#],Questions[Answer]},2,FALSE),1,0)</f>
        <v/>
      </c>
      <c r="BB134" s="41">
        <f t="array" ref="BB134">IF(Z134=VLOOKUP(VALUE(Z$1),{Questions[#],Questions[Answer]},2,FALSE),1,0)</f>
        <v/>
      </c>
      <c r="BC134" s="41">
        <f t="array" ref="BC134">IF(AA134=VLOOKUP(VALUE(AA$1),{Questions[#],Questions[Answer]},2,FALSE),1,0)</f>
        <v/>
      </c>
      <c r="BD134" s="41">
        <f t="array" ref="BD134">IF(AB134=VLOOKUP(VALUE(AB$1),{Questions[#],Questions[Answer]},2,FALSE),1,0)</f>
        <v/>
      </c>
      <c r="BE134" s="41">
        <f t="array" ref="BE134">IF(AC134=VLOOKUP(VALUE(AC$1),{Questions[#],Questions[Answer]},2,FALSE),1,0)</f>
        <v/>
      </c>
      <c r="BF134" s="41">
        <f t="array" ref="BF134">IF(AD134=VLOOKUP(VALUE(AD$1),{Questions[#],Questions[Answer]},2,FALSE),1,0)</f>
        <v/>
      </c>
      <c r="BG134" s="41">
        <f t="array" ref="BG134">IF(AE134=VLOOKUP(VALUE(AE$1),{Questions[#],Questions[Answer]},2,FALSE),1,0)</f>
        <v/>
      </c>
      <c r="BH134" s="41">
        <f t="array" ref="BH134">IF(AF134=VLOOKUP(VALUE(AF$1),{Questions[#],Questions[Answer]},2,FALSE),1,0)</f>
        <v/>
      </c>
      <c r="BI134" s="41">
        <f t="array" ref="BI134">IF(AG134=VLOOKUP(VALUE(AG$1),{Questions[#],Questions[Answer]},2,FALSE),1,0)</f>
        <v/>
      </c>
      <c r="BJ134" s="41">
        <f t="array" ref="BJ134">IF(AH134=VLOOKUP(VALUE(AH$1),{Questions[#],Questions[Answer]},2,FALSE),1,0)</f>
        <v/>
      </c>
      <c r="BK134" s="41">
        <f t="array" ref="BK134">IF(AI134=VLOOKUP(VALUE(AI$1),{Questions[#],Questions[Answer]},2,FALSE),1,0)</f>
        <v/>
      </c>
      <c r="BL134" s="41">
        <f t="array" ref="BL134">IF(AJ134=VLOOKUP(VALUE(AJ$1),{Questions[#],Questions[Answer]},2,FALSE),1,0)</f>
        <v/>
      </c>
      <c r="BM134" s="41">
        <f t="array" ref="BM134">IF(AK134=VLOOKUP(VALUE(AK$1),{Questions[#],Questions[Answer]},2,FALSE),1,0)</f>
        <v/>
      </c>
      <c r="BN134" s="41">
        <f t="array" ref="BN134">IF(AL134=VLOOKUP(VALUE(AL$1),{Questions[#],Questions[Answer]},2,FALSE),1,0)</f>
        <v/>
      </c>
    </row>
    <row r="135" ht="22.5" customHeight="1" s="93">
      <c r="A135" s="42" t="n"/>
      <c r="B135" s="41" t="n"/>
      <c r="C135" s="41" t="n"/>
      <c r="D135" s="43" t="n"/>
      <c r="E135" s="41" t="n"/>
      <c r="F135" s="41" t="n"/>
      <c r="G135" s="11">
        <f>SUM(AM135:BN135)</f>
        <v/>
      </c>
      <c r="H135" s="40">
        <f>G135/9</f>
        <v/>
      </c>
      <c r="I135" s="12">
        <f>0.5+(G135/54)</f>
        <v/>
      </c>
      <c r="J135" s="41">
        <f>COUNTIF(K135:AL135,"")</f>
        <v/>
      </c>
      <c r="K135" s="34" t="n"/>
      <c r="L135" s="35" t="n"/>
      <c r="M135" s="35" t="n"/>
      <c r="N135" s="35" t="n"/>
      <c r="O135" s="35" t="n"/>
      <c r="P135" s="35" t="n"/>
      <c r="Q135" s="35" t="n"/>
      <c r="R135" s="35" t="n"/>
      <c r="S135" s="35" t="n"/>
      <c r="T135" s="35" t="n"/>
      <c r="U135" s="35" t="n"/>
      <c r="V135" s="35" t="n"/>
      <c r="W135" s="35" t="n"/>
      <c r="X135" s="41" t="n"/>
      <c r="Y135" s="35" t="n"/>
      <c r="Z135" s="35" t="n"/>
      <c r="AA135" s="35" t="n"/>
      <c r="AB135" s="35" t="n"/>
      <c r="AC135" s="35" t="n"/>
      <c r="AD135" s="35" t="n"/>
      <c r="AE135" s="41" t="n"/>
      <c r="AF135" s="35" t="n"/>
      <c r="AG135" s="35" t="n"/>
      <c r="AH135" s="35" t="n"/>
      <c r="AI135" s="35" t="n"/>
      <c r="AJ135" s="35" t="n"/>
      <c r="AK135" s="35" t="n"/>
      <c r="AL135" s="38" t="n"/>
      <c r="AM135" s="19">
        <f t="array" ref="AM135">IF(K135=VLOOKUP(VALUE(K$1),{Questions[#],Questions[Answer]},2,FALSE),1,0)</f>
        <v/>
      </c>
      <c r="AN135" s="41">
        <f t="array" ref="AN135">IF(L135=VLOOKUP(VALUE(L$1),{Questions[#],Questions[Answer]},2,FALSE),1,0)</f>
        <v/>
      </c>
      <c r="AO135" s="41">
        <f t="array" ref="AO135">IF(M135=VLOOKUP(VALUE(M$1),{Questions[#],Questions[Answer]},2,FALSE),1,0)</f>
        <v/>
      </c>
      <c r="AP135" s="41">
        <f t="array" ref="AP135">IF(N135=VLOOKUP(VALUE(N$1),{Questions[#],Questions[Answer]},2,FALSE),1,0)</f>
        <v/>
      </c>
      <c r="AQ135" s="41">
        <f t="array" ref="AQ135">IF(O135=VLOOKUP(VALUE(O$1),{Questions[#],Questions[Answer]},2,FALSE),1,0)</f>
        <v/>
      </c>
      <c r="AR135" s="41">
        <f t="array" ref="AR135">IF(P135=VLOOKUP(VALUE(P$1),{Questions[#],Questions[Answer]},2,FALSE),1,0)</f>
        <v/>
      </c>
      <c r="AS135" s="41">
        <f t="array" ref="AS135">IF(Q135=VLOOKUP(VALUE(Q$1),{Questions[#],Questions[Answer]},2,FALSE),1,0)</f>
        <v/>
      </c>
      <c r="AT135" s="41">
        <f t="array" ref="AT135">IF(R135=VLOOKUP(VALUE(R$1),{Questions[#],Questions[Answer]},2,FALSE),1,0)</f>
        <v/>
      </c>
      <c r="AU135" s="41">
        <f t="array" ref="AU135">IF(S135=VLOOKUP(VALUE(S$1),{Questions[#],Questions[Answer]},2,FALSE),1,0)</f>
        <v/>
      </c>
      <c r="AV135" s="41">
        <f t="array" ref="AV135">IF(T135=VLOOKUP(VALUE(T$1),{Questions[#],Questions[Answer]},2,FALSE),1,0)</f>
        <v/>
      </c>
      <c r="AW135" s="41">
        <f t="array" ref="AW135">IF(U135=VLOOKUP(VALUE(U$1),{Questions[#],Questions[Answer]},2,FALSE),1,0)</f>
        <v/>
      </c>
      <c r="AX135" s="41">
        <f t="array" ref="AX135">IF(V135=VLOOKUP(VALUE(V$1),{Questions[#],Questions[Answer]},2,FALSE),1,0)</f>
        <v/>
      </c>
      <c r="AY135" s="41">
        <f t="array" ref="AY135">IF(W135=VLOOKUP(VALUE(W$1),{Questions[#],Questions[Answer]},2,FALSE),1,0)</f>
        <v/>
      </c>
      <c r="AZ135" s="41">
        <f t="array" ref="AZ135">IF(X135=VLOOKUP(VALUE(X$1),{Questions[#],Questions[Answer]},2,FALSE),1,0)</f>
        <v/>
      </c>
      <c r="BA135" s="41">
        <f t="array" ref="BA135">IF(Y135=VLOOKUP(VALUE(Y$1),{Questions[#],Questions[Answer]},2,FALSE),1,0)</f>
        <v/>
      </c>
      <c r="BB135" s="41">
        <f t="array" ref="BB135">IF(Z135=VLOOKUP(VALUE(Z$1),{Questions[#],Questions[Answer]},2,FALSE),1,0)</f>
        <v/>
      </c>
      <c r="BC135" s="41">
        <f t="array" ref="BC135">IF(AA135=VLOOKUP(VALUE(AA$1),{Questions[#],Questions[Answer]},2,FALSE),1,0)</f>
        <v/>
      </c>
      <c r="BD135" s="41">
        <f t="array" ref="BD135">IF(AB135=VLOOKUP(VALUE(AB$1),{Questions[#],Questions[Answer]},2,FALSE),1,0)</f>
        <v/>
      </c>
      <c r="BE135" s="41">
        <f t="array" ref="BE135">IF(AC135=VLOOKUP(VALUE(AC$1),{Questions[#],Questions[Answer]},2,FALSE),1,0)</f>
        <v/>
      </c>
      <c r="BF135" s="41">
        <f t="array" ref="BF135">IF(AD135=VLOOKUP(VALUE(AD$1),{Questions[#],Questions[Answer]},2,FALSE),1,0)</f>
        <v/>
      </c>
      <c r="BG135" s="41">
        <f t="array" ref="BG135">IF(AE135=VLOOKUP(VALUE(AE$1),{Questions[#],Questions[Answer]},2,FALSE),1,0)</f>
        <v/>
      </c>
      <c r="BH135" s="41">
        <f t="array" ref="BH135">IF(AF135=VLOOKUP(VALUE(AF$1),{Questions[#],Questions[Answer]},2,FALSE),1,0)</f>
        <v/>
      </c>
      <c r="BI135" s="41">
        <f t="array" ref="BI135">IF(AG135=VLOOKUP(VALUE(AG$1),{Questions[#],Questions[Answer]},2,FALSE),1,0)</f>
        <v/>
      </c>
      <c r="BJ135" s="41">
        <f t="array" ref="BJ135">IF(AH135=VLOOKUP(VALUE(AH$1),{Questions[#],Questions[Answer]},2,FALSE),1,0)</f>
        <v/>
      </c>
      <c r="BK135" s="41">
        <f t="array" ref="BK135">IF(AI135=VLOOKUP(VALUE(AI$1),{Questions[#],Questions[Answer]},2,FALSE),1,0)</f>
        <v/>
      </c>
      <c r="BL135" s="41">
        <f t="array" ref="BL135">IF(AJ135=VLOOKUP(VALUE(AJ$1),{Questions[#],Questions[Answer]},2,FALSE),1,0)</f>
        <v/>
      </c>
      <c r="BM135" s="41">
        <f t="array" ref="BM135">IF(AK135=VLOOKUP(VALUE(AK$1),{Questions[#],Questions[Answer]},2,FALSE),1,0)</f>
        <v/>
      </c>
      <c r="BN135" s="41">
        <f t="array" ref="BN135">IF(AL135=VLOOKUP(VALUE(AL$1),{Questions[#],Questions[Answer]},2,FALSE),1,0)</f>
        <v/>
      </c>
    </row>
    <row r="136" ht="22.5" customHeight="1" s="93">
      <c r="A136" s="42" t="n"/>
      <c r="B136" s="41" t="n"/>
      <c r="C136" s="41" t="n"/>
      <c r="D136" s="43" t="n"/>
      <c r="E136" s="41" t="n"/>
      <c r="F136" s="41" t="n"/>
      <c r="G136" s="11">
        <f>SUM(AM136:BN136)</f>
        <v/>
      </c>
      <c r="H136" s="40">
        <f>G136/9</f>
        <v/>
      </c>
      <c r="I136" s="12">
        <f>0.5+(G136/54)</f>
        <v/>
      </c>
      <c r="J136" s="41">
        <f>COUNTIF(K136:AL136,"")</f>
        <v/>
      </c>
      <c r="K136" s="34" t="n"/>
      <c r="L136" s="35" t="n"/>
      <c r="M136" s="35" t="n"/>
      <c r="N136" s="35" t="n"/>
      <c r="O136" s="35" t="n"/>
      <c r="P136" s="35" t="n"/>
      <c r="Q136" s="35" t="n"/>
      <c r="R136" s="35" t="n"/>
      <c r="S136" s="35" t="n"/>
      <c r="T136" s="35" t="n"/>
      <c r="U136" s="35" t="n"/>
      <c r="V136" s="35" t="n"/>
      <c r="W136" s="35" t="n"/>
      <c r="X136" s="41" t="n"/>
      <c r="Y136" s="35" t="n"/>
      <c r="Z136" s="35" t="n"/>
      <c r="AA136" s="35" t="n"/>
      <c r="AB136" s="35" t="n"/>
      <c r="AC136" s="35" t="n"/>
      <c r="AD136" s="35" t="n"/>
      <c r="AE136" s="41" t="n"/>
      <c r="AF136" s="35" t="n"/>
      <c r="AG136" s="35" t="n"/>
      <c r="AH136" s="35" t="n"/>
      <c r="AI136" s="35" t="n"/>
      <c r="AJ136" s="35" t="n"/>
      <c r="AK136" s="35" t="n"/>
      <c r="AL136" s="38" t="n"/>
      <c r="AM136" s="19">
        <f t="array" ref="AM136">IF(K136=VLOOKUP(VALUE(K$1),{Questions[#],Questions[Answer]},2,FALSE),1,0)</f>
        <v/>
      </c>
      <c r="AN136" s="41">
        <f t="array" ref="AN136">IF(L136=VLOOKUP(VALUE(L$1),{Questions[#],Questions[Answer]},2,FALSE),1,0)</f>
        <v/>
      </c>
      <c r="AO136" s="41">
        <f t="array" ref="AO136">IF(M136=VLOOKUP(VALUE(M$1),{Questions[#],Questions[Answer]},2,FALSE),1,0)</f>
        <v/>
      </c>
      <c r="AP136" s="41">
        <f t="array" ref="AP136">IF(N136=VLOOKUP(VALUE(N$1),{Questions[#],Questions[Answer]},2,FALSE),1,0)</f>
        <v/>
      </c>
      <c r="AQ136" s="41">
        <f t="array" ref="AQ136">IF(O136=VLOOKUP(VALUE(O$1),{Questions[#],Questions[Answer]},2,FALSE),1,0)</f>
        <v/>
      </c>
      <c r="AR136" s="41">
        <f t="array" ref="AR136">IF(P136=VLOOKUP(VALUE(P$1),{Questions[#],Questions[Answer]},2,FALSE),1,0)</f>
        <v/>
      </c>
      <c r="AS136" s="41">
        <f t="array" ref="AS136">IF(Q136=VLOOKUP(VALUE(Q$1),{Questions[#],Questions[Answer]},2,FALSE),1,0)</f>
        <v/>
      </c>
      <c r="AT136" s="41">
        <f t="array" ref="AT136">IF(R136=VLOOKUP(VALUE(R$1),{Questions[#],Questions[Answer]},2,FALSE),1,0)</f>
        <v/>
      </c>
      <c r="AU136" s="41">
        <f t="array" ref="AU136">IF(S136=VLOOKUP(VALUE(S$1),{Questions[#],Questions[Answer]},2,FALSE),1,0)</f>
        <v/>
      </c>
      <c r="AV136" s="41">
        <f t="array" ref="AV136">IF(T136=VLOOKUP(VALUE(T$1),{Questions[#],Questions[Answer]},2,FALSE),1,0)</f>
        <v/>
      </c>
      <c r="AW136" s="41">
        <f t="array" ref="AW136">IF(U136=VLOOKUP(VALUE(U$1),{Questions[#],Questions[Answer]},2,FALSE),1,0)</f>
        <v/>
      </c>
      <c r="AX136" s="41">
        <f t="array" ref="AX136">IF(V136=VLOOKUP(VALUE(V$1),{Questions[#],Questions[Answer]},2,FALSE),1,0)</f>
        <v/>
      </c>
      <c r="AY136" s="41">
        <f t="array" ref="AY136">IF(W136=VLOOKUP(VALUE(W$1),{Questions[#],Questions[Answer]},2,FALSE),1,0)</f>
        <v/>
      </c>
      <c r="AZ136" s="41">
        <f t="array" ref="AZ136">IF(X136=VLOOKUP(VALUE(X$1),{Questions[#],Questions[Answer]},2,FALSE),1,0)</f>
        <v/>
      </c>
      <c r="BA136" s="41">
        <f t="array" ref="BA136">IF(Y136=VLOOKUP(VALUE(Y$1),{Questions[#],Questions[Answer]},2,FALSE),1,0)</f>
        <v/>
      </c>
      <c r="BB136" s="41">
        <f t="array" ref="BB136">IF(Z136=VLOOKUP(VALUE(Z$1),{Questions[#],Questions[Answer]},2,FALSE),1,0)</f>
        <v/>
      </c>
      <c r="BC136" s="41">
        <f t="array" ref="BC136">IF(AA136=VLOOKUP(VALUE(AA$1),{Questions[#],Questions[Answer]},2,FALSE),1,0)</f>
        <v/>
      </c>
      <c r="BD136" s="41">
        <f t="array" ref="BD136">IF(AB136=VLOOKUP(VALUE(AB$1),{Questions[#],Questions[Answer]},2,FALSE),1,0)</f>
        <v/>
      </c>
      <c r="BE136" s="41">
        <f t="array" ref="BE136">IF(AC136=VLOOKUP(VALUE(AC$1),{Questions[#],Questions[Answer]},2,FALSE),1,0)</f>
        <v/>
      </c>
      <c r="BF136" s="41">
        <f t="array" ref="BF136">IF(AD136=VLOOKUP(VALUE(AD$1),{Questions[#],Questions[Answer]},2,FALSE),1,0)</f>
        <v/>
      </c>
      <c r="BG136" s="41">
        <f t="array" ref="BG136">IF(AE136=VLOOKUP(VALUE(AE$1),{Questions[#],Questions[Answer]},2,FALSE),1,0)</f>
        <v/>
      </c>
      <c r="BH136" s="41">
        <f t="array" ref="BH136">IF(AF136=VLOOKUP(VALUE(AF$1),{Questions[#],Questions[Answer]},2,FALSE),1,0)</f>
        <v/>
      </c>
      <c r="BI136" s="41">
        <f t="array" ref="BI136">IF(AG136=VLOOKUP(VALUE(AG$1),{Questions[#],Questions[Answer]},2,FALSE),1,0)</f>
        <v/>
      </c>
      <c r="BJ136" s="41">
        <f t="array" ref="BJ136">IF(AH136=VLOOKUP(VALUE(AH$1),{Questions[#],Questions[Answer]},2,FALSE),1,0)</f>
        <v/>
      </c>
      <c r="BK136" s="41">
        <f t="array" ref="BK136">IF(AI136=VLOOKUP(VALUE(AI$1),{Questions[#],Questions[Answer]},2,FALSE),1,0)</f>
        <v/>
      </c>
      <c r="BL136" s="41">
        <f t="array" ref="BL136">IF(AJ136=VLOOKUP(VALUE(AJ$1),{Questions[#],Questions[Answer]},2,FALSE),1,0)</f>
        <v/>
      </c>
      <c r="BM136" s="41">
        <f t="array" ref="BM136">IF(AK136=VLOOKUP(VALUE(AK$1),{Questions[#],Questions[Answer]},2,FALSE),1,0)</f>
        <v/>
      </c>
      <c r="BN136" s="41">
        <f t="array" ref="BN136">IF(AL136=VLOOKUP(VALUE(AL$1),{Questions[#],Questions[Answer]},2,FALSE),1,0)</f>
        <v/>
      </c>
    </row>
    <row r="137" ht="22.5" customHeight="1" s="93">
      <c r="A137" s="42" t="n"/>
      <c r="B137" s="41" t="n"/>
      <c r="C137" s="41" t="n"/>
      <c r="D137" s="43" t="n"/>
      <c r="E137" s="41" t="n"/>
      <c r="F137" s="41" t="n"/>
      <c r="G137" s="11">
        <f>SUM(AM137:BN137)</f>
        <v/>
      </c>
      <c r="H137" s="40">
        <f>G137/9</f>
        <v/>
      </c>
      <c r="I137" s="12">
        <f>0.5+(G137/54)</f>
        <v/>
      </c>
      <c r="J137" s="41">
        <f>COUNTIF(K137:AL137,"")</f>
        <v/>
      </c>
      <c r="K137" s="34" t="n"/>
      <c r="L137" s="35" t="n"/>
      <c r="M137" s="35" t="n"/>
      <c r="N137" s="35" t="n"/>
      <c r="O137" s="35" t="n"/>
      <c r="P137" s="35" t="n"/>
      <c r="Q137" s="35" t="n"/>
      <c r="R137" s="35" t="n"/>
      <c r="S137" s="35" t="n"/>
      <c r="T137" s="35" t="n"/>
      <c r="U137" s="35" t="n"/>
      <c r="V137" s="35" t="n"/>
      <c r="W137" s="35" t="n"/>
      <c r="X137" s="41" t="n"/>
      <c r="Y137" s="35" t="n"/>
      <c r="Z137" s="35" t="n"/>
      <c r="AA137" s="35" t="n"/>
      <c r="AB137" s="35" t="n"/>
      <c r="AC137" s="35" t="n"/>
      <c r="AD137" s="35" t="n"/>
      <c r="AE137" s="41" t="n"/>
      <c r="AF137" s="35" t="n"/>
      <c r="AG137" s="35" t="n"/>
      <c r="AH137" s="35" t="n"/>
      <c r="AI137" s="35" t="n"/>
      <c r="AJ137" s="35" t="n"/>
      <c r="AK137" s="35" t="n"/>
      <c r="AL137" s="38" t="n"/>
      <c r="AM137" s="19">
        <f t="array" ref="AM137">IF(K137=VLOOKUP(VALUE(K$1),{Questions[#],Questions[Answer]},2,FALSE),1,0)</f>
        <v/>
      </c>
      <c r="AN137" s="41">
        <f t="array" ref="AN137">IF(L137=VLOOKUP(VALUE(L$1),{Questions[#],Questions[Answer]},2,FALSE),1,0)</f>
        <v/>
      </c>
      <c r="AO137" s="41">
        <f t="array" ref="AO137">IF(M137=VLOOKUP(VALUE(M$1),{Questions[#],Questions[Answer]},2,FALSE),1,0)</f>
        <v/>
      </c>
      <c r="AP137" s="41">
        <f t="array" ref="AP137">IF(N137=VLOOKUP(VALUE(N$1),{Questions[#],Questions[Answer]},2,FALSE),1,0)</f>
        <v/>
      </c>
      <c r="AQ137" s="41">
        <f t="array" ref="AQ137">IF(O137=VLOOKUP(VALUE(O$1),{Questions[#],Questions[Answer]},2,FALSE),1,0)</f>
        <v/>
      </c>
      <c r="AR137" s="41">
        <f t="array" ref="AR137">IF(P137=VLOOKUP(VALUE(P$1),{Questions[#],Questions[Answer]},2,FALSE),1,0)</f>
        <v/>
      </c>
      <c r="AS137" s="41">
        <f t="array" ref="AS137">IF(Q137=VLOOKUP(VALUE(Q$1),{Questions[#],Questions[Answer]},2,FALSE),1,0)</f>
        <v/>
      </c>
      <c r="AT137" s="41">
        <f t="array" ref="AT137">IF(R137=VLOOKUP(VALUE(R$1),{Questions[#],Questions[Answer]},2,FALSE),1,0)</f>
        <v/>
      </c>
      <c r="AU137" s="41">
        <f t="array" ref="AU137">IF(S137=VLOOKUP(VALUE(S$1),{Questions[#],Questions[Answer]},2,FALSE),1,0)</f>
        <v/>
      </c>
      <c r="AV137" s="41">
        <f t="array" ref="AV137">IF(T137=VLOOKUP(VALUE(T$1),{Questions[#],Questions[Answer]},2,FALSE),1,0)</f>
        <v/>
      </c>
      <c r="AW137" s="41">
        <f t="array" ref="AW137">IF(U137=VLOOKUP(VALUE(U$1),{Questions[#],Questions[Answer]},2,FALSE),1,0)</f>
        <v/>
      </c>
      <c r="AX137" s="41">
        <f t="array" ref="AX137">IF(V137=VLOOKUP(VALUE(V$1),{Questions[#],Questions[Answer]},2,FALSE),1,0)</f>
        <v/>
      </c>
      <c r="AY137" s="41">
        <f t="array" ref="AY137">IF(W137=VLOOKUP(VALUE(W$1),{Questions[#],Questions[Answer]},2,FALSE),1,0)</f>
        <v/>
      </c>
      <c r="AZ137" s="41">
        <f t="array" ref="AZ137">IF(X137=VLOOKUP(VALUE(X$1),{Questions[#],Questions[Answer]},2,FALSE),1,0)</f>
        <v/>
      </c>
      <c r="BA137" s="41">
        <f t="array" ref="BA137">IF(Y137=VLOOKUP(VALUE(Y$1),{Questions[#],Questions[Answer]},2,FALSE),1,0)</f>
        <v/>
      </c>
      <c r="BB137" s="41">
        <f t="array" ref="BB137">IF(Z137=VLOOKUP(VALUE(Z$1),{Questions[#],Questions[Answer]},2,FALSE),1,0)</f>
        <v/>
      </c>
      <c r="BC137" s="41">
        <f t="array" ref="BC137">IF(AA137=VLOOKUP(VALUE(AA$1),{Questions[#],Questions[Answer]},2,FALSE),1,0)</f>
        <v/>
      </c>
      <c r="BD137" s="41">
        <f t="array" ref="BD137">IF(AB137=VLOOKUP(VALUE(AB$1),{Questions[#],Questions[Answer]},2,FALSE),1,0)</f>
        <v/>
      </c>
      <c r="BE137" s="41">
        <f t="array" ref="BE137">IF(AC137=VLOOKUP(VALUE(AC$1),{Questions[#],Questions[Answer]},2,FALSE),1,0)</f>
        <v/>
      </c>
      <c r="BF137" s="41">
        <f t="array" ref="BF137">IF(AD137=VLOOKUP(VALUE(AD$1),{Questions[#],Questions[Answer]},2,FALSE),1,0)</f>
        <v/>
      </c>
      <c r="BG137" s="41">
        <f t="array" ref="BG137">IF(AE137=VLOOKUP(VALUE(AE$1),{Questions[#],Questions[Answer]},2,FALSE),1,0)</f>
        <v/>
      </c>
      <c r="BH137" s="41">
        <f t="array" ref="BH137">IF(AF137=VLOOKUP(VALUE(AF$1),{Questions[#],Questions[Answer]},2,FALSE),1,0)</f>
        <v/>
      </c>
      <c r="BI137" s="41">
        <f t="array" ref="BI137">IF(AG137=VLOOKUP(VALUE(AG$1),{Questions[#],Questions[Answer]},2,FALSE),1,0)</f>
        <v/>
      </c>
      <c r="BJ137" s="41">
        <f t="array" ref="BJ137">IF(AH137=VLOOKUP(VALUE(AH$1),{Questions[#],Questions[Answer]},2,FALSE),1,0)</f>
        <v/>
      </c>
      <c r="BK137" s="41">
        <f t="array" ref="BK137">IF(AI137=VLOOKUP(VALUE(AI$1),{Questions[#],Questions[Answer]},2,FALSE),1,0)</f>
        <v/>
      </c>
      <c r="BL137" s="41">
        <f t="array" ref="BL137">IF(AJ137=VLOOKUP(VALUE(AJ$1),{Questions[#],Questions[Answer]},2,FALSE),1,0)</f>
        <v/>
      </c>
      <c r="BM137" s="41">
        <f t="array" ref="BM137">IF(AK137=VLOOKUP(VALUE(AK$1),{Questions[#],Questions[Answer]},2,FALSE),1,0)</f>
        <v/>
      </c>
      <c r="BN137" s="41">
        <f t="array" ref="BN137">IF(AL137=VLOOKUP(VALUE(AL$1),{Questions[#],Questions[Answer]},2,FALSE),1,0)</f>
        <v/>
      </c>
    </row>
    <row r="138" ht="22.5" customHeight="1" s="93">
      <c r="A138" s="42" t="n"/>
      <c r="B138" s="41" t="n"/>
      <c r="C138" s="41" t="n"/>
      <c r="D138" s="43" t="n"/>
      <c r="E138" s="41" t="n"/>
      <c r="F138" s="41" t="n"/>
      <c r="G138" s="11">
        <f>SUM(AM138:BN138)</f>
        <v/>
      </c>
      <c r="H138" s="40">
        <f>G138/9</f>
        <v/>
      </c>
      <c r="I138" s="12">
        <f>0.5+(G138/54)</f>
        <v/>
      </c>
      <c r="J138" s="41">
        <f>COUNTIF(K138:AL138,"")</f>
        <v/>
      </c>
      <c r="K138" s="34" t="n"/>
      <c r="L138" s="35" t="n"/>
      <c r="M138" s="35" t="n"/>
      <c r="N138" s="35" t="n"/>
      <c r="O138" s="35" t="n"/>
      <c r="P138" s="35" t="n"/>
      <c r="Q138" s="35" t="n"/>
      <c r="R138" s="35" t="n"/>
      <c r="S138" s="35" t="n"/>
      <c r="T138" s="35" t="n"/>
      <c r="U138" s="35" t="n"/>
      <c r="V138" s="35" t="n"/>
      <c r="W138" s="35" t="n"/>
      <c r="X138" s="41" t="n"/>
      <c r="Y138" s="35" t="n"/>
      <c r="Z138" s="35" t="n"/>
      <c r="AA138" s="35" t="n"/>
      <c r="AB138" s="35" t="n"/>
      <c r="AC138" s="35" t="n"/>
      <c r="AD138" s="35" t="n"/>
      <c r="AE138" s="41" t="n"/>
      <c r="AF138" s="35" t="n"/>
      <c r="AG138" s="35" t="n"/>
      <c r="AH138" s="35" t="n"/>
      <c r="AI138" s="35" t="n"/>
      <c r="AJ138" s="35" t="n"/>
      <c r="AK138" s="35" t="n"/>
      <c r="AL138" s="38" t="n"/>
      <c r="AM138" s="19">
        <f t="array" ref="AM138">IF(K138=VLOOKUP(VALUE(K$1),{Questions[#],Questions[Answer]},2,FALSE),1,0)</f>
        <v/>
      </c>
      <c r="AN138" s="41">
        <f t="array" ref="AN138">IF(L138=VLOOKUP(VALUE(L$1),{Questions[#],Questions[Answer]},2,FALSE),1,0)</f>
        <v/>
      </c>
      <c r="AO138" s="41">
        <f t="array" ref="AO138">IF(M138=VLOOKUP(VALUE(M$1),{Questions[#],Questions[Answer]},2,FALSE),1,0)</f>
        <v/>
      </c>
      <c r="AP138" s="41">
        <f t="array" ref="AP138">IF(N138=VLOOKUP(VALUE(N$1),{Questions[#],Questions[Answer]},2,FALSE),1,0)</f>
        <v/>
      </c>
      <c r="AQ138" s="41">
        <f t="array" ref="AQ138">IF(O138=VLOOKUP(VALUE(O$1),{Questions[#],Questions[Answer]},2,FALSE),1,0)</f>
        <v/>
      </c>
      <c r="AR138" s="41">
        <f t="array" ref="AR138">IF(P138=VLOOKUP(VALUE(P$1),{Questions[#],Questions[Answer]},2,FALSE),1,0)</f>
        <v/>
      </c>
      <c r="AS138" s="41">
        <f t="array" ref="AS138">IF(Q138=VLOOKUP(VALUE(Q$1),{Questions[#],Questions[Answer]},2,FALSE),1,0)</f>
        <v/>
      </c>
      <c r="AT138" s="41">
        <f t="array" ref="AT138">IF(R138=VLOOKUP(VALUE(R$1),{Questions[#],Questions[Answer]},2,FALSE),1,0)</f>
        <v/>
      </c>
      <c r="AU138" s="41">
        <f t="array" ref="AU138">IF(S138=VLOOKUP(VALUE(S$1),{Questions[#],Questions[Answer]},2,FALSE),1,0)</f>
        <v/>
      </c>
      <c r="AV138" s="41">
        <f t="array" ref="AV138">IF(T138=VLOOKUP(VALUE(T$1),{Questions[#],Questions[Answer]},2,FALSE),1,0)</f>
        <v/>
      </c>
      <c r="AW138" s="41">
        <f t="array" ref="AW138">IF(U138=VLOOKUP(VALUE(U$1),{Questions[#],Questions[Answer]},2,FALSE),1,0)</f>
        <v/>
      </c>
      <c r="AX138" s="41">
        <f t="array" ref="AX138">IF(V138=VLOOKUP(VALUE(V$1),{Questions[#],Questions[Answer]},2,FALSE),1,0)</f>
        <v/>
      </c>
      <c r="AY138" s="41">
        <f t="array" ref="AY138">IF(W138=VLOOKUP(VALUE(W$1),{Questions[#],Questions[Answer]},2,FALSE),1,0)</f>
        <v/>
      </c>
      <c r="AZ138" s="41">
        <f t="array" ref="AZ138">IF(X138=VLOOKUP(VALUE(X$1),{Questions[#],Questions[Answer]},2,FALSE),1,0)</f>
        <v/>
      </c>
      <c r="BA138" s="41">
        <f t="array" ref="BA138">IF(Y138=VLOOKUP(VALUE(Y$1),{Questions[#],Questions[Answer]},2,FALSE),1,0)</f>
        <v/>
      </c>
      <c r="BB138" s="41">
        <f t="array" ref="BB138">IF(Z138=VLOOKUP(VALUE(Z$1),{Questions[#],Questions[Answer]},2,FALSE),1,0)</f>
        <v/>
      </c>
      <c r="BC138" s="41">
        <f t="array" ref="BC138">IF(AA138=VLOOKUP(VALUE(AA$1),{Questions[#],Questions[Answer]},2,FALSE),1,0)</f>
        <v/>
      </c>
      <c r="BD138" s="41">
        <f t="array" ref="BD138">IF(AB138=VLOOKUP(VALUE(AB$1),{Questions[#],Questions[Answer]},2,FALSE),1,0)</f>
        <v/>
      </c>
      <c r="BE138" s="41">
        <f t="array" ref="BE138">IF(AC138=VLOOKUP(VALUE(AC$1),{Questions[#],Questions[Answer]},2,FALSE),1,0)</f>
        <v/>
      </c>
      <c r="BF138" s="41">
        <f t="array" ref="BF138">IF(AD138=VLOOKUP(VALUE(AD$1),{Questions[#],Questions[Answer]},2,FALSE),1,0)</f>
        <v/>
      </c>
      <c r="BG138" s="41">
        <f t="array" ref="BG138">IF(AE138=VLOOKUP(VALUE(AE$1),{Questions[#],Questions[Answer]},2,FALSE),1,0)</f>
        <v/>
      </c>
      <c r="BH138" s="41">
        <f t="array" ref="BH138">IF(AF138=VLOOKUP(VALUE(AF$1),{Questions[#],Questions[Answer]},2,FALSE),1,0)</f>
        <v/>
      </c>
      <c r="BI138" s="41">
        <f t="array" ref="BI138">IF(AG138=VLOOKUP(VALUE(AG$1),{Questions[#],Questions[Answer]},2,FALSE),1,0)</f>
        <v/>
      </c>
      <c r="BJ138" s="41">
        <f t="array" ref="BJ138">IF(AH138=VLOOKUP(VALUE(AH$1),{Questions[#],Questions[Answer]},2,FALSE),1,0)</f>
        <v/>
      </c>
      <c r="BK138" s="41">
        <f t="array" ref="BK138">IF(AI138=VLOOKUP(VALUE(AI$1),{Questions[#],Questions[Answer]},2,FALSE),1,0)</f>
        <v/>
      </c>
      <c r="BL138" s="41">
        <f t="array" ref="BL138">IF(AJ138=VLOOKUP(VALUE(AJ$1),{Questions[#],Questions[Answer]},2,FALSE),1,0)</f>
        <v/>
      </c>
      <c r="BM138" s="41">
        <f t="array" ref="BM138">IF(AK138=VLOOKUP(VALUE(AK$1),{Questions[#],Questions[Answer]},2,FALSE),1,0)</f>
        <v/>
      </c>
      <c r="BN138" s="41">
        <f t="array" ref="BN138">IF(AL138=VLOOKUP(VALUE(AL$1),{Questions[#],Questions[Answer]},2,FALSE),1,0)</f>
        <v/>
      </c>
    </row>
    <row r="139" ht="22.5" customHeight="1" s="93">
      <c r="A139" s="42" t="n"/>
      <c r="B139" s="41" t="n"/>
      <c r="C139" s="41" t="n"/>
      <c r="D139" s="43" t="n"/>
      <c r="E139" s="41" t="n"/>
      <c r="F139" s="41" t="n"/>
      <c r="G139" s="11">
        <f>SUM(AM139:BN139)</f>
        <v/>
      </c>
      <c r="H139" s="40">
        <f>G139/9</f>
        <v/>
      </c>
      <c r="I139" s="12">
        <f>0.5+(G139/54)</f>
        <v/>
      </c>
      <c r="J139" s="41">
        <f>COUNTIF(K139:AL139,"")</f>
        <v/>
      </c>
      <c r="K139" s="34" t="n"/>
      <c r="L139" s="35" t="n"/>
      <c r="M139" s="35" t="n"/>
      <c r="N139" s="35" t="n"/>
      <c r="O139" s="35" t="n"/>
      <c r="P139" s="35" t="n"/>
      <c r="Q139" s="35" t="n"/>
      <c r="R139" s="35" t="n"/>
      <c r="S139" s="35" t="n"/>
      <c r="T139" s="35" t="n"/>
      <c r="U139" s="35" t="n"/>
      <c r="V139" s="35" t="n"/>
      <c r="W139" s="35" t="n"/>
      <c r="X139" s="41" t="n"/>
      <c r="Y139" s="35" t="n"/>
      <c r="Z139" s="35" t="n"/>
      <c r="AA139" s="35" t="n"/>
      <c r="AB139" s="35" t="n"/>
      <c r="AC139" s="35" t="n"/>
      <c r="AD139" s="35" t="n"/>
      <c r="AE139" s="41" t="n"/>
      <c r="AF139" s="35" t="n"/>
      <c r="AG139" s="35" t="n"/>
      <c r="AH139" s="35" t="n"/>
      <c r="AI139" s="35" t="n"/>
      <c r="AJ139" s="35" t="n"/>
      <c r="AK139" s="35" t="n"/>
      <c r="AL139" s="38" t="n"/>
      <c r="AM139" s="19">
        <f t="array" ref="AM139">IF(K139=VLOOKUP(VALUE(K$1),{Questions[#],Questions[Answer]},2,FALSE),1,0)</f>
        <v/>
      </c>
      <c r="AN139" s="41">
        <f t="array" ref="AN139">IF(L139=VLOOKUP(VALUE(L$1),{Questions[#],Questions[Answer]},2,FALSE),1,0)</f>
        <v/>
      </c>
      <c r="AO139" s="41">
        <f t="array" ref="AO139">IF(M139=VLOOKUP(VALUE(M$1),{Questions[#],Questions[Answer]},2,FALSE),1,0)</f>
        <v/>
      </c>
      <c r="AP139" s="41">
        <f t="array" ref="AP139">IF(N139=VLOOKUP(VALUE(N$1),{Questions[#],Questions[Answer]},2,FALSE),1,0)</f>
        <v/>
      </c>
      <c r="AQ139" s="41">
        <f t="array" ref="AQ139">IF(O139=VLOOKUP(VALUE(O$1),{Questions[#],Questions[Answer]},2,FALSE),1,0)</f>
        <v/>
      </c>
      <c r="AR139" s="41">
        <f t="array" ref="AR139">IF(P139=VLOOKUP(VALUE(P$1),{Questions[#],Questions[Answer]},2,FALSE),1,0)</f>
        <v/>
      </c>
      <c r="AS139" s="41">
        <f t="array" ref="AS139">IF(Q139=VLOOKUP(VALUE(Q$1),{Questions[#],Questions[Answer]},2,FALSE),1,0)</f>
        <v/>
      </c>
      <c r="AT139" s="41">
        <f t="array" ref="AT139">IF(R139=VLOOKUP(VALUE(R$1),{Questions[#],Questions[Answer]},2,FALSE),1,0)</f>
        <v/>
      </c>
      <c r="AU139" s="41">
        <f t="array" ref="AU139">IF(S139=VLOOKUP(VALUE(S$1),{Questions[#],Questions[Answer]},2,FALSE),1,0)</f>
        <v/>
      </c>
      <c r="AV139" s="41">
        <f t="array" ref="AV139">IF(T139=VLOOKUP(VALUE(T$1),{Questions[#],Questions[Answer]},2,FALSE),1,0)</f>
        <v/>
      </c>
      <c r="AW139" s="41">
        <f t="array" ref="AW139">IF(U139=VLOOKUP(VALUE(U$1),{Questions[#],Questions[Answer]},2,FALSE),1,0)</f>
        <v/>
      </c>
      <c r="AX139" s="41">
        <f t="array" ref="AX139">IF(V139=VLOOKUP(VALUE(V$1),{Questions[#],Questions[Answer]},2,FALSE),1,0)</f>
        <v/>
      </c>
      <c r="AY139" s="41">
        <f t="array" ref="AY139">IF(W139=VLOOKUP(VALUE(W$1),{Questions[#],Questions[Answer]},2,FALSE),1,0)</f>
        <v/>
      </c>
      <c r="AZ139" s="41">
        <f t="array" ref="AZ139">IF(X139=VLOOKUP(VALUE(X$1),{Questions[#],Questions[Answer]},2,FALSE),1,0)</f>
        <v/>
      </c>
      <c r="BA139" s="41">
        <f t="array" ref="BA139">IF(Y139=VLOOKUP(VALUE(Y$1),{Questions[#],Questions[Answer]},2,FALSE),1,0)</f>
        <v/>
      </c>
      <c r="BB139" s="41">
        <f t="array" ref="BB139">IF(Z139=VLOOKUP(VALUE(Z$1),{Questions[#],Questions[Answer]},2,FALSE),1,0)</f>
        <v/>
      </c>
      <c r="BC139" s="41">
        <f t="array" ref="BC139">IF(AA139=VLOOKUP(VALUE(AA$1),{Questions[#],Questions[Answer]},2,FALSE),1,0)</f>
        <v/>
      </c>
      <c r="BD139" s="41">
        <f t="array" ref="BD139">IF(AB139=VLOOKUP(VALUE(AB$1),{Questions[#],Questions[Answer]},2,FALSE),1,0)</f>
        <v/>
      </c>
      <c r="BE139" s="41">
        <f t="array" ref="BE139">IF(AC139=VLOOKUP(VALUE(AC$1),{Questions[#],Questions[Answer]},2,FALSE),1,0)</f>
        <v/>
      </c>
      <c r="BF139" s="41">
        <f t="array" ref="BF139">IF(AD139=VLOOKUP(VALUE(AD$1),{Questions[#],Questions[Answer]},2,FALSE),1,0)</f>
        <v/>
      </c>
      <c r="BG139" s="41">
        <f t="array" ref="BG139">IF(AE139=VLOOKUP(VALUE(AE$1),{Questions[#],Questions[Answer]},2,FALSE),1,0)</f>
        <v/>
      </c>
      <c r="BH139" s="41">
        <f t="array" ref="BH139">IF(AF139=VLOOKUP(VALUE(AF$1),{Questions[#],Questions[Answer]},2,FALSE),1,0)</f>
        <v/>
      </c>
      <c r="BI139" s="41">
        <f t="array" ref="BI139">IF(AG139=VLOOKUP(VALUE(AG$1),{Questions[#],Questions[Answer]},2,FALSE),1,0)</f>
        <v/>
      </c>
      <c r="BJ139" s="41">
        <f t="array" ref="BJ139">IF(AH139=VLOOKUP(VALUE(AH$1),{Questions[#],Questions[Answer]},2,FALSE),1,0)</f>
        <v/>
      </c>
      <c r="BK139" s="41">
        <f t="array" ref="BK139">IF(AI139=VLOOKUP(VALUE(AI$1),{Questions[#],Questions[Answer]},2,FALSE),1,0)</f>
        <v/>
      </c>
      <c r="BL139" s="41">
        <f t="array" ref="BL139">IF(AJ139=VLOOKUP(VALUE(AJ$1),{Questions[#],Questions[Answer]},2,FALSE),1,0)</f>
        <v/>
      </c>
      <c r="BM139" s="41">
        <f t="array" ref="BM139">IF(AK139=VLOOKUP(VALUE(AK$1),{Questions[#],Questions[Answer]},2,FALSE),1,0)</f>
        <v/>
      </c>
      <c r="BN139" s="41">
        <f t="array" ref="BN139">IF(AL139=VLOOKUP(VALUE(AL$1),{Questions[#],Questions[Answer]},2,FALSE),1,0)</f>
        <v/>
      </c>
    </row>
    <row r="140" ht="22.5" customHeight="1" s="93">
      <c r="A140" s="42" t="n"/>
      <c r="B140" s="41" t="n"/>
      <c r="C140" s="41" t="n"/>
      <c r="D140" s="43" t="n"/>
      <c r="E140" s="41" t="n"/>
      <c r="F140" s="41" t="n"/>
      <c r="G140" s="11">
        <f>SUM(AM140:BN140)</f>
        <v/>
      </c>
      <c r="H140" s="40">
        <f>G140/9</f>
        <v/>
      </c>
      <c r="I140" s="12">
        <f>0.5+(G140/54)</f>
        <v/>
      </c>
      <c r="J140" s="41">
        <f>COUNTIF(K140:AL140,"")</f>
        <v/>
      </c>
      <c r="K140" s="34" t="n"/>
      <c r="L140" s="35" t="n"/>
      <c r="M140" s="35" t="n"/>
      <c r="N140" s="35" t="n"/>
      <c r="O140" s="35" t="n"/>
      <c r="P140" s="35" t="n"/>
      <c r="Q140" s="35" t="n"/>
      <c r="R140" s="35" t="n"/>
      <c r="S140" s="35" t="n"/>
      <c r="T140" s="35" t="n"/>
      <c r="U140" s="35" t="n"/>
      <c r="V140" s="35" t="n"/>
      <c r="W140" s="35" t="n"/>
      <c r="X140" s="41" t="n"/>
      <c r="Y140" s="35" t="n"/>
      <c r="Z140" s="35" t="n"/>
      <c r="AA140" s="35" t="n"/>
      <c r="AB140" s="35" t="n"/>
      <c r="AC140" s="35" t="n"/>
      <c r="AD140" s="35" t="n"/>
      <c r="AE140" s="41" t="n"/>
      <c r="AF140" s="35" t="n"/>
      <c r="AG140" s="35" t="n"/>
      <c r="AH140" s="35" t="n"/>
      <c r="AI140" s="35" t="n"/>
      <c r="AJ140" s="35" t="n"/>
      <c r="AK140" s="35" t="n"/>
      <c r="AL140" s="38" t="n"/>
      <c r="AM140" s="19">
        <f t="array" ref="AM140">IF(K140=VLOOKUP(VALUE(K$1),{Questions[#],Questions[Answer]},2,FALSE),1,0)</f>
        <v/>
      </c>
      <c r="AN140" s="41">
        <f t="array" ref="AN140">IF(L140=VLOOKUP(VALUE(L$1),{Questions[#],Questions[Answer]},2,FALSE),1,0)</f>
        <v/>
      </c>
      <c r="AO140" s="41">
        <f t="array" ref="AO140">IF(M140=VLOOKUP(VALUE(M$1),{Questions[#],Questions[Answer]},2,FALSE),1,0)</f>
        <v/>
      </c>
      <c r="AP140" s="41">
        <f t="array" ref="AP140">IF(N140=VLOOKUP(VALUE(N$1),{Questions[#],Questions[Answer]},2,FALSE),1,0)</f>
        <v/>
      </c>
      <c r="AQ140" s="41">
        <f t="array" ref="AQ140">IF(O140=VLOOKUP(VALUE(O$1),{Questions[#],Questions[Answer]},2,FALSE),1,0)</f>
        <v/>
      </c>
      <c r="AR140" s="41">
        <f t="array" ref="AR140">IF(P140=VLOOKUP(VALUE(P$1),{Questions[#],Questions[Answer]},2,FALSE),1,0)</f>
        <v/>
      </c>
      <c r="AS140" s="41">
        <f t="array" ref="AS140">IF(Q140=VLOOKUP(VALUE(Q$1),{Questions[#],Questions[Answer]},2,FALSE),1,0)</f>
        <v/>
      </c>
      <c r="AT140" s="41">
        <f t="array" ref="AT140">IF(R140=VLOOKUP(VALUE(R$1),{Questions[#],Questions[Answer]},2,FALSE),1,0)</f>
        <v/>
      </c>
      <c r="AU140" s="41">
        <f t="array" ref="AU140">IF(S140=VLOOKUP(VALUE(S$1),{Questions[#],Questions[Answer]},2,FALSE),1,0)</f>
        <v/>
      </c>
      <c r="AV140" s="41">
        <f t="array" ref="AV140">IF(T140=VLOOKUP(VALUE(T$1),{Questions[#],Questions[Answer]},2,FALSE),1,0)</f>
        <v/>
      </c>
      <c r="AW140" s="41">
        <f t="array" ref="AW140">IF(U140=VLOOKUP(VALUE(U$1),{Questions[#],Questions[Answer]},2,FALSE),1,0)</f>
        <v/>
      </c>
      <c r="AX140" s="41">
        <f t="array" ref="AX140">IF(V140=VLOOKUP(VALUE(V$1),{Questions[#],Questions[Answer]},2,FALSE),1,0)</f>
        <v/>
      </c>
      <c r="AY140" s="41">
        <f t="array" ref="AY140">IF(W140=VLOOKUP(VALUE(W$1),{Questions[#],Questions[Answer]},2,FALSE),1,0)</f>
        <v/>
      </c>
      <c r="AZ140" s="41">
        <f t="array" ref="AZ140">IF(X140=VLOOKUP(VALUE(X$1),{Questions[#],Questions[Answer]},2,FALSE),1,0)</f>
        <v/>
      </c>
      <c r="BA140" s="41">
        <f t="array" ref="BA140">IF(Y140=VLOOKUP(VALUE(Y$1),{Questions[#],Questions[Answer]},2,FALSE),1,0)</f>
        <v/>
      </c>
      <c r="BB140" s="41">
        <f t="array" ref="BB140">IF(Z140=VLOOKUP(VALUE(Z$1),{Questions[#],Questions[Answer]},2,FALSE),1,0)</f>
        <v/>
      </c>
      <c r="BC140" s="41">
        <f t="array" ref="BC140">IF(AA140=VLOOKUP(VALUE(AA$1),{Questions[#],Questions[Answer]},2,FALSE),1,0)</f>
        <v/>
      </c>
      <c r="BD140" s="41">
        <f t="array" ref="BD140">IF(AB140=VLOOKUP(VALUE(AB$1),{Questions[#],Questions[Answer]},2,FALSE),1,0)</f>
        <v/>
      </c>
      <c r="BE140" s="41">
        <f t="array" ref="BE140">IF(AC140=VLOOKUP(VALUE(AC$1),{Questions[#],Questions[Answer]},2,FALSE),1,0)</f>
        <v/>
      </c>
      <c r="BF140" s="41">
        <f t="array" ref="BF140">IF(AD140=VLOOKUP(VALUE(AD$1),{Questions[#],Questions[Answer]},2,FALSE),1,0)</f>
        <v/>
      </c>
      <c r="BG140" s="41">
        <f t="array" ref="BG140">IF(AE140=VLOOKUP(VALUE(AE$1),{Questions[#],Questions[Answer]},2,FALSE),1,0)</f>
        <v/>
      </c>
      <c r="BH140" s="41">
        <f t="array" ref="BH140">IF(AF140=VLOOKUP(VALUE(AF$1),{Questions[#],Questions[Answer]},2,FALSE),1,0)</f>
        <v/>
      </c>
      <c r="BI140" s="41">
        <f t="array" ref="BI140">IF(AG140=VLOOKUP(VALUE(AG$1),{Questions[#],Questions[Answer]},2,FALSE),1,0)</f>
        <v/>
      </c>
      <c r="BJ140" s="41">
        <f t="array" ref="BJ140">IF(AH140=VLOOKUP(VALUE(AH$1),{Questions[#],Questions[Answer]},2,FALSE),1,0)</f>
        <v/>
      </c>
      <c r="BK140" s="41">
        <f t="array" ref="BK140">IF(AI140=VLOOKUP(VALUE(AI$1),{Questions[#],Questions[Answer]},2,FALSE),1,0)</f>
        <v/>
      </c>
      <c r="BL140" s="41">
        <f t="array" ref="BL140">IF(AJ140=VLOOKUP(VALUE(AJ$1),{Questions[#],Questions[Answer]},2,FALSE),1,0)</f>
        <v/>
      </c>
      <c r="BM140" s="41">
        <f t="array" ref="BM140">IF(AK140=VLOOKUP(VALUE(AK$1),{Questions[#],Questions[Answer]},2,FALSE),1,0)</f>
        <v/>
      </c>
      <c r="BN140" s="41">
        <f t="array" ref="BN140">IF(AL140=VLOOKUP(VALUE(AL$1),{Questions[#],Questions[Answer]},2,FALSE),1,0)</f>
        <v/>
      </c>
    </row>
    <row r="141" ht="22.5" customHeight="1" s="93">
      <c r="A141" s="42" t="n"/>
      <c r="B141" s="41" t="n"/>
      <c r="C141" s="41" t="n"/>
      <c r="D141" s="43" t="n"/>
      <c r="E141" s="41" t="n"/>
      <c r="F141" s="41" t="n"/>
      <c r="G141" s="11">
        <f>SUM(AM141:BN141)</f>
        <v/>
      </c>
      <c r="H141" s="40">
        <f>G141/9</f>
        <v/>
      </c>
      <c r="I141" s="12">
        <f>0.5+(G141/54)</f>
        <v/>
      </c>
      <c r="J141" s="41">
        <f>COUNTIF(K141:AL141,"")</f>
        <v/>
      </c>
      <c r="K141" s="34" t="n"/>
      <c r="L141" s="35" t="n"/>
      <c r="M141" s="35" t="n"/>
      <c r="N141" s="35" t="n"/>
      <c r="O141" s="35" t="n"/>
      <c r="P141" s="35" t="n"/>
      <c r="Q141" s="35" t="n"/>
      <c r="R141" s="35" t="n"/>
      <c r="S141" s="35" t="n"/>
      <c r="T141" s="35" t="n"/>
      <c r="U141" s="35" t="n"/>
      <c r="V141" s="35" t="n"/>
      <c r="W141" s="35" t="n"/>
      <c r="X141" s="41" t="n"/>
      <c r="Y141" s="35" t="n"/>
      <c r="Z141" s="35" t="n"/>
      <c r="AA141" s="35" t="n"/>
      <c r="AB141" s="35" t="n"/>
      <c r="AC141" s="35" t="n"/>
      <c r="AD141" s="35" t="n"/>
      <c r="AE141" s="41" t="n"/>
      <c r="AF141" s="35" t="n"/>
      <c r="AG141" s="35" t="n"/>
      <c r="AH141" s="35" t="n"/>
      <c r="AI141" s="35" t="n"/>
      <c r="AJ141" s="35" t="n"/>
      <c r="AK141" s="35" t="n"/>
      <c r="AL141" s="38" t="n"/>
      <c r="AM141" s="19">
        <f t="array" ref="AM141">IF(K141=VLOOKUP(VALUE(K$1),{Questions[#],Questions[Answer]},2,FALSE),1,0)</f>
        <v/>
      </c>
      <c r="AN141" s="41">
        <f t="array" ref="AN141">IF(L141=VLOOKUP(VALUE(L$1),{Questions[#],Questions[Answer]},2,FALSE),1,0)</f>
        <v/>
      </c>
      <c r="AO141" s="41">
        <f t="array" ref="AO141">IF(M141=VLOOKUP(VALUE(M$1),{Questions[#],Questions[Answer]},2,FALSE),1,0)</f>
        <v/>
      </c>
      <c r="AP141" s="41">
        <f t="array" ref="AP141">IF(N141=VLOOKUP(VALUE(N$1),{Questions[#],Questions[Answer]},2,FALSE),1,0)</f>
        <v/>
      </c>
      <c r="AQ141" s="41">
        <f t="array" ref="AQ141">IF(O141=VLOOKUP(VALUE(O$1),{Questions[#],Questions[Answer]},2,FALSE),1,0)</f>
        <v/>
      </c>
      <c r="AR141" s="41">
        <f t="array" ref="AR141">IF(P141=VLOOKUP(VALUE(P$1),{Questions[#],Questions[Answer]},2,FALSE),1,0)</f>
        <v/>
      </c>
      <c r="AS141" s="41">
        <f t="array" ref="AS141">IF(Q141=VLOOKUP(VALUE(Q$1),{Questions[#],Questions[Answer]},2,FALSE),1,0)</f>
        <v/>
      </c>
      <c r="AT141" s="41">
        <f t="array" ref="AT141">IF(R141=VLOOKUP(VALUE(R$1),{Questions[#],Questions[Answer]},2,FALSE),1,0)</f>
        <v/>
      </c>
      <c r="AU141" s="41">
        <f t="array" ref="AU141">IF(S141=VLOOKUP(VALUE(S$1),{Questions[#],Questions[Answer]},2,FALSE),1,0)</f>
        <v/>
      </c>
      <c r="AV141" s="41">
        <f t="array" ref="AV141">IF(T141=VLOOKUP(VALUE(T$1),{Questions[#],Questions[Answer]},2,FALSE),1,0)</f>
        <v/>
      </c>
      <c r="AW141" s="41">
        <f t="array" ref="AW141">IF(U141=VLOOKUP(VALUE(U$1),{Questions[#],Questions[Answer]},2,FALSE),1,0)</f>
        <v/>
      </c>
      <c r="AX141" s="41">
        <f t="array" ref="AX141">IF(V141=VLOOKUP(VALUE(V$1),{Questions[#],Questions[Answer]},2,FALSE),1,0)</f>
        <v/>
      </c>
      <c r="AY141" s="41">
        <f t="array" ref="AY141">IF(W141=VLOOKUP(VALUE(W$1),{Questions[#],Questions[Answer]},2,FALSE),1,0)</f>
        <v/>
      </c>
      <c r="AZ141" s="41">
        <f t="array" ref="AZ141">IF(X141=VLOOKUP(VALUE(X$1),{Questions[#],Questions[Answer]},2,FALSE),1,0)</f>
        <v/>
      </c>
      <c r="BA141" s="41">
        <f t="array" ref="BA141">IF(Y141=VLOOKUP(VALUE(Y$1),{Questions[#],Questions[Answer]},2,FALSE),1,0)</f>
        <v/>
      </c>
      <c r="BB141" s="41">
        <f t="array" ref="BB141">IF(Z141=VLOOKUP(VALUE(Z$1),{Questions[#],Questions[Answer]},2,FALSE),1,0)</f>
        <v/>
      </c>
      <c r="BC141" s="41">
        <f t="array" ref="BC141">IF(AA141=VLOOKUP(VALUE(AA$1),{Questions[#],Questions[Answer]},2,FALSE),1,0)</f>
        <v/>
      </c>
      <c r="BD141" s="41">
        <f t="array" ref="BD141">IF(AB141=VLOOKUP(VALUE(AB$1),{Questions[#],Questions[Answer]},2,FALSE),1,0)</f>
        <v/>
      </c>
      <c r="BE141" s="41">
        <f t="array" ref="BE141">IF(AC141=VLOOKUP(VALUE(AC$1),{Questions[#],Questions[Answer]},2,FALSE),1,0)</f>
        <v/>
      </c>
      <c r="BF141" s="41">
        <f t="array" ref="BF141">IF(AD141=VLOOKUP(VALUE(AD$1),{Questions[#],Questions[Answer]},2,FALSE),1,0)</f>
        <v/>
      </c>
      <c r="BG141" s="41">
        <f t="array" ref="BG141">IF(AE141=VLOOKUP(VALUE(AE$1),{Questions[#],Questions[Answer]},2,FALSE),1,0)</f>
        <v/>
      </c>
      <c r="BH141" s="41">
        <f t="array" ref="BH141">IF(AF141=VLOOKUP(VALUE(AF$1),{Questions[#],Questions[Answer]},2,FALSE),1,0)</f>
        <v/>
      </c>
      <c r="BI141" s="41">
        <f t="array" ref="BI141">IF(AG141=VLOOKUP(VALUE(AG$1),{Questions[#],Questions[Answer]},2,FALSE),1,0)</f>
        <v/>
      </c>
      <c r="BJ141" s="41">
        <f t="array" ref="BJ141">IF(AH141=VLOOKUP(VALUE(AH$1),{Questions[#],Questions[Answer]},2,FALSE),1,0)</f>
        <v/>
      </c>
      <c r="BK141" s="41">
        <f t="array" ref="BK141">IF(AI141=VLOOKUP(VALUE(AI$1),{Questions[#],Questions[Answer]},2,FALSE),1,0)</f>
        <v/>
      </c>
      <c r="BL141" s="41">
        <f t="array" ref="BL141">IF(AJ141=VLOOKUP(VALUE(AJ$1),{Questions[#],Questions[Answer]},2,FALSE),1,0)</f>
        <v/>
      </c>
      <c r="BM141" s="41">
        <f t="array" ref="BM141">IF(AK141=VLOOKUP(VALUE(AK$1),{Questions[#],Questions[Answer]},2,FALSE),1,0)</f>
        <v/>
      </c>
      <c r="BN141" s="41">
        <f t="array" ref="BN141">IF(AL141=VLOOKUP(VALUE(AL$1),{Questions[#],Questions[Answer]},2,FALSE),1,0)</f>
        <v/>
      </c>
    </row>
    <row r="142" ht="22.5" customHeight="1" s="93">
      <c r="A142" s="42" t="n"/>
      <c r="B142" s="41" t="n"/>
      <c r="C142" s="41" t="n"/>
      <c r="D142" s="43" t="n"/>
      <c r="E142" s="41" t="n"/>
      <c r="F142" s="41" t="n"/>
      <c r="G142" s="11">
        <f>SUM(AM142:BN142)</f>
        <v/>
      </c>
      <c r="H142" s="40">
        <f>G142/9</f>
        <v/>
      </c>
      <c r="I142" s="12">
        <f>0.5+(G142/54)</f>
        <v/>
      </c>
      <c r="J142" s="41">
        <f>COUNTIF(K142:AL142,"")</f>
        <v/>
      </c>
      <c r="K142" s="34" t="n"/>
      <c r="L142" s="35" t="n"/>
      <c r="M142" s="35" t="n"/>
      <c r="N142" s="35" t="n"/>
      <c r="O142" s="35" t="n"/>
      <c r="P142" s="35" t="n"/>
      <c r="Q142" s="35" t="n"/>
      <c r="R142" s="35" t="n"/>
      <c r="S142" s="35" t="n"/>
      <c r="T142" s="35" t="n"/>
      <c r="U142" s="35" t="n"/>
      <c r="V142" s="35" t="n"/>
      <c r="W142" s="35" t="n"/>
      <c r="X142" s="41" t="n"/>
      <c r="Y142" s="35" t="n"/>
      <c r="Z142" s="35" t="n"/>
      <c r="AA142" s="35" t="n"/>
      <c r="AB142" s="35" t="n"/>
      <c r="AC142" s="35" t="n"/>
      <c r="AD142" s="35" t="n"/>
      <c r="AE142" s="41" t="n"/>
      <c r="AF142" s="35" t="n"/>
      <c r="AG142" s="35" t="n"/>
      <c r="AH142" s="35" t="n"/>
      <c r="AI142" s="35" t="n"/>
      <c r="AJ142" s="35" t="n"/>
      <c r="AK142" s="35" t="n"/>
      <c r="AL142" s="38" t="n"/>
      <c r="AM142" s="19">
        <f t="array" ref="AM142">IF(K142=VLOOKUP(VALUE(K$1),{Questions[#],Questions[Answer]},2,FALSE),1,0)</f>
        <v/>
      </c>
      <c r="AN142" s="41">
        <f t="array" ref="AN142">IF(L142=VLOOKUP(VALUE(L$1),{Questions[#],Questions[Answer]},2,FALSE),1,0)</f>
        <v/>
      </c>
      <c r="AO142" s="41">
        <f t="array" ref="AO142">IF(M142=VLOOKUP(VALUE(M$1),{Questions[#],Questions[Answer]},2,FALSE),1,0)</f>
        <v/>
      </c>
      <c r="AP142" s="41">
        <f t="array" ref="AP142">IF(N142=VLOOKUP(VALUE(N$1),{Questions[#],Questions[Answer]},2,FALSE),1,0)</f>
        <v/>
      </c>
      <c r="AQ142" s="41">
        <f t="array" ref="AQ142">IF(O142=VLOOKUP(VALUE(O$1),{Questions[#],Questions[Answer]},2,FALSE),1,0)</f>
        <v/>
      </c>
      <c r="AR142" s="41">
        <f t="array" ref="AR142">IF(P142=VLOOKUP(VALUE(P$1),{Questions[#],Questions[Answer]},2,FALSE),1,0)</f>
        <v/>
      </c>
      <c r="AS142" s="41">
        <f t="array" ref="AS142">IF(Q142=VLOOKUP(VALUE(Q$1),{Questions[#],Questions[Answer]},2,FALSE),1,0)</f>
        <v/>
      </c>
      <c r="AT142" s="41">
        <f t="array" ref="AT142">IF(R142=VLOOKUP(VALUE(R$1),{Questions[#],Questions[Answer]},2,FALSE),1,0)</f>
        <v/>
      </c>
      <c r="AU142" s="41">
        <f t="array" ref="AU142">IF(S142=VLOOKUP(VALUE(S$1),{Questions[#],Questions[Answer]},2,FALSE),1,0)</f>
        <v/>
      </c>
      <c r="AV142" s="41">
        <f t="array" ref="AV142">IF(T142=VLOOKUP(VALUE(T$1),{Questions[#],Questions[Answer]},2,FALSE),1,0)</f>
        <v/>
      </c>
      <c r="AW142" s="41">
        <f t="array" ref="AW142">IF(U142=VLOOKUP(VALUE(U$1),{Questions[#],Questions[Answer]},2,FALSE),1,0)</f>
        <v/>
      </c>
      <c r="AX142" s="41">
        <f t="array" ref="AX142">IF(V142=VLOOKUP(VALUE(V$1),{Questions[#],Questions[Answer]},2,FALSE),1,0)</f>
        <v/>
      </c>
      <c r="AY142" s="41">
        <f t="array" ref="AY142">IF(W142=VLOOKUP(VALUE(W$1),{Questions[#],Questions[Answer]},2,FALSE),1,0)</f>
        <v/>
      </c>
      <c r="AZ142" s="41">
        <f t="array" ref="AZ142">IF(X142=VLOOKUP(VALUE(X$1),{Questions[#],Questions[Answer]},2,FALSE),1,0)</f>
        <v/>
      </c>
      <c r="BA142" s="41">
        <f t="array" ref="BA142">IF(Y142=VLOOKUP(VALUE(Y$1),{Questions[#],Questions[Answer]},2,FALSE),1,0)</f>
        <v/>
      </c>
      <c r="BB142" s="41">
        <f t="array" ref="BB142">IF(Z142=VLOOKUP(VALUE(Z$1),{Questions[#],Questions[Answer]},2,FALSE),1,0)</f>
        <v/>
      </c>
      <c r="BC142" s="41">
        <f t="array" ref="BC142">IF(AA142=VLOOKUP(VALUE(AA$1),{Questions[#],Questions[Answer]},2,FALSE),1,0)</f>
        <v/>
      </c>
      <c r="BD142" s="41">
        <f t="array" ref="BD142">IF(AB142=VLOOKUP(VALUE(AB$1),{Questions[#],Questions[Answer]},2,FALSE),1,0)</f>
        <v/>
      </c>
      <c r="BE142" s="41">
        <f t="array" ref="BE142">IF(AC142=VLOOKUP(VALUE(AC$1),{Questions[#],Questions[Answer]},2,FALSE),1,0)</f>
        <v/>
      </c>
      <c r="BF142" s="41">
        <f t="array" ref="BF142">IF(AD142=VLOOKUP(VALUE(AD$1),{Questions[#],Questions[Answer]},2,FALSE),1,0)</f>
        <v/>
      </c>
      <c r="BG142" s="41">
        <f t="array" ref="BG142">IF(AE142=VLOOKUP(VALUE(AE$1),{Questions[#],Questions[Answer]},2,FALSE),1,0)</f>
        <v/>
      </c>
      <c r="BH142" s="41">
        <f t="array" ref="BH142">IF(AF142=VLOOKUP(VALUE(AF$1),{Questions[#],Questions[Answer]},2,FALSE),1,0)</f>
        <v/>
      </c>
      <c r="BI142" s="41">
        <f t="array" ref="BI142">IF(AG142=VLOOKUP(VALUE(AG$1),{Questions[#],Questions[Answer]},2,FALSE),1,0)</f>
        <v/>
      </c>
      <c r="BJ142" s="41">
        <f t="array" ref="BJ142">IF(AH142=VLOOKUP(VALUE(AH$1),{Questions[#],Questions[Answer]},2,FALSE),1,0)</f>
        <v/>
      </c>
      <c r="BK142" s="41">
        <f t="array" ref="BK142">IF(AI142=VLOOKUP(VALUE(AI$1),{Questions[#],Questions[Answer]},2,FALSE),1,0)</f>
        <v/>
      </c>
      <c r="BL142" s="41">
        <f t="array" ref="BL142">IF(AJ142=VLOOKUP(VALUE(AJ$1),{Questions[#],Questions[Answer]},2,FALSE),1,0)</f>
        <v/>
      </c>
      <c r="BM142" s="41">
        <f t="array" ref="BM142">IF(AK142=VLOOKUP(VALUE(AK$1),{Questions[#],Questions[Answer]},2,FALSE),1,0)</f>
        <v/>
      </c>
      <c r="BN142" s="41">
        <f t="array" ref="BN142">IF(AL142=VLOOKUP(VALUE(AL$1),{Questions[#],Questions[Answer]},2,FALSE),1,0)</f>
        <v/>
      </c>
    </row>
    <row r="143" ht="22.5" customHeight="1" s="93">
      <c r="A143" s="42" t="n"/>
      <c r="B143" s="41" t="n"/>
      <c r="C143" s="41" t="n"/>
      <c r="D143" s="43" t="n"/>
      <c r="E143" s="41" t="n"/>
      <c r="F143" s="41" t="n"/>
      <c r="G143" s="11">
        <f>SUM(AM143:BN143)</f>
        <v/>
      </c>
      <c r="H143" s="40">
        <f>G143/9</f>
        <v/>
      </c>
      <c r="I143" s="12">
        <f>0.5+(G143/54)</f>
        <v/>
      </c>
      <c r="J143" s="41">
        <f>COUNTIF(K143:AL143,"")</f>
        <v/>
      </c>
      <c r="K143" s="34" t="n"/>
      <c r="L143" s="35" t="n"/>
      <c r="M143" s="35" t="n"/>
      <c r="N143" s="35" t="n"/>
      <c r="O143" s="35" t="n"/>
      <c r="P143" s="35" t="n"/>
      <c r="Q143" s="35" t="n"/>
      <c r="R143" s="35" t="n"/>
      <c r="S143" s="35" t="n"/>
      <c r="T143" s="35" t="n"/>
      <c r="U143" s="35" t="n"/>
      <c r="V143" s="35" t="n"/>
      <c r="W143" s="35" t="n"/>
      <c r="X143" s="41" t="n"/>
      <c r="Y143" s="35" t="n"/>
      <c r="Z143" s="35" t="n"/>
      <c r="AA143" s="35" t="n"/>
      <c r="AB143" s="35" t="n"/>
      <c r="AC143" s="35" t="n"/>
      <c r="AD143" s="35" t="n"/>
      <c r="AE143" s="41" t="n"/>
      <c r="AF143" s="35" t="n"/>
      <c r="AG143" s="35" t="n"/>
      <c r="AH143" s="35" t="n"/>
      <c r="AI143" s="35" t="n"/>
      <c r="AJ143" s="35" t="n"/>
      <c r="AK143" s="35" t="n"/>
      <c r="AL143" s="38" t="n"/>
      <c r="AM143" s="19">
        <f t="array" ref="AM143">IF(K143=VLOOKUP(VALUE(K$1),{Questions[#],Questions[Answer]},2,FALSE),1,0)</f>
        <v/>
      </c>
      <c r="AN143" s="41">
        <f t="array" ref="AN143">IF(L143=VLOOKUP(VALUE(L$1),{Questions[#],Questions[Answer]},2,FALSE),1,0)</f>
        <v/>
      </c>
      <c r="AO143" s="41">
        <f t="array" ref="AO143">IF(M143=VLOOKUP(VALUE(M$1),{Questions[#],Questions[Answer]},2,FALSE),1,0)</f>
        <v/>
      </c>
      <c r="AP143" s="41">
        <f t="array" ref="AP143">IF(N143=VLOOKUP(VALUE(N$1),{Questions[#],Questions[Answer]},2,FALSE),1,0)</f>
        <v/>
      </c>
      <c r="AQ143" s="41">
        <f t="array" ref="AQ143">IF(O143=VLOOKUP(VALUE(O$1),{Questions[#],Questions[Answer]},2,FALSE),1,0)</f>
        <v/>
      </c>
      <c r="AR143" s="41">
        <f t="array" ref="AR143">IF(P143=VLOOKUP(VALUE(P$1),{Questions[#],Questions[Answer]},2,FALSE),1,0)</f>
        <v/>
      </c>
      <c r="AS143" s="41">
        <f t="array" ref="AS143">IF(Q143=VLOOKUP(VALUE(Q$1),{Questions[#],Questions[Answer]},2,FALSE),1,0)</f>
        <v/>
      </c>
      <c r="AT143" s="41">
        <f t="array" ref="AT143">IF(R143=VLOOKUP(VALUE(R$1),{Questions[#],Questions[Answer]},2,FALSE),1,0)</f>
        <v/>
      </c>
      <c r="AU143" s="41">
        <f t="array" ref="AU143">IF(S143=VLOOKUP(VALUE(S$1),{Questions[#],Questions[Answer]},2,FALSE),1,0)</f>
        <v/>
      </c>
      <c r="AV143" s="41">
        <f t="array" ref="AV143">IF(T143=VLOOKUP(VALUE(T$1),{Questions[#],Questions[Answer]},2,FALSE),1,0)</f>
        <v/>
      </c>
      <c r="AW143" s="41">
        <f t="array" ref="AW143">IF(U143=VLOOKUP(VALUE(U$1),{Questions[#],Questions[Answer]},2,FALSE),1,0)</f>
        <v/>
      </c>
      <c r="AX143" s="41">
        <f t="array" ref="AX143">IF(V143=VLOOKUP(VALUE(V$1),{Questions[#],Questions[Answer]},2,FALSE),1,0)</f>
        <v/>
      </c>
      <c r="AY143" s="41">
        <f t="array" ref="AY143">IF(W143=VLOOKUP(VALUE(W$1),{Questions[#],Questions[Answer]},2,FALSE),1,0)</f>
        <v/>
      </c>
      <c r="AZ143" s="41">
        <f t="array" ref="AZ143">IF(X143=VLOOKUP(VALUE(X$1),{Questions[#],Questions[Answer]},2,FALSE),1,0)</f>
        <v/>
      </c>
      <c r="BA143" s="41">
        <f t="array" ref="BA143">IF(Y143=VLOOKUP(VALUE(Y$1),{Questions[#],Questions[Answer]},2,FALSE),1,0)</f>
        <v/>
      </c>
      <c r="BB143" s="41">
        <f t="array" ref="BB143">IF(Z143=VLOOKUP(VALUE(Z$1),{Questions[#],Questions[Answer]},2,FALSE),1,0)</f>
        <v/>
      </c>
      <c r="BC143" s="41">
        <f t="array" ref="BC143">IF(AA143=VLOOKUP(VALUE(AA$1),{Questions[#],Questions[Answer]},2,FALSE),1,0)</f>
        <v/>
      </c>
      <c r="BD143" s="41">
        <f t="array" ref="BD143">IF(AB143=VLOOKUP(VALUE(AB$1),{Questions[#],Questions[Answer]},2,FALSE),1,0)</f>
        <v/>
      </c>
      <c r="BE143" s="41">
        <f t="array" ref="BE143">IF(AC143=VLOOKUP(VALUE(AC$1),{Questions[#],Questions[Answer]},2,FALSE),1,0)</f>
        <v/>
      </c>
      <c r="BF143" s="41">
        <f t="array" ref="BF143">IF(AD143=VLOOKUP(VALUE(AD$1),{Questions[#],Questions[Answer]},2,FALSE),1,0)</f>
        <v/>
      </c>
      <c r="BG143" s="41">
        <f t="array" ref="BG143">IF(AE143=VLOOKUP(VALUE(AE$1),{Questions[#],Questions[Answer]},2,FALSE),1,0)</f>
        <v/>
      </c>
      <c r="BH143" s="41">
        <f t="array" ref="BH143">IF(AF143=VLOOKUP(VALUE(AF$1),{Questions[#],Questions[Answer]},2,FALSE),1,0)</f>
        <v/>
      </c>
      <c r="BI143" s="41">
        <f t="array" ref="BI143">IF(AG143=VLOOKUP(VALUE(AG$1),{Questions[#],Questions[Answer]},2,FALSE),1,0)</f>
        <v/>
      </c>
      <c r="BJ143" s="41">
        <f t="array" ref="BJ143">IF(AH143=VLOOKUP(VALUE(AH$1),{Questions[#],Questions[Answer]},2,FALSE),1,0)</f>
        <v/>
      </c>
      <c r="BK143" s="41">
        <f t="array" ref="BK143">IF(AI143=VLOOKUP(VALUE(AI$1),{Questions[#],Questions[Answer]},2,FALSE),1,0)</f>
        <v/>
      </c>
      <c r="BL143" s="41">
        <f t="array" ref="BL143">IF(AJ143=VLOOKUP(VALUE(AJ$1),{Questions[#],Questions[Answer]},2,FALSE),1,0)</f>
        <v/>
      </c>
      <c r="BM143" s="41">
        <f t="array" ref="BM143">IF(AK143=VLOOKUP(VALUE(AK$1),{Questions[#],Questions[Answer]},2,FALSE),1,0)</f>
        <v/>
      </c>
      <c r="BN143" s="41">
        <f t="array" ref="BN143">IF(AL143=VLOOKUP(VALUE(AL$1),{Questions[#],Questions[Answer]},2,FALSE),1,0)</f>
        <v/>
      </c>
    </row>
    <row r="144" ht="22.5" customHeight="1" s="93">
      <c r="A144" s="42" t="n"/>
      <c r="B144" s="41" t="n"/>
      <c r="C144" s="41" t="n"/>
      <c r="D144" s="43" t="n"/>
      <c r="E144" s="41" t="n"/>
      <c r="F144" s="41" t="n"/>
      <c r="G144" s="11">
        <f>SUM(AM144:BN144)</f>
        <v/>
      </c>
      <c r="H144" s="40">
        <f>G144/9</f>
        <v/>
      </c>
      <c r="I144" s="12">
        <f>0.5+(G144/54)</f>
        <v/>
      </c>
      <c r="J144" s="41">
        <f>COUNTIF(K144:AL144,"")</f>
        <v/>
      </c>
      <c r="K144" s="34" t="n"/>
      <c r="L144" s="35" t="n"/>
      <c r="M144" s="35" t="n"/>
      <c r="N144" s="35" t="n"/>
      <c r="O144" s="35" t="n"/>
      <c r="P144" s="35" t="n"/>
      <c r="Q144" s="35" t="n"/>
      <c r="R144" s="35" t="n"/>
      <c r="S144" s="35" t="n"/>
      <c r="T144" s="35" t="n"/>
      <c r="U144" s="35" t="n"/>
      <c r="V144" s="35" t="n"/>
      <c r="W144" s="35" t="n"/>
      <c r="X144" s="41" t="n"/>
      <c r="Y144" s="35" t="n"/>
      <c r="Z144" s="35" t="n"/>
      <c r="AA144" s="35" t="n"/>
      <c r="AB144" s="35" t="n"/>
      <c r="AC144" s="35" t="n"/>
      <c r="AD144" s="35" t="n"/>
      <c r="AE144" s="41" t="n"/>
      <c r="AF144" s="35" t="n"/>
      <c r="AG144" s="35" t="n"/>
      <c r="AH144" s="35" t="n"/>
      <c r="AI144" s="35" t="n"/>
      <c r="AJ144" s="35" t="n"/>
      <c r="AK144" s="35" t="n"/>
      <c r="AL144" s="38" t="n"/>
      <c r="AM144" s="19">
        <f t="array" ref="AM144">IF(K144=VLOOKUP(VALUE(K$1),{Questions[#],Questions[Answer]},2,FALSE),1,0)</f>
        <v/>
      </c>
      <c r="AN144" s="41">
        <f t="array" ref="AN144">IF(L144=VLOOKUP(VALUE(L$1),{Questions[#],Questions[Answer]},2,FALSE),1,0)</f>
        <v/>
      </c>
      <c r="AO144" s="41">
        <f t="array" ref="AO144">IF(M144=VLOOKUP(VALUE(M$1),{Questions[#],Questions[Answer]},2,FALSE),1,0)</f>
        <v/>
      </c>
      <c r="AP144" s="41">
        <f t="array" ref="AP144">IF(N144=VLOOKUP(VALUE(N$1),{Questions[#],Questions[Answer]},2,FALSE),1,0)</f>
        <v/>
      </c>
      <c r="AQ144" s="41">
        <f t="array" ref="AQ144">IF(O144=VLOOKUP(VALUE(O$1),{Questions[#],Questions[Answer]},2,FALSE),1,0)</f>
        <v/>
      </c>
      <c r="AR144" s="41">
        <f t="array" ref="AR144">IF(P144=VLOOKUP(VALUE(P$1),{Questions[#],Questions[Answer]},2,FALSE),1,0)</f>
        <v/>
      </c>
      <c r="AS144" s="41">
        <f t="array" ref="AS144">IF(Q144=VLOOKUP(VALUE(Q$1),{Questions[#],Questions[Answer]},2,FALSE),1,0)</f>
        <v/>
      </c>
      <c r="AT144" s="41">
        <f t="array" ref="AT144">IF(R144=VLOOKUP(VALUE(R$1),{Questions[#],Questions[Answer]},2,FALSE),1,0)</f>
        <v/>
      </c>
      <c r="AU144" s="41">
        <f t="array" ref="AU144">IF(S144=VLOOKUP(VALUE(S$1),{Questions[#],Questions[Answer]},2,FALSE),1,0)</f>
        <v/>
      </c>
      <c r="AV144" s="41">
        <f t="array" ref="AV144">IF(T144=VLOOKUP(VALUE(T$1),{Questions[#],Questions[Answer]},2,FALSE),1,0)</f>
        <v/>
      </c>
      <c r="AW144" s="41">
        <f t="array" ref="AW144">IF(U144=VLOOKUP(VALUE(U$1),{Questions[#],Questions[Answer]},2,FALSE),1,0)</f>
        <v/>
      </c>
      <c r="AX144" s="41">
        <f t="array" ref="AX144">IF(V144=VLOOKUP(VALUE(V$1),{Questions[#],Questions[Answer]},2,FALSE),1,0)</f>
        <v/>
      </c>
      <c r="AY144" s="41">
        <f t="array" ref="AY144">IF(W144=VLOOKUP(VALUE(W$1),{Questions[#],Questions[Answer]},2,FALSE),1,0)</f>
        <v/>
      </c>
      <c r="AZ144" s="41">
        <f t="array" ref="AZ144">IF(X144=VLOOKUP(VALUE(X$1),{Questions[#],Questions[Answer]},2,FALSE),1,0)</f>
        <v/>
      </c>
      <c r="BA144" s="41">
        <f t="array" ref="BA144">IF(Y144=VLOOKUP(VALUE(Y$1),{Questions[#],Questions[Answer]},2,FALSE),1,0)</f>
        <v/>
      </c>
      <c r="BB144" s="41">
        <f t="array" ref="BB144">IF(Z144=VLOOKUP(VALUE(Z$1),{Questions[#],Questions[Answer]},2,FALSE),1,0)</f>
        <v/>
      </c>
      <c r="BC144" s="41">
        <f t="array" ref="BC144">IF(AA144=VLOOKUP(VALUE(AA$1),{Questions[#],Questions[Answer]},2,FALSE),1,0)</f>
        <v/>
      </c>
      <c r="BD144" s="41">
        <f t="array" ref="BD144">IF(AB144=VLOOKUP(VALUE(AB$1),{Questions[#],Questions[Answer]},2,FALSE),1,0)</f>
        <v/>
      </c>
      <c r="BE144" s="41">
        <f t="array" ref="BE144">IF(AC144=VLOOKUP(VALUE(AC$1),{Questions[#],Questions[Answer]},2,FALSE),1,0)</f>
        <v/>
      </c>
      <c r="BF144" s="41">
        <f t="array" ref="BF144">IF(AD144=VLOOKUP(VALUE(AD$1),{Questions[#],Questions[Answer]},2,FALSE),1,0)</f>
        <v/>
      </c>
      <c r="BG144" s="41">
        <f t="array" ref="BG144">IF(AE144=VLOOKUP(VALUE(AE$1),{Questions[#],Questions[Answer]},2,FALSE),1,0)</f>
        <v/>
      </c>
      <c r="BH144" s="41">
        <f t="array" ref="BH144">IF(AF144=VLOOKUP(VALUE(AF$1),{Questions[#],Questions[Answer]},2,FALSE),1,0)</f>
        <v/>
      </c>
      <c r="BI144" s="41">
        <f t="array" ref="BI144">IF(AG144=VLOOKUP(VALUE(AG$1),{Questions[#],Questions[Answer]},2,FALSE),1,0)</f>
        <v/>
      </c>
      <c r="BJ144" s="41">
        <f t="array" ref="BJ144">IF(AH144=VLOOKUP(VALUE(AH$1),{Questions[#],Questions[Answer]},2,FALSE),1,0)</f>
        <v/>
      </c>
      <c r="BK144" s="41">
        <f t="array" ref="BK144">IF(AI144=VLOOKUP(VALUE(AI$1),{Questions[#],Questions[Answer]},2,FALSE),1,0)</f>
        <v/>
      </c>
      <c r="BL144" s="41">
        <f t="array" ref="BL144">IF(AJ144=VLOOKUP(VALUE(AJ$1),{Questions[#],Questions[Answer]},2,FALSE),1,0)</f>
        <v/>
      </c>
      <c r="BM144" s="41">
        <f t="array" ref="BM144">IF(AK144=VLOOKUP(VALUE(AK$1),{Questions[#],Questions[Answer]},2,FALSE),1,0)</f>
        <v/>
      </c>
      <c r="BN144" s="41">
        <f t="array" ref="BN144">IF(AL144=VLOOKUP(VALUE(AL$1),{Questions[#],Questions[Answer]},2,FALSE),1,0)</f>
        <v/>
      </c>
    </row>
    <row r="145" ht="22.5" customHeight="1" s="93">
      <c r="A145" s="42" t="n"/>
      <c r="B145" s="41" t="n"/>
      <c r="C145" s="41" t="n"/>
      <c r="D145" s="43" t="n"/>
      <c r="E145" s="41" t="n"/>
      <c r="F145" s="41" t="n"/>
      <c r="G145" s="11">
        <f>SUM(AM145:BN145)</f>
        <v/>
      </c>
      <c r="H145" s="40">
        <f>G145/9</f>
        <v/>
      </c>
      <c r="I145" s="12">
        <f>0.5+(G145/54)</f>
        <v/>
      </c>
      <c r="J145" s="41">
        <f>COUNTIF(K145:AL145,"")</f>
        <v/>
      </c>
      <c r="K145" s="34" t="n"/>
      <c r="L145" s="35" t="n"/>
      <c r="M145" s="35" t="n"/>
      <c r="N145" s="35" t="n"/>
      <c r="O145" s="35" t="n"/>
      <c r="P145" s="35" t="n"/>
      <c r="Q145" s="35" t="n"/>
      <c r="R145" s="35" t="n"/>
      <c r="S145" s="35" t="n"/>
      <c r="T145" s="35" t="n"/>
      <c r="U145" s="35" t="n"/>
      <c r="V145" s="35" t="n"/>
      <c r="W145" s="35" t="n"/>
      <c r="X145" s="41" t="n"/>
      <c r="Y145" s="35" t="n"/>
      <c r="Z145" s="35" t="n"/>
      <c r="AA145" s="35" t="n"/>
      <c r="AB145" s="35" t="n"/>
      <c r="AC145" s="35" t="n"/>
      <c r="AD145" s="35" t="n"/>
      <c r="AE145" s="41" t="n"/>
      <c r="AF145" s="35" t="n"/>
      <c r="AG145" s="35" t="n"/>
      <c r="AH145" s="35" t="n"/>
      <c r="AI145" s="35" t="n"/>
      <c r="AJ145" s="35" t="n"/>
      <c r="AK145" s="35" t="n"/>
      <c r="AL145" s="38" t="n"/>
      <c r="AM145" s="19">
        <f t="array" ref="AM145">IF(K145=VLOOKUP(VALUE(K$1),{Questions[#],Questions[Answer]},2,FALSE),1,0)</f>
        <v/>
      </c>
      <c r="AN145" s="41">
        <f t="array" ref="AN145">IF(L145=VLOOKUP(VALUE(L$1),{Questions[#],Questions[Answer]},2,FALSE),1,0)</f>
        <v/>
      </c>
      <c r="AO145" s="41">
        <f t="array" ref="AO145">IF(M145=VLOOKUP(VALUE(M$1),{Questions[#],Questions[Answer]},2,FALSE),1,0)</f>
        <v/>
      </c>
      <c r="AP145" s="41">
        <f t="array" ref="AP145">IF(N145=VLOOKUP(VALUE(N$1),{Questions[#],Questions[Answer]},2,FALSE),1,0)</f>
        <v/>
      </c>
      <c r="AQ145" s="41">
        <f t="array" ref="AQ145">IF(O145=VLOOKUP(VALUE(O$1),{Questions[#],Questions[Answer]},2,FALSE),1,0)</f>
        <v/>
      </c>
      <c r="AR145" s="41">
        <f t="array" ref="AR145">IF(P145=VLOOKUP(VALUE(P$1),{Questions[#],Questions[Answer]},2,FALSE),1,0)</f>
        <v/>
      </c>
      <c r="AS145" s="41">
        <f t="array" ref="AS145">IF(Q145=VLOOKUP(VALUE(Q$1),{Questions[#],Questions[Answer]},2,FALSE),1,0)</f>
        <v/>
      </c>
      <c r="AT145" s="41">
        <f t="array" ref="AT145">IF(R145=VLOOKUP(VALUE(R$1),{Questions[#],Questions[Answer]},2,FALSE),1,0)</f>
        <v/>
      </c>
      <c r="AU145" s="41">
        <f t="array" ref="AU145">IF(S145=VLOOKUP(VALUE(S$1),{Questions[#],Questions[Answer]},2,FALSE),1,0)</f>
        <v/>
      </c>
      <c r="AV145" s="41">
        <f t="array" ref="AV145">IF(T145=VLOOKUP(VALUE(T$1),{Questions[#],Questions[Answer]},2,FALSE),1,0)</f>
        <v/>
      </c>
      <c r="AW145" s="41">
        <f t="array" ref="AW145">IF(U145=VLOOKUP(VALUE(U$1),{Questions[#],Questions[Answer]},2,FALSE),1,0)</f>
        <v/>
      </c>
      <c r="AX145" s="41">
        <f t="array" ref="AX145">IF(V145=VLOOKUP(VALUE(V$1),{Questions[#],Questions[Answer]},2,FALSE),1,0)</f>
        <v/>
      </c>
      <c r="AY145" s="41">
        <f t="array" ref="AY145">IF(W145=VLOOKUP(VALUE(W$1),{Questions[#],Questions[Answer]},2,FALSE),1,0)</f>
        <v/>
      </c>
      <c r="AZ145" s="41">
        <f t="array" ref="AZ145">IF(X145=VLOOKUP(VALUE(X$1),{Questions[#],Questions[Answer]},2,FALSE),1,0)</f>
        <v/>
      </c>
      <c r="BA145" s="41">
        <f t="array" ref="BA145">IF(Y145=VLOOKUP(VALUE(Y$1),{Questions[#],Questions[Answer]},2,FALSE),1,0)</f>
        <v/>
      </c>
      <c r="BB145" s="41">
        <f t="array" ref="BB145">IF(Z145=VLOOKUP(VALUE(Z$1),{Questions[#],Questions[Answer]},2,FALSE),1,0)</f>
        <v/>
      </c>
      <c r="BC145" s="41">
        <f t="array" ref="BC145">IF(AA145=VLOOKUP(VALUE(AA$1),{Questions[#],Questions[Answer]},2,FALSE),1,0)</f>
        <v/>
      </c>
      <c r="BD145" s="41">
        <f t="array" ref="BD145">IF(AB145=VLOOKUP(VALUE(AB$1),{Questions[#],Questions[Answer]},2,FALSE),1,0)</f>
        <v/>
      </c>
      <c r="BE145" s="41">
        <f t="array" ref="BE145">IF(AC145=VLOOKUP(VALUE(AC$1),{Questions[#],Questions[Answer]},2,FALSE),1,0)</f>
        <v/>
      </c>
      <c r="BF145" s="41">
        <f t="array" ref="BF145">IF(AD145=VLOOKUP(VALUE(AD$1),{Questions[#],Questions[Answer]},2,FALSE),1,0)</f>
        <v/>
      </c>
      <c r="BG145" s="41">
        <f t="array" ref="BG145">IF(AE145=VLOOKUP(VALUE(AE$1),{Questions[#],Questions[Answer]},2,FALSE),1,0)</f>
        <v/>
      </c>
      <c r="BH145" s="41">
        <f t="array" ref="BH145">IF(AF145=VLOOKUP(VALUE(AF$1),{Questions[#],Questions[Answer]},2,FALSE),1,0)</f>
        <v/>
      </c>
      <c r="BI145" s="41">
        <f t="array" ref="BI145">IF(AG145=VLOOKUP(VALUE(AG$1),{Questions[#],Questions[Answer]},2,FALSE),1,0)</f>
        <v/>
      </c>
      <c r="BJ145" s="41">
        <f t="array" ref="BJ145">IF(AH145=VLOOKUP(VALUE(AH$1),{Questions[#],Questions[Answer]},2,FALSE),1,0)</f>
        <v/>
      </c>
      <c r="BK145" s="41">
        <f t="array" ref="BK145">IF(AI145=VLOOKUP(VALUE(AI$1),{Questions[#],Questions[Answer]},2,FALSE),1,0)</f>
        <v/>
      </c>
      <c r="BL145" s="41">
        <f t="array" ref="BL145">IF(AJ145=VLOOKUP(VALUE(AJ$1),{Questions[#],Questions[Answer]},2,FALSE),1,0)</f>
        <v/>
      </c>
      <c r="BM145" s="41">
        <f t="array" ref="BM145">IF(AK145=VLOOKUP(VALUE(AK$1),{Questions[#],Questions[Answer]},2,FALSE),1,0)</f>
        <v/>
      </c>
      <c r="BN145" s="41">
        <f t="array" ref="BN145">IF(AL145=VLOOKUP(VALUE(AL$1),{Questions[#],Questions[Answer]},2,FALSE),1,0)</f>
        <v/>
      </c>
    </row>
    <row r="146" ht="22.5" customHeight="1" s="93">
      <c r="A146" s="42" t="n"/>
      <c r="B146" s="41" t="n"/>
      <c r="C146" s="41" t="n"/>
      <c r="D146" s="43" t="n"/>
      <c r="E146" s="41" t="n"/>
      <c r="F146" s="41" t="n"/>
      <c r="G146" s="11">
        <f>SUM(AM146:BN146)</f>
        <v/>
      </c>
      <c r="H146" s="40">
        <f>G146/9</f>
        <v/>
      </c>
      <c r="I146" s="12">
        <f>0.5+(G146/54)</f>
        <v/>
      </c>
      <c r="J146" s="41">
        <f>COUNTIF(K146:AL146,"")</f>
        <v/>
      </c>
      <c r="K146" s="34" t="n"/>
      <c r="L146" s="35" t="n"/>
      <c r="M146" s="35" t="n"/>
      <c r="N146" s="35" t="n"/>
      <c r="O146" s="35" t="n"/>
      <c r="P146" s="35" t="n"/>
      <c r="Q146" s="35" t="n"/>
      <c r="R146" s="35" t="n"/>
      <c r="S146" s="35" t="n"/>
      <c r="T146" s="35" t="n"/>
      <c r="U146" s="35" t="n"/>
      <c r="V146" s="35" t="n"/>
      <c r="W146" s="35" t="n"/>
      <c r="X146" s="41" t="n"/>
      <c r="Y146" s="35" t="n"/>
      <c r="Z146" s="35" t="n"/>
      <c r="AA146" s="35" t="n"/>
      <c r="AB146" s="35" t="n"/>
      <c r="AC146" s="35" t="n"/>
      <c r="AD146" s="35" t="n"/>
      <c r="AE146" s="41" t="n"/>
      <c r="AF146" s="35" t="n"/>
      <c r="AG146" s="35" t="n"/>
      <c r="AH146" s="35" t="n"/>
      <c r="AI146" s="35" t="n"/>
      <c r="AJ146" s="35" t="n"/>
      <c r="AK146" s="35" t="n"/>
      <c r="AL146" s="38" t="n"/>
      <c r="AM146" s="19">
        <f t="array" ref="AM146">IF(K146=VLOOKUP(VALUE(K$1),{Questions[#],Questions[Answer]},2,FALSE),1,0)</f>
        <v/>
      </c>
      <c r="AN146" s="41">
        <f t="array" ref="AN146">IF(L146=VLOOKUP(VALUE(L$1),{Questions[#],Questions[Answer]},2,FALSE),1,0)</f>
        <v/>
      </c>
      <c r="AO146" s="41">
        <f t="array" ref="AO146">IF(M146=VLOOKUP(VALUE(M$1),{Questions[#],Questions[Answer]},2,FALSE),1,0)</f>
        <v/>
      </c>
      <c r="AP146" s="41">
        <f t="array" ref="AP146">IF(N146=VLOOKUP(VALUE(N$1),{Questions[#],Questions[Answer]},2,FALSE),1,0)</f>
        <v/>
      </c>
      <c r="AQ146" s="41">
        <f t="array" ref="AQ146">IF(O146=VLOOKUP(VALUE(O$1),{Questions[#],Questions[Answer]},2,FALSE),1,0)</f>
        <v/>
      </c>
      <c r="AR146" s="41">
        <f t="array" ref="AR146">IF(P146=VLOOKUP(VALUE(P$1),{Questions[#],Questions[Answer]},2,FALSE),1,0)</f>
        <v/>
      </c>
      <c r="AS146" s="41">
        <f t="array" ref="AS146">IF(Q146=VLOOKUP(VALUE(Q$1),{Questions[#],Questions[Answer]},2,FALSE),1,0)</f>
        <v/>
      </c>
      <c r="AT146" s="41">
        <f t="array" ref="AT146">IF(R146=VLOOKUP(VALUE(R$1),{Questions[#],Questions[Answer]},2,FALSE),1,0)</f>
        <v/>
      </c>
      <c r="AU146" s="41">
        <f t="array" ref="AU146">IF(S146=VLOOKUP(VALUE(S$1),{Questions[#],Questions[Answer]},2,FALSE),1,0)</f>
        <v/>
      </c>
      <c r="AV146" s="41">
        <f t="array" ref="AV146">IF(T146=VLOOKUP(VALUE(T$1),{Questions[#],Questions[Answer]},2,FALSE),1,0)</f>
        <v/>
      </c>
      <c r="AW146" s="41">
        <f t="array" ref="AW146">IF(U146=VLOOKUP(VALUE(U$1),{Questions[#],Questions[Answer]},2,FALSE),1,0)</f>
        <v/>
      </c>
      <c r="AX146" s="41">
        <f t="array" ref="AX146">IF(V146=VLOOKUP(VALUE(V$1),{Questions[#],Questions[Answer]},2,FALSE),1,0)</f>
        <v/>
      </c>
      <c r="AY146" s="41">
        <f t="array" ref="AY146">IF(W146=VLOOKUP(VALUE(W$1),{Questions[#],Questions[Answer]},2,FALSE),1,0)</f>
        <v/>
      </c>
      <c r="AZ146" s="41">
        <f t="array" ref="AZ146">IF(X146=VLOOKUP(VALUE(X$1),{Questions[#],Questions[Answer]},2,FALSE),1,0)</f>
        <v/>
      </c>
      <c r="BA146" s="41">
        <f t="array" ref="BA146">IF(Y146=VLOOKUP(VALUE(Y$1),{Questions[#],Questions[Answer]},2,FALSE),1,0)</f>
        <v/>
      </c>
      <c r="BB146" s="41">
        <f t="array" ref="BB146">IF(Z146=VLOOKUP(VALUE(Z$1),{Questions[#],Questions[Answer]},2,FALSE),1,0)</f>
        <v/>
      </c>
      <c r="BC146" s="41">
        <f t="array" ref="BC146">IF(AA146=VLOOKUP(VALUE(AA$1),{Questions[#],Questions[Answer]},2,FALSE),1,0)</f>
        <v/>
      </c>
      <c r="BD146" s="41">
        <f t="array" ref="BD146">IF(AB146=VLOOKUP(VALUE(AB$1),{Questions[#],Questions[Answer]},2,FALSE),1,0)</f>
        <v/>
      </c>
      <c r="BE146" s="41">
        <f t="array" ref="BE146">IF(AC146=VLOOKUP(VALUE(AC$1),{Questions[#],Questions[Answer]},2,FALSE),1,0)</f>
        <v/>
      </c>
      <c r="BF146" s="41">
        <f t="array" ref="BF146">IF(AD146=VLOOKUP(VALUE(AD$1),{Questions[#],Questions[Answer]},2,FALSE),1,0)</f>
        <v/>
      </c>
      <c r="BG146" s="41">
        <f t="array" ref="BG146">IF(AE146=VLOOKUP(VALUE(AE$1),{Questions[#],Questions[Answer]},2,FALSE),1,0)</f>
        <v/>
      </c>
      <c r="BH146" s="41">
        <f t="array" ref="BH146">IF(AF146=VLOOKUP(VALUE(AF$1),{Questions[#],Questions[Answer]},2,FALSE),1,0)</f>
        <v/>
      </c>
      <c r="BI146" s="41">
        <f t="array" ref="BI146">IF(AG146=VLOOKUP(VALUE(AG$1),{Questions[#],Questions[Answer]},2,FALSE),1,0)</f>
        <v/>
      </c>
      <c r="BJ146" s="41">
        <f t="array" ref="BJ146">IF(AH146=VLOOKUP(VALUE(AH$1),{Questions[#],Questions[Answer]},2,FALSE),1,0)</f>
        <v/>
      </c>
      <c r="BK146" s="41">
        <f t="array" ref="BK146">IF(AI146=VLOOKUP(VALUE(AI$1),{Questions[#],Questions[Answer]},2,FALSE),1,0)</f>
        <v/>
      </c>
      <c r="BL146" s="41">
        <f t="array" ref="BL146">IF(AJ146=VLOOKUP(VALUE(AJ$1),{Questions[#],Questions[Answer]},2,FALSE),1,0)</f>
        <v/>
      </c>
      <c r="BM146" s="41">
        <f t="array" ref="BM146">IF(AK146=VLOOKUP(VALUE(AK$1),{Questions[#],Questions[Answer]},2,FALSE),1,0)</f>
        <v/>
      </c>
      <c r="BN146" s="41">
        <f t="array" ref="BN146">IF(AL146=VLOOKUP(VALUE(AL$1),{Questions[#],Questions[Answer]},2,FALSE),1,0)</f>
        <v/>
      </c>
    </row>
    <row r="147" ht="22.5" customHeight="1" s="93">
      <c r="A147" s="42" t="n"/>
      <c r="B147" s="41" t="n"/>
      <c r="C147" s="41" t="n"/>
      <c r="D147" s="43" t="n"/>
      <c r="E147" s="41" t="n"/>
      <c r="F147" s="41" t="n"/>
      <c r="G147" s="11">
        <f>SUM(AM147:BN147)</f>
        <v/>
      </c>
      <c r="H147" s="40">
        <f>G147/9</f>
        <v/>
      </c>
      <c r="I147" s="12">
        <f>0.5+(G147/54)</f>
        <v/>
      </c>
      <c r="J147" s="41">
        <f>COUNTIF(K147:AL147,"")</f>
        <v/>
      </c>
      <c r="K147" s="34" t="n"/>
      <c r="L147" s="35" t="n"/>
      <c r="M147" s="35" t="n"/>
      <c r="N147" s="35" t="n"/>
      <c r="O147" s="35" t="n"/>
      <c r="P147" s="35" t="n"/>
      <c r="Q147" s="35" t="n"/>
      <c r="R147" s="35" t="n"/>
      <c r="S147" s="35" t="n"/>
      <c r="T147" s="35" t="n"/>
      <c r="U147" s="35" t="n"/>
      <c r="V147" s="35" t="n"/>
      <c r="W147" s="35" t="n"/>
      <c r="X147" s="41" t="n"/>
      <c r="Y147" s="35" t="n"/>
      <c r="Z147" s="35" t="n"/>
      <c r="AA147" s="35" t="n"/>
      <c r="AB147" s="35" t="n"/>
      <c r="AC147" s="35" t="n"/>
      <c r="AD147" s="35" t="n"/>
      <c r="AE147" s="41" t="n"/>
      <c r="AF147" s="35" t="n"/>
      <c r="AG147" s="35" t="n"/>
      <c r="AH147" s="35" t="n"/>
      <c r="AI147" s="35" t="n"/>
      <c r="AJ147" s="35" t="n"/>
      <c r="AK147" s="35" t="n"/>
      <c r="AL147" s="38" t="n"/>
      <c r="AM147" s="19">
        <f t="array" ref="AM147">IF(K147=VLOOKUP(VALUE(K$1),{Questions[#],Questions[Answer]},2,FALSE),1,0)</f>
        <v/>
      </c>
      <c r="AN147" s="41">
        <f t="array" ref="AN147">IF(L147=VLOOKUP(VALUE(L$1),{Questions[#],Questions[Answer]},2,FALSE),1,0)</f>
        <v/>
      </c>
      <c r="AO147" s="41">
        <f t="array" ref="AO147">IF(M147=VLOOKUP(VALUE(M$1),{Questions[#],Questions[Answer]},2,FALSE),1,0)</f>
        <v/>
      </c>
      <c r="AP147" s="41">
        <f t="array" ref="AP147">IF(N147=VLOOKUP(VALUE(N$1),{Questions[#],Questions[Answer]},2,FALSE),1,0)</f>
        <v/>
      </c>
      <c r="AQ147" s="41">
        <f t="array" ref="AQ147">IF(O147=VLOOKUP(VALUE(O$1),{Questions[#],Questions[Answer]},2,FALSE),1,0)</f>
        <v/>
      </c>
      <c r="AR147" s="41">
        <f t="array" ref="AR147">IF(P147=VLOOKUP(VALUE(P$1),{Questions[#],Questions[Answer]},2,FALSE),1,0)</f>
        <v/>
      </c>
      <c r="AS147" s="41">
        <f t="array" ref="AS147">IF(Q147=VLOOKUP(VALUE(Q$1),{Questions[#],Questions[Answer]},2,FALSE),1,0)</f>
        <v/>
      </c>
      <c r="AT147" s="41">
        <f t="array" ref="AT147">IF(R147=VLOOKUP(VALUE(R$1),{Questions[#],Questions[Answer]},2,FALSE),1,0)</f>
        <v/>
      </c>
      <c r="AU147" s="41">
        <f t="array" ref="AU147">IF(S147=VLOOKUP(VALUE(S$1),{Questions[#],Questions[Answer]},2,FALSE),1,0)</f>
        <v/>
      </c>
      <c r="AV147" s="41">
        <f t="array" ref="AV147">IF(T147=VLOOKUP(VALUE(T$1),{Questions[#],Questions[Answer]},2,FALSE),1,0)</f>
        <v/>
      </c>
      <c r="AW147" s="41">
        <f t="array" ref="AW147">IF(U147=VLOOKUP(VALUE(U$1),{Questions[#],Questions[Answer]},2,FALSE),1,0)</f>
        <v/>
      </c>
      <c r="AX147" s="41">
        <f t="array" ref="AX147">IF(V147=VLOOKUP(VALUE(V$1),{Questions[#],Questions[Answer]},2,FALSE),1,0)</f>
        <v/>
      </c>
      <c r="AY147" s="41">
        <f t="array" ref="AY147">IF(W147=VLOOKUP(VALUE(W$1),{Questions[#],Questions[Answer]},2,FALSE),1,0)</f>
        <v/>
      </c>
      <c r="AZ147" s="41">
        <f t="array" ref="AZ147">IF(X147=VLOOKUP(VALUE(X$1),{Questions[#],Questions[Answer]},2,FALSE),1,0)</f>
        <v/>
      </c>
      <c r="BA147" s="41">
        <f t="array" ref="BA147">IF(Y147=VLOOKUP(VALUE(Y$1),{Questions[#],Questions[Answer]},2,FALSE),1,0)</f>
        <v/>
      </c>
      <c r="BB147" s="41">
        <f t="array" ref="BB147">IF(Z147=VLOOKUP(VALUE(Z$1),{Questions[#],Questions[Answer]},2,FALSE),1,0)</f>
        <v/>
      </c>
      <c r="BC147" s="41">
        <f t="array" ref="BC147">IF(AA147=VLOOKUP(VALUE(AA$1),{Questions[#],Questions[Answer]},2,FALSE),1,0)</f>
        <v/>
      </c>
      <c r="BD147" s="41">
        <f t="array" ref="BD147">IF(AB147=VLOOKUP(VALUE(AB$1),{Questions[#],Questions[Answer]},2,FALSE),1,0)</f>
        <v/>
      </c>
      <c r="BE147" s="41">
        <f t="array" ref="BE147">IF(AC147=VLOOKUP(VALUE(AC$1),{Questions[#],Questions[Answer]},2,FALSE),1,0)</f>
        <v/>
      </c>
      <c r="BF147" s="41">
        <f t="array" ref="BF147">IF(AD147=VLOOKUP(VALUE(AD$1),{Questions[#],Questions[Answer]},2,FALSE),1,0)</f>
        <v/>
      </c>
      <c r="BG147" s="41">
        <f t="array" ref="BG147">IF(AE147=VLOOKUP(VALUE(AE$1),{Questions[#],Questions[Answer]},2,FALSE),1,0)</f>
        <v/>
      </c>
      <c r="BH147" s="41">
        <f t="array" ref="BH147">IF(AF147=VLOOKUP(VALUE(AF$1),{Questions[#],Questions[Answer]},2,FALSE),1,0)</f>
        <v/>
      </c>
      <c r="BI147" s="41">
        <f t="array" ref="BI147">IF(AG147=VLOOKUP(VALUE(AG$1),{Questions[#],Questions[Answer]},2,FALSE),1,0)</f>
        <v/>
      </c>
      <c r="BJ147" s="41">
        <f t="array" ref="BJ147">IF(AH147=VLOOKUP(VALUE(AH$1),{Questions[#],Questions[Answer]},2,FALSE),1,0)</f>
        <v/>
      </c>
      <c r="BK147" s="41">
        <f t="array" ref="BK147">IF(AI147=VLOOKUP(VALUE(AI$1),{Questions[#],Questions[Answer]},2,FALSE),1,0)</f>
        <v/>
      </c>
      <c r="BL147" s="41">
        <f t="array" ref="BL147">IF(AJ147=VLOOKUP(VALUE(AJ$1),{Questions[#],Questions[Answer]},2,FALSE),1,0)</f>
        <v/>
      </c>
      <c r="BM147" s="41">
        <f t="array" ref="BM147">IF(AK147=VLOOKUP(VALUE(AK$1),{Questions[#],Questions[Answer]},2,FALSE),1,0)</f>
        <v/>
      </c>
      <c r="BN147" s="41">
        <f t="array" ref="BN147">IF(AL147=VLOOKUP(VALUE(AL$1),{Questions[#],Questions[Answer]},2,FALSE),1,0)</f>
        <v/>
      </c>
    </row>
    <row r="148" ht="22.5" customHeight="1" s="93">
      <c r="A148" s="42" t="n"/>
      <c r="B148" s="41" t="n"/>
      <c r="C148" s="41" t="n"/>
      <c r="D148" s="43" t="n"/>
      <c r="E148" s="41" t="n"/>
      <c r="F148" s="41" t="n"/>
      <c r="G148" s="11">
        <f>SUM(AM148:BN148)</f>
        <v/>
      </c>
      <c r="H148" s="40">
        <f>G148/9</f>
        <v/>
      </c>
      <c r="I148" s="12">
        <f>0.5+(G148/54)</f>
        <v/>
      </c>
      <c r="J148" s="41">
        <f>COUNTIF(K148:AL148,"")</f>
        <v/>
      </c>
      <c r="K148" s="34" t="n"/>
      <c r="L148" s="35" t="n"/>
      <c r="M148" s="35" t="n"/>
      <c r="N148" s="35" t="n"/>
      <c r="O148" s="35" t="n"/>
      <c r="P148" s="35" t="n"/>
      <c r="Q148" s="35" t="n"/>
      <c r="R148" s="35" t="n"/>
      <c r="S148" s="35" t="n"/>
      <c r="T148" s="35" t="n"/>
      <c r="U148" s="35" t="n"/>
      <c r="V148" s="35" t="n"/>
      <c r="W148" s="35" t="n"/>
      <c r="X148" s="41" t="n"/>
      <c r="Y148" s="35" t="n"/>
      <c r="Z148" s="35" t="n"/>
      <c r="AA148" s="35" t="n"/>
      <c r="AB148" s="35" t="n"/>
      <c r="AC148" s="35" t="n"/>
      <c r="AD148" s="35" t="n"/>
      <c r="AE148" s="41" t="n"/>
      <c r="AF148" s="35" t="n"/>
      <c r="AG148" s="35" t="n"/>
      <c r="AH148" s="35" t="n"/>
      <c r="AI148" s="35" t="n"/>
      <c r="AJ148" s="35" t="n"/>
      <c r="AK148" s="35" t="n"/>
      <c r="AL148" s="38" t="n"/>
      <c r="AM148" s="19">
        <f t="array" ref="AM148">IF(K148=VLOOKUP(VALUE(K$1),{Questions[#],Questions[Answer]},2,FALSE),1,0)</f>
        <v/>
      </c>
      <c r="AN148" s="41">
        <f t="array" ref="AN148">IF(L148=VLOOKUP(VALUE(L$1),{Questions[#],Questions[Answer]},2,FALSE),1,0)</f>
        <v/>
      </c>
      <c r="AO148" s="41">
        <f t="array" ref="AO148">IF(M148=VLOOKUP(VALUE(M$1),{Questions[#],Questions[Answer]},2,FALSE),1,0)</f>
        <v/>
      </c>
      <c r="AP148" s="41">
        <f t="array" ref="AP148">IF(N148=VLOOKUP(VALUE(N$1),{Questions[#],Questions[Answer]},2,FALSE),1,0)</f>
        <v/>
      </c>
      <c r="AQ148" s="41">
        <f t="array" ref="AQ148">IF(O148=VLOOKUP(VALUE(O$1),{Questions[#],Questions[Answer]},2,FALSE),1,0)</f>
        <v/>
      </c>
      <c r="AR148" s="41">
        <f t="array" ref="AR148">IF(P148=VLOOKUP(VALUE(P$1),{Questions[#],Questions[Answer]},2,FALSE),1,0)</f>
        <v/>
      </c>
      <c r="AS148" s="41">
        <f t="array" ref="AS148">IF(Q148=VLOOKUP(VALUE(Q$1),{Questions[#],Questions[Answer]},2,FALSE),1,0)</f>
        <v/>
      </c>
      <c r="AT148" s="41">
        <f t="array" ref="AT148">IF(R148=VLOOKUP(VALUE(R$1),{Questions[#],Questions[Answer]},2,FALSE),1,0)</f>
        <v/>
      </c>
      <c r="AU148" s="41">
        <f t="array" ref="AU148">IF(S148=VLOOKUP(VALUE(S$1),{Questions[#],Questions[Answer]},2,FALSE),1,0)</f>
        <v/>
      </c>
      <c r="AV148" s="41">
        <f t="array" ref="AV148">IF(T148=VLOOKUP(VALUE(T$1),{Questions[#],Questions[Answer]},2,FALSE),1,0)</f>
        <v/>
      </c>
      <c r="AW148" s="41">
        <f t="array" ref="AW148">IF(U148=VLOOKUP(VALUE(U$1),{Questions[#],Questions[Answer]},2,FALSE),1,0)</f>
        <v/>
      </c>
      <c r="AX148" s="41">
        <f t="array" ref="AX148">IF(V148=VLOOKUP(VALUE(V$1),{Questions[#],Questions[Answer]},2,FALSE),1,0)</f>
        <v/>
      </c>
      <c r="AY148" s="41">
        <f t="array" ref="AY148">IF(W148=VLOOKUP(VALUE(W$1),{Questions[#],Questions[Answer]},2,FALSE),1,0)</f>
        <v/>
      </c>
      <c r="AZ148" s="41">
        <f t="array" ref="AZ148">IF(X148=VLOOKUP(VALUE(X$1),{Questions[#],Questions[Answer]},2,FALSE),1,0)</f>
        <v/>
      </c>
      <c r="BA148" s="41">
        <f t="array" ref="BA148">IF(Y148=VLOOKUP(VALUE(Y$1),{Questions[#],Questions[Answer]},2,FALSE),1,0)</f>
        <v/>
      </c>
      <c r="BB148" s="41">
        <f t="array" ref="BB148">IF(Z148=VLOOKUP(VALUE(Z$1),{Questions[#],Questions[Answer]},2,FALSE),1,0)</f>
        <v/>
      </c>
      <c r="BC148" s="41">
        <f t="array" ref="BC148">IF(AA148=VLOOKUP(VALUE(AA$1),{Questions[#],Questions[Answer]},2,FALSE),1,0)</f>
        <v/>
      </c>
      <c r="BD148" s="41">
        <f t="array" ref="BD148">IF(AB148=VLOOKUP(VALUE(AB$1),{Questions[#],Questions[Answer]},2,FALSE),1,0)</f>
        <v/>
      </c>
      <c r="BE148" s="41">
        <f t="array" ref="BE148">IF(AC148=VLOOKUP(VALUE(AC$1),{Questions[#],Questions[Answer]},2,FALSE),1,0)</f>
        <v/>
      </c>
      <c r="BF148" s="41">
        <f t="array" ref="BF148">IF(AD148=VLOOKUP(VALUE(AD$1),{Questions[#],Questions[Answer]},2,FALSE),1,0)</f>
        <v/>
      </c>
      <c r="BG148" s="41">
        <f t="array" ref="BG148">IF(AE148=VLOOKUP(VALUE(AE$1),{Questions[#],Questions[Answer]},2,FALSE),1,0)</f>
        <v/>
      </c>
      <c r="BH148" s="41">
        <f t="array" ref="BH148">IF(AF148=VLOOKUP(VALUE(AF$1),{Questions[#],Questions[Answer]},2,FALSE),1,0)</f>
        <v/>
      </c>
      <c r="BI148" s="41">
        <f t="array" ref="BI148">IF(AG148=VLOOKUP(VALUE(AG$1),{Questions[#],Questions[Answer]},2,FALSE),1,0)</f>
        <v/>
      </c>
      <c r="BJ148" s="41">
        <f t="array" ref="BJ148">IF(AH148=VLOOKUP(VALUE(AH$1),{Questions[#],Questions[Answer]},2,FALSE),1,0)</f>
        <v/>
      </c>
      <c r="BK148" s="41">
        <f t="array" ref="BK148">IF(AI148=VLOOKUP(VALUE(AI$1),{Questions[#],Questions[Answer]},2,FALSE),1,0)</f>
        <v/>
      </c>
      <c r="BL148" s="41">
        <f t="array" ref="BL148">IF(AJ148=VLOOKUP(VALUE(AJ$1),{Questions[#],Questions[Answer]},2,FALSE),1,0)</f>
        <v/>
      </c>
      <c r="BM148" s="41">
        <f t="array" ref="BM148">IF(AK148=VLOOKUP(VALUE(AK$1),{Questions[#],Questions[Answer]},2,FALSE),1,0)</f>
        <v/>
      </c>
      <c r="BN148" s="41">
        <f t="array" ref="BN148">IF(AL148=VLOOKUP(VALUE(AL$1),{Questions[#],Questions[Answer]},2,FALSE),1,0)</f>
        <v/>
      </c>
    </row>
    <row r="149" ht="22.5" customHeight="1" s="93">
      <c r="A149" s="42" t="n"/>
      <c r="B149" s="41" t="n"/>
      <c r="C149" s="41" t="n"/>
      <c r="D149" s="43" t="n"/>
      <c r="E149" s="41" t="n"/>
      <c r="F149" s="41" t="n"/>
      <c r="G149" s="11">
        <f>SUM(AM149:BN149)</f>
        <v/>
      </c>
      <c r="H149" s="40">
        <f>G149/9</f>
        <v/>
      </c>
      <c r="I149" s="12">
        <f>0.5+(G149/54)</f>
        <v/>
      </c>
      <c r="J149" s="41">
        <f>COUNTIF(K149:AL149,"")</f>
        <v/>
      </c>
      <c r="K149" s="34" t="n"/>
      <c r="L149" s="35" t="n"/>
      <c r="M149" s="35" t="n"/>
      <c r="N149" s="35" t="n"/>
      <c r="O149" s="35" t="n"/>
      <c r="P149" s="35" t="n"/>
      <c r="Q149" s="35" t="n"/>
      <c r="R149" s="35" t="n"/>
      <c r="S149" s="35" t="n"/>
      <c r="T149" s="35" t="n"/>
      <c r="U149" s="35" t="n"/>
      <c r="V149" s="35" t="n"/>
      <c r="W149" s="35" t="n"/>
      <c r="X149" s="41" t="n"/>
      <c r="Y149" s="35" t="n"/>
      <c r="Z149" s="35" t="n"/>
      <c r="AA149" s="35" t="n"/>
      <c r="AB149" s="35" t="n"/>
      <c r="AC149" s="35" t="n"/>
      <c r="AD149" s="35" t="n"/>
      <c r="AE149" s="41" t="n"/>
      <c r="AF149" s="35" t="n"/>
      <c r="AG149" s="35" t="n"/>
      <c r="AH149" s="35" t="n"/>
      <c r="AI149" s="35" t="n"/>
      <c r="AJ149" s="35" t="n"/>
      <c r="AK149" s="35" t="n"/>
      <c r="AL149" s="38" t="n"/>
      <c r="AM149" s="19">
        <f t="array" ref="AM149">IF(K149=VLOOKUP(VALUE(K$1),{Questions[#],Questions[Answer]},2,FALSE),1,0)</f>
        <v/>
      </c>
      <c r="AN149" s="41">
        <f t="array" ref="AN149">IF(L149=VLOOKUP(VALUE(L$1),{Questions[#],Questions[Answer]},2,FALSE),1,0)</f>
        <v/>
      </c>
      <c r="AO149" s="41">
        <f t="array" ref="AO149">IF(M149=VLOOKUP(VALUE(M$1),{Questions[#],Questions[Answer]},2,FALSE),1,0)</f>
        <v/>
      </c>
      <c r="AP149" s="41">
        <f t="array" ref="AP149">IF(N149=VLOOKUP(VALUE(N$1),{Questions[#],Questions[Answer]},2,FALSE),1,0)</f>
        <v/>
      </c>
      <c r="AQ149" s="41">
        <f t="array" ref="AQ149">IF(O149=VLOOKUP(VALUE(O$1),{Questions[#],Questions[Answer]},2,FALSE),1,0)</f>
        <v/>
      </c>
      <c r="AR149" s="41">
        <f t="array" ref="AR149">IF(P149=VLOOKUP(VALUE(P$1),{Questions[#],Questions[Answer]},2,FALSE),1,0)</f>
        <v/>
      </c>
      <c r="AS149" s="41">
        <f t="array" ref="AS149">IF(Q149=VLOOKUP(VALUE(Q$1),{Questions[#],Questions[Answer]},2,FALSE),1,0)</f>
        <v/>
      </c>
      <c r="AT149" s="41">
        <f t="array" ref="AT149">IF(R149=VLOOKUP(VALUE(R$1),{Questions[#],Questions[Answer]},2,FALSE),1,0)</f>
        <v/>
      </c>
      <c r="AU149" s="41">
        <f t="array" ref="AU149">IF(S149=VLOOKUP(VALUE(S$1),{Questions[#],Questions[Answer]},2,FALSE),1,0)</f>
        <v/>
      </c>
      <c r="AV149" s="41">
        <f t="array" ref="AV149">IF(T149=VLOOKUP(VALUE(T$1),{Questions[#],Questions[Answer]},2,FALSE),1,0)</f>
        <v/>
      </c>
      <c r="AW149" s="41">
        <f t="array" ref="AW149">IF(U149=VLOOKUP(VALUE(U$1),{Questions[#],Questions[Answer]},2,FALSE),1,0)</f>
        <v/>
      </c>
      <c r="AX149" s="41">
        <f t="array" ref="AX149">IF(V149=VLOOKUP(VALUE(V$1),{Questions[#],Questions[Answer]},2,FALSE),1,0)</f>
        <v/>
      </c>
      <c r="AY149" s="41">
        <f t="array" ref="AY149">IF(W149=VLOOKUP(VALUE(W$1),{Questions[#],Questions[Answer]},2,FALSE),1,0)</f>
        <v/>
      </c>
      <c r="AZ149" s="41">
        <f t="array" ref="AZ149">IF(X149=VLOOKUP(VALUE(X$1),{Questions[#],Questions[Answer]},2,FALSE),1,0)</f>
        <v/>
      </c>
      <c r="BA149" s="41">
        <f t="array" ref="BA149">IF(Y149=VLOOKUP(VALUE(Y$1),{Questions[#],Questions[Answer]},2,FALSE),1,0)</f>
        <v/>
      </c>
      <c r="BB149" s="41">
        <f t="array" ref="BB149">IF(Z149=VLOOKUP(VALUE(Z$1),{Questions[#],Questions[Answer]},2,FALSE),1,0)</f>
        <v/>
      </c>
      <c r="BC149" s="41">
        <f t="array" ref="BC149">IF(AA149=VLOOKUP(VALUE(AA$1),{Questions[#],Questions[Answer]},2,FALSE),1,0)</f>
        <v/>
      </c>
      <c r="BD149" s="41">
        <f t="array" ref="BD149">IF(AB149=VLOOKUP(VALUE(AB$1),{Questions[#],Questions[Answer]},2,FALSE),1,0)</f>
        <v/>
      </c>
      <c r="BE149" s="41">
        <f t="array" ref="BE149">IF(AC149=VLOOKUP(VALUE(AC$1),{Questions[#],Questions[Answer]},2,FALSE),1,0)</f>
        <v/>
      </c>
      <c r="BF149" s="41">
        <f t="array" ref="BF149">IF(AD149=VLOOKUP(VALUE(AD$1),{Questions[#],Questions[Answer]},2,FALSE),1,0)</f>
        <v/>
      </c>
      <c r="BG149" s="41">
        <f t="array" ref="BG149">IF(AE149=VLOOKUP(VALUE(AE$1),{Questions[#],Questions[Answer]},2,FALSE),1,0)</f>
        <v/>
      </c>
      <c r="BH149" s="41">
        <f t="array" ref="BH149">IF(AF149=VLOOKUP(VALUE(AF$1),{Questions[#],Questions[Answer]},2,FALSE),1,0)</f>
        <v/>
      </c>
      <c r="BI149" s="41">
        <f t="array" ref="BI149">IF(AG149=VLOOKUP(VALUE(AG$1),{Questions[#],Questions[Answer]},2,FALSE),1,0)</f>
        <v/>
      </c>
      <c r="BJ149" s="41">
        <f t="array" ref="BJ149">IF(AH149=VLOOKUP(VALUE(AH$1),{Questions[#],Questions[Answer]},2,FALSE),1,0)</f>
        <v/>
      </c>
      <c r="BK149" s="41">
        <f t="array" ref="BK149">IF(AI149=VLOOKUP(VALUE(AI$1),{Questions[#],Questions[Answer]},2,FALSE),1,0)</f>
        <v/>
      </c>
      <c r="BL149" s="41">
        <f t="array" ref="BL149">IF(AJ149=VLOOKUP(VALUE(AJ$1),{Questions[#],Questions[Answer]},2,FALSE),1,0)</f>
        <v/>
      </c>
      <c r="BM149" s="41">
        <f t="array" ref="BM149">IF(AK149=VLOOKUP(VALUE(AK$1),{Questions[#],Questions[Answer]},2,FALSE),1,0)</f>
        <v/>
      </c>
      <c r="BN149" s="41">
        <f t="array" ref="BN149">IF(AL149=VLOOKUP(VALUE(AL$1),{Questions[#],Questions[Answer]},2,FALSE),1,0)</f>
        <v/>
      </c>
    </row>
    <row r="150" ht="22.5" customHeight="1" s="93">
      <c r="A150" s="42" t="n"/>
      <c r="B150" s="41" t="n"/>
      <c r="C150" s="41" t="n"/>
      <c r="D150" s="43" t="n"/>
      <c r="E150" s="41" t="n"/>
      <c r="F150" s="41" t="n"/>
      <c r="G150" s="11">
        <f>SUM(AM150:BN150)</f>
        <v/>
      </c>
      <c r="H150" s="40">
        <f>G150/9</f>
        <v/>
      </c>
      <c r="I150" s="12">
        <f>0.5+(G150/54)</f>
        <v/>
      </c>
      <c r="J150" s="41">
        <f>COUNTIF(K150:AL150,"")</f>
        <v/>
      </c>
      <c r="K150" s="34" t="n"/>
      <c r="L150" s="35" t="n"/>
      <c r="M150" s="35" t="n"/>
      <c r="N150" s="35" t="n"/>
      <c r="O150" s="35" t="n"/>
      <c r="P150" s="35" t="n"/>
      <c r="Q150" s="35" t="n"/>
      <c r="R150" s="35" t="n"/>
      <c r="S150" s="35" t="n"/>
      <c r="T150" s="35" t="n"/>
      <c r="U150" s="35" t="n"/>
      <c r="V150" s="35" t="n"/>
      <c r="W150" s="35" t="n"/>
      <c r="X150" s="41" t="n"/>
      <c r="Y150" s="35" t="n"/>
      <c r="Z150" s="35" t="n"/>
      <c r="AA150" s="35" t="n"/>
      <c r="AB150" s="35" t="n"/>
      <c r="AC150" s="35" t="n"/>
      <c r="AD150" s="35" t="n"/>
      <c r="AE150" s="41" t="n"/>
      <c r="AF150" s="35" t="n"/>
      <c r="AG150" s="35" t="n"/>
      <c r="AH150" s="35" t="n"/>
      <c r="AI150" s="35" t="n"/>
      <c r="AJ150" s="35" t="n"/>
      <c r="AK150" s="35" t="n"/>
      <c r="AL150" s="38" t="n"/>
      <c r="AM150" s="19">
        <f t="array" ref="AM150">IF(K150=VLOOKUP(VALUE(K$1),{Questions[#],Questions[Answer]},2,FALSE),1,0)</f>
        <v/>
      </c>
      <c r="AN150" s="41">
        <f t="array" ref="AN150">IF(L150=VLOOKUP(VALUE(L$1),{Questions[#],Questions[Answer]},2,FALSE),1,0)</f>
        <v/>
      </c>
      <c r="AO150" s="41">
        <f t="array" ref="AO150">IF(M150=VLOOKUP(VALUE(M$1),{Questions[#],Questions[Answer]},2,FALSE),1,0)</f>
        <v/>
      </c>
      <c r="AP150" s="41">
        <f t="array" ref="AP150">IF(N150=VLOOKUP(VALUE(N$1),{Questions[#],Questions[Answer]},2,FALSE),1,0)</f>
        <v/>
      </c>
      <c r="AQ150" s="41">
        <f t="array" ref="AQ150">IF(O150=VLOOKUP(VALUE(O$1),{Questions[#],Questions[Answer]},2,FALSE),1,0)</f>
        <v/>
      </c>
      <c r="AR150" s="41">
        <f t="array" ref="AR150">IF(P150=VLOOKUP(VALUE(P$1),{Questions[#],Questions[Answer]},2,FALSE),1,0)</f>
        <v/>
      </c>
      <c r="AS150" s="41">
        <f t="array" ref="AS150">IF(Q150=VLOOKUP(VALUE(Q$1),{Questions[#],Questions[Answer]},2,FALSE),1,0)</f>
        <v/>
      </c>
      <c r="AT150" s="41">
        <f t="array" ref="AT150">IF(R150=VLOOKUP(VALUE(R$1),{Questions[#],Questions[Answer]},2,FALSE),1,0)</f>
        <v/>
      </c>
      <c r="AU150" s="41">
        <f t="array" ref="AU150">IF(S150=VLOOKUP(VALUE(S$1),{Questions[#],Questions[Answer]},2,FALSE),1,0)</f>
        <v/>
      </c>
      <c r="AV150" s="41">
        <f t="array" ref="AV150">IF(T150=VLOOKUP(VALUE(T$1),{Questions[#],Questions[Answer]},2,FALSE),1,0)</f>
        <v/>
      </c>
      <c r="AW150" s="41">
        <f t="array" ref="AW150">IF(U150=VLOOKUP(VALUE(U$1),{Questions[#],Questions[Answer]},2,FALSE),1,0)</f>
        <v/>
      </c>
      <c r="AX150" s="41">
        <f t="array" ref="AX150">IF(V150=VLOOKUP(VALUE(V$1),{Questions[#],Questions[Answer]},2,FALSE),1,0)</f>
        <v/>
      </c>
      <c r="AY150" s="41">
        <f t="array" ref="AY150">IF(W150=VLOOKUP(VALUE(W$1),{Questions[#],Questions[Answer]},2,FALSE),1,0)</f>
        <v/>
      </c>
      <c r="AZ150" s="41">
        <f t="array" ref="AZ150">IF(X150=VLOOKUP(VALUE(X$1),{Questions[#],Questions[Answer]},2,FALSE),1,0)</f>
        <v/>
      </c>
      <c r="BA150" s="41">
        <f t="array" ref="BA150">IF(Y150=VLOOKUP(VALUE(Y$1),{Questions[#],Questions[Answer]},2,FALSE),1,0)</f>
        <v/>
      </c>
      <c r="BB150" s="41">
        <f t="array" ref="BB150">IF(Z150=VLOOKUP(VALUE(Z$1),{Questions[#],Questions[Answer]},2,FALSE),1,0)</f>
        <v/>
      </c>
      <c r="BC150" s="41">
        <f t="array" ref="BC150">IF(AA150=VLOOKUP(VALUE(AA$1),{Questions[#],Questions[Answer]},2,FALSE),1,0)</f>
        <v/>
      </c>
      <c r="BD150" s="41">
        <f t="array" ref="BD150">IF(AB150=VLOOKUP(VALUE(AB$1),{Questions[#],Questions[Answer]},2,FALSE),1,0)</f>
        <v/>
      </c>
      <c r="BE150" s="41">
        <f t="array" ref="BE150">IF(AC150=VLOOKUP(VALUE(AC$1),{Questions[#],Questions[Answer]},2,FALSE),1,0)</f>
        <v/>
      </c>
      <c r="BF150" s="41">
        <f t="array" ref="BF150">IF(AD150=VLOOKUP(VALUE(AD$1),{Questions[#],Questions[Answer]},2,FALSE),1,0)</f>
        <v/>
      </c>
      <c r="BG150" s="41">
        <f t="array" ref="BG150">IF(AE150=VLOOKUP(VALUE(AE$1),{Questions[#],Questions[Answer]},2,FALSE),1,0)</f>
        <v/>
      </c>
      <c r="BH150" s="41">
        <f t="array" ref="BH150">IF(AF150=VLOOKUP(VALUE(AF$1),{Questions[#],Questions[Answer]},2,FALSE),1,0)</f>
        <v/>
      </c>
      <c r="BI150" s="41">
        <f t="array" ref="BI150">IF(AG150=VLOOKUP(VALUE(AG$1),{Questions[#],Questions[Answer]},2,FALSE),1,0)</f>
        <v/>
      </c>
      <c r="BJ150" s="41">
        <f t="array" ref="BJ150">IF(AH150=VLOOKUP(VALUE(AH$1),{Questions[#],Questions[Answer]},2,FALSE),1,0)</f>
        <v/>
      </c>
      <c r="BK150" s="41">
        <f t="array" ref="BK150">IF(AI150=VLOOKUP(VALUE(AI$1),{Questions[#],Questions[Answer]},2,FALSE),1,0)</f>
        <v/>
      </c>
      <c r="BL150" s="41">
        <f t="array" ref="BL150">IF(AJ150=VLOOKUP(VALUE(AJ$1),{Questions[#],Questions[Answer]},2,FALSE),1,0)</f>
        <v/>
      </c>
      <c r="BM150" s="41">
        <f t="array" ref="BM150">IF(AK150=VLOOKUP(VALUE(AK$1),{Questions[#],Questions[Answer]},2,FALSE),1,0)</f>
        <v/>
      </c>
      <c r="BN150" s="41">
        <f t="array" ref="BN150">IF(AL150=VLOOKUP(VALUE(AL$1),{Questions[#],Questions[Answer]},2,FALSE),1,0)</f>
        <v/>
      </c>
    </row>
    <row r="151" ht="22.5" customHeight="1" s="93">
      <c r="A151" s="42" t="n"/>
      <c r="B151" s="41" t="n"/>
      <c r="C151" s="41" t="n"/>
      <c r="D151" s="43" t="n"/>
      <c r="E151" s="41" t="n"/>
      <c r="F151" s="41" t="n"/>
      <c r="G151" s="11">
        <f>SUM(AM151:BN151)</f>
        <v/>
      </c>
      <c r="H151" s="40">
        <f>G151/9</f>
        <v/>
      </c>
      <c r="I151" s="12">
        <f>0.5+(G151/54)</f>
        <v/>
      </c>
      <c r="J151" s="41">
        <f>COUNTIF(K151:AL151,"")</f>
        <v/>
      </c>
      <c r="K151" s="34" t="n"/>
      <c r="L151" s="35" t="n"/>
      <c r="M151" s="35" t="n"/>
      <c r="N151" s="35" t="n"/>
      <c r="O151" s="35" t="n"/>
      <c r="P151" s="35" t="n"/>
      <c r="Q151" s="35" t="n"/>
      <c r="R151" s="35" t="n"/>
      <c r="S151" s="35" t="n"/>
      <c r="T151" s="35" t="n"/>
      <c r="U151" s="35" t="n"/>
      <c r="V151" s="35" t="n"/>
      <c r="W151" s="35" t="n"/>
      <c r="X151" s="41" t="n"/>
      <c r="Y151" s="35" t="n"/>
      <c r="Z151" s="35" t="n"/>
      <c r="AA151" s="35" t="n"/>
      <c r="AB151" s="35" t="n"/>
      <c r="AC151" s="35" t="n"/>
      <c r="AD151" s="35" t="n"/>
      <c r="AE151" s="41" t="n"/>
      <c r="AF151" s="35" t="n"/>
      <c r="AG151" s="35" t="n"/>
      <c r="AH151" s="35" t="n"/>
      <c r="AI151" s="35" t="n"/>
      <c r="AJ151" s="35" t="n"/>
      <c r="AK151" s="35" t="n"/>
      <c r="AL151" s="38" t="n"/>
      <c r="AM151" s="19">
        <f t="array" ref="AM151">IF(K151=VLOOKUP(VALUE(K$1),{Questions[#],Questions[Answer]},2,FALSE),1,0)</f>
        <v/>
      </c>
      <c r="AN151" s="41">
        <f t="array" ref="AN151">IF(L151=VLOOKUP(VALUE(L$1),{Questions[#],Questions[Answer]},2,FALSE),1,0)</f>
        <v/>
      </c>
      <c r="AO151" s="41">
        <f t="array" ref="AO151">IF(M151=VLOOKUP(VALUE(M$1),{Questions[#],Questions[Answer]},2,FALSE),1,0)</f>
        <v/>
      </c>
      <c r="AP151" s="41">
        <f t="array" ref="AP151">IF(N151=VLOOKUP(VALUE(N$1),{Questions[#],Questions[Answer]},2,FALSE),1,0)</f>
        <v/>
      </c>
      <c r="AQ151" s="41">
        <f t="array" ref="AQ151">IF(O151=VLOOKUP(VALUE(O$1),{Questions[#],Questions[Answer]},2,FALSE),1,0)</f>
        <v/>
      </c>
      <c r="AR151" s="41">
        <f t="array" ref="AR151">IF(P151=VLOOKUP(VALUE(P$1),{Questions[#],Questions[Answer]},2,FALSE),1,0)</f>
        <v/>
      </c>
      <c r="AS151" s="41">
        <f t="array" ref="AS151">IF(Q151=VLOOKUP(VALUE(Q$1),{Questions[#],Questions[Answer]},2,FALSE),1,0)</f>
        <v/>
      </c>
      <c r="AT151" s="41">
        <f t="array" ref="AT151">IF(R151=VLOOKUP(VALUE(R$1),{Questions[#],Questions[Answer]},2,FALSE),1,0)</f>
        <v/>
      </c>
      <c r="AU151" s="41">
        <f t="array" ref="AU151">IF(S151=VLOOKUP(VALUE(S$1),{Questions[#],Questions[Answer]},2,FALSE),1,0)</f>
        <v/>
      </c>
      <c r="AV151" s="41">
        <f t="array" ref="AV151">IF(T151=VLOOKUP(VALUE(T$1),{Questions[#],Questions[Answer]},2,FALSE),1,0)</f>
        <v/>
      </c>
      <c r="AW151" s="41">
        <f t="array" ref="AW151">IF(U151=VLOOKUP(VALUE(U$1),{Questions[#],Questions[Answer]},2,FALSE),1,0)</f>
        <v/>
      </c>
      <c r="AX151" s="41">
        <f t="array" ref="AX151">IF(V151=VLOOKUP(VALUE(V$1),{Questions[#],Questions[Answer]},2,FALSE),1,0)</f>
        <v/>
      </c>
      <c r="AY151" s="41">
        <f t="array" ref="AY151">IF(W151=VLOOKUP(VALUE(W$1),{Questions[#],Questions[Answer]},2,FALSE),1,0)</f>
        <v/>
      </c>
      <c r="AZ151" s="41">
        <f t="array" ref="AZ151">IF(X151=VLOOKUP(VALUE(X$1),{Questions[#],Questions[Answer]},2,FALSE),1,0)</f>
        <v/>
      </c>
      <c r="BA151" s="41">
        <f t="array" ref="BA151">IF(Y151=VLOOKUP(VALUE(Y$1),{Questions[#],Questions[Answer]},2,FALSE),1,0)</f>
        <v/>
      </c>
      <c r="BB151" s="41">
        <f t="array" ref="BB151">IF(Z151=VLOOKUP(VALUE(Z$1),{Questions[#],Questions[Answer]},2,FALSE),1,0)</f>
        <v/>
      </c>
      <c r="BC151" s="41">
        <f t="array" ref="BC151">IF(AA151=VLOOKUP(VALUE(AA$1),{Questions[#],Questions[Answer]},2,FALSE),1,0)</f>
        <v/>
      </c>
      <c r="BD151" s="41">
        <f t="array" ref="BD151">IF(AB151=VLOOKUP(VALUE(AB$1),{Questions[#],Questions[Answer]},2,FALSE),1,0)</f>
        <v/>
      </c>
      <c r="BE151" s="41">
        <f t="array" ref="BE151">IF(AC151=VLOOKUP(VALUE(AC$1),{Questions[#],Questions[Answer]},2,FALSE),1,0)</f>
        <v/>
      </c>
      <c r="BF151" s="41">
        <f t="array" ref="BF151">IF(AD151=VLOOKUP(VALUE(AD$1),{Questions[#],Questions[Answer]},2,FALSE),1,0)</f>
        <v/>
      </c>
      <c r="BG151" s="41">
        <f t="array" ref="BG151">IF(AE151=VLOOKUP(VALUE(AE$1),{Questions[#],Questions[Answer]},2,FALSE),1,0)</f>
        <v/>
      </c>
      <c r="BH151" s="41">
        <f t="array" ref="BH151">IF(AF151=VLOOKUP(VALUE(AF$1),{Questions[#],Questions[Answer]},2,FALSE),1,0)</f>
        <v/>
      </c>
      <c r="BI151" s="41">
        <f t="array" ref="BI151">IF(AG151=VLOOKUP(VALUE(AG$1),{Questions[#],Questions[Answer]},2,FALSE),1,0)</f>
        <v/>
      </c>
      <c r="BJ151" s="41">
        <f t="array" ref="BJ151">IF(AH151=VLOOKUP(VALUE(AH$1),{Questions[#],Questions[Answer]},2,FALSE),1,0)</f>
        <v/>
      </c>
      <c r="BK151" s="41">
        <f t="array" ref="BK151">IF(AI151=VLOOKUP(VALUE(AI$1),{Questions[#],Questions[Answer]},2,FALSE),1,0)</f>
        <v/>
      </c>
      <c r="BL151" s="41">
        <f t="array" ref="BL151">IF(AJ151=VLOOKUP(VALUE(AJ$1),{Questions[#],Questions[Answer]},2,FALSE),1,0)</f>
        <v/>
      </c>
      <c r="BM151" s="41">
        <f t="array" ref="BM151">IF(AK151=VLOOKUP(VALUE(AK$1),{Questions[#],Questions[Answer]},2,FALSE),1,0)</f>
        <v/>
      </c>
      <c r="BN151" s="41">
        <f t="array" ref="BN151">IF(AL151=VLOOKUP(VALUE(AL$1),{Questions[#],Questions[Answer]},2,FALSE),1,0)</f>
        <v/>
      </c>
    </row>
    <row r="152" ht="22.5" customHeight="1" s="93">
      <c r="A152" s="42" t="n"/>
      <c r="B152" s="41" t="n"/>
      <c r="C152" s="41" t="n"/>
      <c r="D152" s="43" t="n"/>
      <c r="E152" s="41" t="n"/>
      <c r="F152" s="41" t="n"/>
      <c r="G152" s="11">
        <f>SUM(AM152:BN152)</f>
        <v/>
      </c>
      <c r="H152" s="40">
        <f>G152/9</f>
        <v/>
      </c>
      <c r="I152" s="12">
        <f>0.5+(G152/54)</f>
        <v/>
      </c>
      <c r="J152" s="41">
        <f>COUNTIF(K152:AL152,"")</f>
        <v/>
      </c>
      <c r="K152" s="34" t="n"/>
      <c r="L152" s="35" t="n"/>
      <c r="M152" s="35" t="n"/>
      <c r="N152" s="35" t="n"/>
      <c r="O152" s="35" t="n"/>
      <c r="P152" s="35" t="n"/>
      <c r="Q152" s="35" t="n"/>
      <c r="R152" s="35" t="n"/>
      <c r="S152" s="35" t="n"/>
      <c r="T152" s="35" t="n"/>
      <c r="U152" s="35" t="n"/>
      <c r="V152" s="35" t="n"/>
      <c r="W152" s="35" t="n"/>
      <c r="X152" s="41" t="n"/>
      <c r="Y152" s="35" t="n"/>
      <c r="Z152" s="35" t="n"/>
      <c r="AA152" s="35" t="n"/>
      <c r="AB152" s="35" t="n"/>
      <c r="AC152" s="35" t="n"/>
      <c r="AD152" s="35" t="n"/>
      <c r="AE152" s="41" t="n"/>
      <c r="AF152" s="35" t="n"/>
      <c r="AG152" s="35" t="n"/>
      <c r="AH152" s="35" t="n"/>
      <c r="AI152" s="35" t="n"/>
      <c r="AJ152" s="35" t="n"/>
      <c r="AK152" s="35" t="n"/>
      <c r="AL152" s="38" t="n"/>
      <c r="AM152" s="19">
        <f t="array" ref="AM152">IF(K152=VLOOKUP(VALUE(K$1),{Questions[#],Questions[Answer]},2,FALSE),1,0)</f>
        <v/>
      </c>
      <c r="AN152" s="41">
        <f t="array" ref="AN152">IF(L152=VLOOKUP(VALUE(L$1),{Questions[#],Questions[Answer]},2,FALSE),1,0)</f>
        <v/>
      </c>
      <c r="AO152" s="41">
        <f t="array" ref="AO152">IF(M152=VLOOKUP(VALUE(M$1),{Questions[#],Questions[Answer]},2,FALSE),1,0)</f>
        <v/>
      </c>
      <c r="AP152" s="41">
        <f t="array" ref="AP152">IF(N152=VLOOKUP(VALUE(N$1),{Questions[#],Questions[Answer]},2,FALSE),1,0)</f>
        <v/>
      </c>
      <c r="AQ152" s="41">
        <f t="array" ref="AQ152">IF(O152=VLOOKUP(VALUE(O$1),{Questions[#],Questions[Answer]},2,FALSE),1,0)</f>
        <v/>
      </c>
      <c r="AR152" s="41">
        <f t="array" ref="AR152">IF(P152=VLOOKUP(VALUE(P$1),{Questions[#],Questions[Answer]},2,FALSE),1,0)</f>
        <v/>
      </c>
      <c r="AS152" s="41">
        <f t="array" ref="AS152">IF(Q152=VLOOKUP(VALUE(Q$1),{Questions[#],Questions[Answer]},2,FALSE),1,0)</f>
        <v/>
      </c>
      <c r="AT152" s="41">
        <f t="array" ref="AT152">IF(R152=VLOOKUP(VALUE(R$1),{Questions[#],Questions[Answer]},2,FALSE),1,0)</f>
        <v/>
      </c>
      <c r="AU152" s="41">
        <f t="array" ref="AU152">IF(S152=VLOOKUP(VALUE(S$1),{Questions[#],Questions[Answer]},2,FALSE),1,0)</f>
        <v/>
      </c>
      <c r="AV152" s="41">
        <f t="array" ref="AV152">IF(T152=VLOOKUP(VALUE(T$1),{Questions[#],Questions[Answer]},2,FALSE),1,0)</f>
        <v/>
      </c>
      <c r="AW152" s="41">
        <f t="array" ref="AW152">IF(U152=VLOOKUP(VALUE(U$1),{Questions[#],Questions[Answer]},2,FALSE),1,0)</f>
        <v/>
      </c>
      <c r="AX152" s="41">
        <f t="array" ref="AX152">IF(V152=VLOOKUP(VALUE(V$1),{Questions[#],Questions[Answer]},2,FALSE),1,0)</f>
        <v/>
      </c>
      <c r="AY152" s="41">
        <f t="array" ref="AY152">IF(W152=VLOOKUP(VALUE(W$1),{Questions[#],Questions[Answer]},2,FALSE),1,0)</f>
        <v/>
      </c>
      <c r="AZ152" s="41">
        <f t="array" ref="AZ152">IF(X152=VLOOKUP(VALUE(X$1),{Questions[#],Questions[Answer]},2,FALSE),1,0)</f>
        <v/>
      </c>
      <c r="BA152" s="41">
        <f t="array" ref="BA152">IF(Y152=VLOOKUP(VALUE(Y$1),{Questions[#],Questions[Answer]},2,FALSE),1,0)</f>
        <v/>
      </c>
      <c r="BB152" s="41">
        <f t="array" ref="BB152">IF(Z152=VLOOKUP(VALUE(Z$1),{Questions[#],Questions[Answer]},2,FALSE),1,0)</f>
        <v/>
      </c>
      <c r="BC152" s="41">
        <f t="array" ref="BC152">IF(AA152=VLOOKUP(VALUE(AA$1),{Questions[#],Questions[Answer]},2,FALSE),1,0)</f>
        <v/>
      </c>
      <c r="BD152" s="41">
        <f t="array" ref="BD152">IF(AB152=VLOOKUP(VALUE(AB$1),{Questions[#],Questions[Answer]},2,FALSE),1,0)</f>
        <v/>
      </c>
      <c r="BE152" s="41">
        <f t="array" ref="BE152">IF(AC152=VLOOKUP(VALUE(AC$1),{Questions[#],Questions[Answer]},2,FALSE),1,0)</f>
        <v/>
      </c>
      <c r="BF152" s="41">
        <f t="array" ref="BF152">IF(AD152=VLOOKUP(VALUE(AD$1),{Questions[#],Questions[Answer]},2,FALSE),1,0)</f>
        <v/>
      </c>
      <c r="BG152" s="41">
        <f t="array" ref="BG152">IF(AE152=VLOOKUP(VALUE(AE$1),{Questions[#],Questions[Answer]},2,FALSE),1,0)</f>
        <v/>
      </c>
      <c r="BH152" s="41">
        <f t="array" ref="BH152">IF(AF152=VLOOKUP(VALUE(AF$1),{Questions[#],Questions[Answer]},2,FALSE),1,0)</f>
        <v/>
      </c>
      <c r="BI152" s="41">
        <f t="array" ref="BI152">IF(AG152=VLOOKUP(VALUE(AG$1),{Questions[#],Questions[Answer]},2,FALSE),1,0)</f>
        <v/>
      </c>
      <c r="BJ152" s="41">
        <f t="array" ref="BJ152">IF(AH152=VLOOKUP(VALUE(AH$1),{Questions[#],Questions[Answer]},2,FALSE),1,0)</f>
        <v/>
      </c>
      <c r="BK152" s="41">
        <f t="array" ref="BK152">IF(AI152=VLOOKUP(VALUE(AI$1),{Questions[#],Questions[Answer]},2,FALSE),1,0)</f>
        <v/>
      </c>
      <c r="BL152" s="41">
        <f t="array" ref="BL152">IF(AJ152=VLOOKUP(VALUE(AJ$1),{Questions[#],Questions[Answer]},2,FALSE),1,0)</f>
        <v/>
      </c>
      <c r="BM152" s="41">
        <f t="array" ref="BM152">IF(AK152=VLOOKUP(VALUE(AK$1),{Questions[#],Questions[Answer]},2,FALSE),1,0)</f>
        <v/>
      </c>
      <c r="BN152" s="41">
        <f t="array" ref="BN152">IF(AL152=VLOOKUP(VALUE(AL$1),{Questions[#],Questions[Answer]},2,FALSE),1,0)</f>
        <v/>
      </c>
    </row>
    <row r="153" ht="22.5" customHeight="1" s="93">
      <c r="A153" s="42" t="n"/>
      <c r="B153" s="41" t="n"/>
      <c r="C153" s="41" t="n"/>
      <c r="D153" s="43" t="n"/>
      <c r="E153" s="41" t="n"/>
      <c r="F153" s="41" t="n"/>
      <c r="G153" s="11">
        <f>SUM(AM153:BN153)</f>
        <v/>
      </c>
      <c r="H153" s="40">
        <f>G153/9</f>
        <v/>
      </c>
      <c r="I153" s="12">
        <f>0.5+(G153/54)</f>
        <v/>
      </c>
      <c r="J153" s="41">
        <f>COUNTIF(K153:AL153,"")</f>
        <v/>
      </c>
      <c r="K153" s="34" t="n"/>
      <c r="L153" s="35" t="n"/>
      <c r="M153" s="35" t="n"/>
      <c r="N153" s="35" t="n"/>
      <c r="O153" s="35" t="n"/>
      <c r="P153" s="35" t="n"/>
      <c r="Q153" s="35" t="n"/>
      <c r="R153" s="35" t="n"/>
      <c r="S153" s="35" t="n"/>
      <c r="T153" s="35" t="n"/>
      <c r="U153" s="35" t="n"/>
      <c r="V153" s="35" t="n"/>
      <c r="W153" s="35" t="n"/>
      <c r="X153" s="41" t="n"/>
      <c r="Y153" s="35" t="n"/>
      <c r="Z153" s="35" t="n"/>
      <c r="AA153" s="35" t="n"/>
      <c r="AB153" s="35" t="n"/>
      <c r="AC153" s="35" t="n"/>
      <c r="AD153" s="35" t="n"/>
      <c r="AE153" s="41" t="n"/>
      <c r="AF153" s="35" t="n"/>
      <c r="AG153" s="35" t="n"/>
      <c r="AH153" s="35" t="n"/>
      <c r="AI153" s="35" t="n"/>
      <c r="AJ153" s="35" t="n"/>
      <c r="AK153" s="35" t="n"/>
      <c r="AL153" s="38" t="n"/>
      <c r="AM153" s="19">
        <f t="array" ref="AM153">IF(K153=VLOOKUP(VALUE(K$1),{Questions[#],Questions[Answer]},2,FALSE),1,0)</f>
        <v/>
      </c>
      <c r="AN153" s="41">
        <f t="array" ref="AN153">IF(L153=VLOOKUP(VALUE(L$1),{Questions[#],Questions[Answer]},2,FALSE),1,0)</f>
        <v/>
      </c>
      <c r="AO153" s="41">
        <f t="array" ref="AO153">IF(M153=VLOOKUP(VALUE(M$1),{Questions[#],Questions[Answer]},2,FALSE),1,0)</f>
        <v/>
      </c>
      <c r="AP153" s="41">
        <f t="array" ref="AP153">IF(N153=VLOOKUP(VALUE(N$1),{Questions[#],Questions[Answer]},2,FALSE),1,0)</f>
        <v/>
      </c>
      <c r="AQ153" s="41">
        <f t="array" ref="AQ153">IF(O153=VLOOKUP(VALUE(O$1),{Questions[#],Questions[Answer]},2,FALSE),1,0)</f>
        <v/>
      </c>
      <c r="AR153" s="41">
        <f t="array" ref="AR153">IF(P153=VLOOKUP(VALUE(P$1),{Questions[#],Questions[Answer]},2,FALSE),1,0)</f>
        <v/>
      </c>
      <c r="AS153" s="41">
        <f t="array" ref="AS153">IF(Q153=VLOOKUP(VALUE(Q$1),{Questions[#],Questions[Answer]},2,FALSE),1,0)</f>
        <v/>
      </c>
      <c r="AT153" s="41">
        <f t="array" ref="AT153">IF(R153=VLOOKUP(VALUE(R$1),{Questions[#],Questions[Answer]},2,FALSE),1,0)</f>
        <v/>
      </c>
      <c r="AU153" s="41">
        <f t="array" ref="AU153">IF(S153=VLOOKUP(VALUE(S$1),{Questions[#],Questions[Answer]},2,FALSE),1,0)</f>
        <v/>
      </c>
      <c r="AV153" s="41">
        <f t="array" ref="AV153">IF(T153=VLOOKUP(VALUE(T$1),{Questions[#],Questions[Answer]},2,FALSE),1,0)</f>
        <v/>
      </c>
      <c r="AW153" s="41">
        <f t="array" ref="AW153">IF(U153=VLOOKUP(VALUE(U$1),{Questions[#],Questions[Answer]},2,FALSE),1,0)</f>
        <v/>
      </c>
      <c r="AX153" s="41">
        <f t="array" ref="AX153">IF(V153=VLOOKUP(VALUE(V$1),{Questions[#],Questions[Answer]},2,FALSE),1,0)</f>
        <v/>
      </c>
      <c r="AY153" s="41">
        <f t="array" ref="AY153">IF(W153=VLOOKUP(VALUE(W$1),{Questions[#],Questions[Answer]},2,FALSE),1,0)</f>
        <v/>
      </c>
      <c r="AZ153" s="41">
        <f t="array" ref="AZ153">IF(X153=VLOOKUP(VALUE(X$1),{Questions[#],Questions[Answer]},2,FALSE),1,0)</f>
        <v/>
      </c>
      <c r="BA153" s="41">
        <f t="array" ref="BA153">IF(Y153=VLOOKUP(VALUE(Y$1),{Questions[#],Questions[Answer]},2,FALSE),1,0)</f>
        <v/>
      </c>
      <c r="BB153" s="41">
        <f t="array" ref="BB153">IF(Z153=VLOOKUP(VALUE(Z$1),{Questions[#],Questions[Answer]},2,FALSE),1,0)</f>
        <v/>
      </c>
      <c r="BC153" s="41">
        <f t="array" ref="BC153">IF(AA153=VLOOKUP(VALUE(AA$1),{Questions[#],Questions[Answer]},2,FALSE),1,0)</f>
        <v/>
      </c>
      <c r="BD153" s="41">
        <f t="array" ref="BD153">IF(AB153=VLOOKUP(VALUE(AB$1),{Questions[#],Questions[Answer]},2,FALSE),1,0)</f>
        <v/>
      </c>
      <c r="BE153" s="41">
        <f t="array" ref="BE153">IF(AC153=VLOOKUP(VALUE(AC$1),{Questions[#],Questions[Answer]},2,FALSE),1,0)</f>
        <v/>
      </c>
      <c r="BF153" s="41">
        <f t="array" ref="BF153">IF(AD153=VLOOKUP(VALUE(AD$1),{Questions[#],Questions[Answer]},2,FALSE),1,0)</f>
        <v/>
      </c>
      <c r="BG153" s="41">
        <f t="array" ref="BG153">IF(AE153=VLOOKUP(VALUE(AE$1),{Questions[#],Questions[Answer]},2,FALSE),1,0)</f>
        <v/>
      </c>
      <c r="BH153" s="41">
        <f t="array" ref="BH153">IF(AF153=VLOOKUP(VALUE(AF$1),{Questions[#],Questions[Answer]},2,FALSE),1,0)</f>
        <v/>
      </c>
      <c r="BI153" s="41">
        <f t="array" ref="BI153">IF(AG153=VLOOKUP(VALUE(AG$1),{Questions[#],Questions[Answer]},2,FALSE),1,0)</f>
        <v/>
      </c>
      <c r="BJ153" s="41">
        <f t="array" ref="BJ153">IF(AH153=VLOOKUP(VALUE(AH$1),{Questions[#],Questions[Answer]},2,FALSE),1,0)</f>
        <v/>
      </c>
      <c r="BK153" s="41">
        <f t="array" ref="BK153">IF(AI153=VLOOKUP(VALUE(AI$1),{Questions[#],Questions[Answer]},2,FALSE),1,0)</f>
        <v/>
      </c>
      <c r="BL153" s="41">
        <f t="array" ref="BL153">IF(AJ153=VLOOKUP(VALUE(AJ$1),{Questions[#],Questions[Answer]},2,FALSE),1,0)</f>
        <v/>
      </c>
      <c r="BM153" s="41">
        <f t="array" ref="BM153">IF(AK153=VLOOKUP(VALUE(AK$1),{Questions[#],Questions[Answer]},2,FALSE),1,0)</f>
        <v/>
      </c>
      <c r="BN153" s="41">
        <f t="array" ref="BN153">IF(AL153=VLOOKUP(VALUE(AL$1),{Questions[#],Questions[Answer]},2,FALSE),1,0)</f>
        <v/>
      </c>
    </row>
    <row r="154" ht="22.5" customHeight="1" s="93">
      <c r="A154" s="42" t="n"/>
      <c r="B154" s="41" t="n"/>
      <c r="C154" s="41" t="n"/>
      <c r="D154" s="43" t="n"/>
      <c r="E154" s="41" t="n"/>
      <c r="F154" s="41" t="n"/>
      <c r="G154" s="11">
        <f>SUM(AM154:BN154)</f>
        <v/>
      </c>
      <c r="H154" s="40">
        <f>G154/9</f>
        <v/>
      </c>
      <c r="I154" s="12">
        <f>0.5+(G154/54)</f>
        <v/>
      </c>
      <c r="J154" s="41">
        <f>COUNTIF(K154:AL154,"")</f>
        <v/>
      </c>
      <c r="K154" s="34" t="n"/>
      <c r="L154" s="35" t="n"/>
      <c r="M154" s="35" t="n"/>
      <c r="N154" s="35" t="n"/>
      <c r="O154" s="35" t="n"/>
      <c r="P154" s="35" t="n"/>
      <c r="Q154" s="35" t="n"/>
      <c r="R154" s="35" t="n"/>
      <c r="S154" s="35" t="n"/>
      <c r="T154" s="35" t="n"/>
      <c r="U154" s="35" t="n"/>
      <c r="V154" s="35" t="n"/>
      <c r="W154" s="35" t="n"/>
      <c r="X154" s="41" t="n"/>
      <c r="Y154" s="35" t="n"/>
      <c r="Z154" s="35" t="n"/>
      <c r="AA154" s="35" t="n"/>
      <c r="AB154" s="35" t="n"/>
      <c r="AC154" s="35" t="n"/>
      <c r="AD154" s="35" t="n"/>
      <c r="AE154" s="41" t="n"/>
      <c r="AF154" s="35" t="n"/>
      <c r="AG154" s="35" t="n"/>
      <c r="AH154" s="35" t="n"/>
      <c r="AI154" s="35" t="n"/>
      <c r="AJ154" s="35" t="n"/>
      <c r="AK154" s="35" t="n"/>
      <c r="AL154" s="38" t="n"/>
      <c r="AM154" s="19">
        <f t="array" ref="AM154">IF(K154=VLOOKUP(VALUE(K$1),{Questions[#],Questions[Answer]},2,FALSE),1,0)</f>
        <v/>
      </c>
      <c r="AN154" s="41">
        <f t="array" ref="AN154">IF(L154=VLOOKUP(VALUE(L$1),{Questions[#],Questions[Answer]},2,FALSE),1,0)</f>
        <v/>
      </c>
      <c r="AO154" s="41">
        <f t="array" ref="AO154">IF(M154=VLOOKUP(VALUE(M$1),{Questions[#],Questions[Answer]},2,FALSE),1,0)</f>
        <v/>
      </c>
      <c r="AP154" s="41">
        <f t="array" ref="AP154">IF(N154=VLOOKUP(VALUE(N$1),{Questions[#],Questions[Answer]},2,FALSE),1,0)</f>
        <v/>
      </c>
      <c r="AQ154" s="41">
        <f t="array" ref="AQ154">IF(O154=VLOOKUP(VALUE(O$1),{Questions[#],Questions[Answer]},2,FALSE),1,0)</f>
        <v/>
      </c>
      <c r="AR154" s="41">
        <f t="array" ref="AR154">IF(P154=VLOOKUP(VALUE(P$1),{Questions[#],Questions[Answer]},2,FALSE),1,0)</f>
        <v/>
      </c>
      <c r="AS154" s="41">
        <f t="array" ref="AS154">IF(Q154=VLOOKUP(VALUE(Q$1),{Questions[#],Questions[Answer]},2,FALSE),1,0)</f>
        <v/>
      </c>
      <c r="AT154" s="41">
        <f t="array" ref="AT154">IF(R154=VLOOKUP(VALUE(R$1),{Questions[#],Questions[Answer]},2,FALSE),1,0)</f>
        <v/>
      </c>
      <c r="AU154" s="41">
        <f t="array" ref="AU154">IF(S154=VLOOKUP(VALUE(S$1),{Questions[#],Questions[Answer]},2,FALSE),1,0)</f>
        <v/>
      </c>
      <c r="AV154" s="41">
        <f t="array" ref="AV154">IF(T154=VLOOKUP(VALUE(T$1),{Questions[#],Questions[Answer]},2,FALSE),1,0)</f>
        <v/>
      </c>
      <c r="AW154" s="41">
        <f t="array" ref="AW154">IF(U154=VLOOKUP(VALUE(U$1),{Questions[#],Questions[Answer]},2,FALSE),1,0)</f>
        <v/>
      </c>
      <c r="AX154" s="41">
        <f t="array" ref="AX154">IF(V154=VLOOKUP(VALUE(V$1),{Questions[#],Questions[Answer]},2,FALSE),1,0)</f>
        <v/>
      </c>
      <c r="AY154" s="41">
        <f t="array" ref="AY154">IF(W154=VLOOKUP(VALUE(W$1),{Questions[#],Questions[Answer]},2,FALSE),1,0)</f>
        <v/>
      </c>
      <c r="AZ154" s="41">
        <f t="array" ref="AZ154">IF(X154=VLOOKUP(VALUE(X$1),{Questions[#],Questions[Answer]},2,FALSE),1,0)</f>
        <v/>
      </c>
      <c r="BA154" s="41">
        <f t="array" ref="BA154">IF(Y154=VLOOKUP(VALUE(Y$1),{Questions[#],Questions[Answer]},2,FALSE),1,0)</f>
        <v/>
      </c>
      <c r="BB154" s="41">
        <f t="array" ref="BB154">IF(Z154=VLOOKUP(VALUE(Z$1),{Questions[#],Questions[Answer]},2,FALSE),1,0)</f>
        <v/>
      </c>
      <c r="BC154" s="41">
        <f t="array" ref="BC154">IF(AA154=VLOOKUP(VALUE(AA$1),{Questions[#],Questions[Answer]},2,FALSE),1,0)</f>
        <v/>
      </c>
      <c r="BD154" s="41">
        <f t="array" ref="BD154">IF(AB154=VLOOKUP(VALUE(AB$1),{Questions[#],Questions[Answer]},2,FALSE),1,0)</f>
        <v/>
      </c>
      <c r="BE154" s="41">
        <f t="array" ref="BE154">IF(AC154=VLOOKUP(VALUE(AC$1),{Questions[#],Questions[Answer]},2,FALSE),1,0)</f>
        <v/>
      </c>
      <c r="BF154" s="41">
        <f t="array" ref="BF154">IF(AD154=VLOOKUP(VALUE(AD$1),{Questions[#],Questions[Answer]},2,FALSE),1,0)</f>
        <v/>
      </c>
      <c r="BG154" s="41">
        <f t="array" ref="BG154">IF(AE154=VLOOKUP(VALUE(AE$1),{Questions[#],Questions[Answer]},2,FALSE),1,0)</f>
        <v/>
      </c>
      <c r="BH154" s="41">
        <f t="array" ref="BH154">IF(AF154=VLOOKUP(VALUE(AF$1),{Questions[#],Questions[Answer]},2,FALSE),1,0)</f>
        <v/>
      </c>
      <c r="BI154" s="41">
        <f t="array" ref="BI154">IF(AG154=VLOOKUP(VALUE(AG$1),{Questions[#],Questions[Answer]},2,FALSE),1,0)</f>
        <v/>
      </c>
      <c r="BJ154" s="41">
        <f t="array" ref="BJ154">IF(AH154=VLOOKUP(VALUE(AH$1),{Questions[#],Questions[Answer]},2,FALSE),1,0)</f>
        <v/>
      </c>
      <c r="BK154" s="41">
        <f t="array" ref="BK154">IF(AI154=VLOOKUP(VALUE(AI$1),{Questions[#],Questions[Answer]},2,FALSE),1,0)</f>
        <v/>
      </c>
      <c r="BL154" s="41">
        <f t="array" ref="BL154">IF(AJ154=VLOOKUP(VALUE(AJ$1),{Questions[#],Questions[Answer]},2,FALSE),1,0)</f>
        <v/>
      </c>
      <c r="BM154" s="41">
        <f t="array" ref="BM154">IF(AK154=VLOOKUP(VALUE(AK$1),{Questions[#],Questions[Answer]},2,FALSE),1,0)</f>
        <v/>
      </c>
      <c r="BN154" s="41">
        <f t="array" ref="BN154">IF(AL154=VLOOKUP(VALUE(AL$1),{Questions[#],Questions[Answer]},2,FALSE),1,0)</f>
        <v/>
      </c>
    </row>
    <row r="155" ht="22.5" customHeight="1" s="93">
      <c r="A155" s="42" t="n"/>
      <c r="B155" s="41" t="n"/>
      <c r="C155" s="41" t="n"/>
      <c r="D155" s="43" t="n"/>
      <c r="E155" s="41" t="n"/>
      <c r="F155" s="41" t="n"/>
      <c r="G155" s="11">
        <f>SUM(AM155:BN155)</f>
        <v/>
      </c>
      <c r="H155" s="40">
        <f>G155/9</f>
        <v/>
      </c>
      <c r="I155" s="12">
        <f>0.5+(G155/54)</f>
        <v/>
      </c>
      <c r="J155" s="41">
        <f>COUNTIF(K155:AL155,"")</f>
        <v/>
      </c>
      <c r="K155" s="34" t="n"/>
      <c r="L155" s="35" t="n"/>
      <c r="M155" s="35" t="n"/>
      <c r="N155" s="35" t="n"/>
      <c r="O155" s="35" t="n"/>
      <c r="P155" s="35" t="n"/>
      <c r="Q155" s="35" t="n"/>
      <c r="R155" s="35" t="n"/>
      <c r="S155" s="35" t="n"/>
      <c r="T155" s="35" t="n"/>
      <c r="U155" s="35" t="n"/>
      <c r="V155" s="35" t="n"/>
      <c r="W155" s="35" t="n"/>
      <c r="X155" s="41" t="n"/>
      <c r="Y155" s="35" t="n"/>
      <c r="Z155" s="35" t="n"/>
      <c r="AA155" s="35" t="n"/>
      <c r="AB155" s="35" t="n"/>
      <c r="AC155" s="35" t="n"/>
      <c r="AD155" s="35" t="n"/>
      <c r="AE155" s="41" t="n"/>
      <c r="AF155" s="35" t="n"/>
      <c r="AG155" s="35" t="n"/>
      <c r="AH155" s="35" t="n"/>
      <c r="AI155" s="35" t="n"/>
      <c r="AJ155" s="35" t="n"/>
      <c r="AK155" s="35" t="n"/>
      <c r="AL155" s="38" t="n"/>
      <c r="AM155" s="19">
        <f t="array" ref="AM155">IF(K155=VLOOKUP(VALUE(K$1),{Questions[#],Questions[Answer]},2,FALSE),1,0)</f>
        <v/>
      </c>
      <c r="AN155" s="41">
        <f t="array" ref="AN155">IF(L155=VLOOKUP(VALUE(L$1),{Questions[#],Questions[Answer]},2,FALSE),1,0)</f>
        <v/>
      </c>
      <c r="AO155" s="41">
        <f t="array" ref="AO155">IF(M155=VLOOKUP(VALUE(M$1),{Questions[#],Questions[Answer]},2,FALSE),1,0)</f>
        <v/>
      </c>
      <c r="AP155" s="41">
        <f t="array" ref="AP155">IF(N155=VLOOKUP(VALUE(N$1),{Questions[#],Questions[Answer]},2,FALSE),1,0)</f>
        <v/>
      </c>
      <c r="AQ155" s="41">
        <f t="array" ref="AQ155">IF(O155=VLOOKUP(VALUE(O$1),{Questions[#],Questions[Answer]},2,FALSE),1,0)</f>
        <v/>
      </c>
      <c r="AR155" s="41">
        <f t="array" ref="AR155">IF(P155=VLOOKUP(VALUE(P$1),{Questions[#],Questions[Answer]},2,FALSE),1,0)</f>
        <v/>
      </c>
      <c r="AS155" s="41">
        <f t="array" ref="AS155">IF(Q155=VLOOKUP(VALUE(Q$1),{Questions[#],Questions[Answer]},2,FALSE),1,0)</f>
        <v/>
      </c>
      <c r="AT155" s="41">
        <f t="array" ref="AT155">IF(R155=VLOOKUP(VALUE(R$1),{Questions[#],Questions[Answer]},2,FALSE),1,0)</f>
        <v/>
      </c>
      <c r="AU155" s="41">
        <f t="array" ref="AU155">IF(S155=VLOOKUP(VALUE(S$1),{Questions[#],Questions[Answer]},2,FALSE),1,0)</f>
        <v/>
      </c>
      <c r="AV155" s="41">
        <f t="array" ref="AV155">IF(T155=VLOOKUP(VALUE(T$1),{Questions[#],Questions[Answer]},2,FALSE),1,0)</f>
        <v/>
      </c>
      <c r="AW155" s="41">
        <f t="array" ref="AW155">IF(U155=VLOOKUP(VALUE(U$1),{Questions[#],Questions[Answer]},2,FALSE),1,0)</f>
        <v/>
      </c>
      <c r="AX155" s="41">
        <f t="array" ref="AX155">IF(V155=VLOOKUP(VALUE(V$1),{Questions[#],Questions[Answer]},2,FALSE),1,0)</f>
        <v/>
      </c>
      <c r="AY155" s="41">
        <f t="array" ref="AY155">IF(W155=VLOOKUP(VALUE(W$1),{Questions[#],Questions[Answer]},2,FALSE),1,0)</f>
        <v/>
      </c>
      <c r="AZ155" s="41">
        <f t="array" ref="AZ155">IF(X155=VLOOKUP(VALUE(X$1),{Questions[#],Questions[Answer]},2,FALSE),1,0)</f>
        <v/>
      </c>
      <c r="BA155" s="41">
        <f t="array" ref="BA155">IF(Y155=VLOOKUP(VALUE(Y$1),{Questions[#],Questions[Answer]},2,FALSE),1,0)</f>
        <v/>
      </c>
      <c r="BB155" s="41">
        <f t="array" ref="BB155">IF(Z155=VLOOKUP(VALUE(Z$1),{Questions[#],Questions[Answer]},2,FALSE),1,0)</f>
        <v/>
      </c>
      <c r="BC155" s="41">
        <f t="array" ref="BC155">IF(AA155=VLOOKUP(VALUE(AA$1),{Questions[#],Questions[Answer]},2,FALSE),1,0)</f>
        <v/>
      </c>
      <c r="BD155" s="41">
        <f t="array" ref="BD155">IF(AB155=VLOOKUP(VALUE(AB$1),{Questions[#],Questions[Answer]},2,FALSE),1,0)</f>
        <v/>
      </c>
      <c r="BE155" s="41">
        <f t="array" ref="BE155">IF(AC155=VLOOKUP(VALUE(AC$1),{Questions[#],Questions[Answer]},2,FALSE),1,0)</f>
        <v/>
      </c>
      <c r="BF155" s="41">
        <f t="array" ref="BF155">IF(AD155=VLOOKUP(VALUE(AD$1),{Questions[#],Questions[Answer]},2,FALSE),1,0)</f>
        <v/>
      </c>
      <c r="BG155" s="41">
        <f t="array" ref="BG155">IF(AE155=VLOOKUP(VALUE(AE$1),{Questions[#],Questions[Answer]},2,FALSE),1,0)</f>
        <v/>
      </c>
      <c r="BH155" s="41">
        <f t="array" ref="BH155">IF(AF155=VLOOKUP(VALUE(AF$1),{Questions[#],Questions[Answer]},2,FALSE),1,0)</f>
        <v/>
      </c>
      <c r="BI155" s="41">
        <f t="array" ref="BI155">IF(AG155=VLOOKUP(VALUE(AG$1),{Questions[#],Questions[Answer]},2,FALSE),1,0)</f>
        <v/>
      </c>
      <c r="BJ155" s="41">
        <f t="array" ref="BJ155">IF(AH155=VLOOKUP(VALUE(AH$1),{Questions[#],Questions[Answer]},2,FALSE),1,0)</f>
        <v/>
      </c>
      <c r="BK155" s="41">
        <f t="array" ref="BK155">IF(AI155=VLOOKUP(VALUE(AI$1),{Questions[#],Questions[Answer]},2,FALSE),1,0)</f>
        <v/>
      </c>
      <c r="BL155" s="41">
        <f t="array" ref="BL155">IF(AJ155=VLOOKUP(VALUE(AJ$1),{Questions[#],Questions[Answer]},2,FALSE),1,0)</f>
        <v/>
      </c>
      <c r="BM155" s="41">
        <f t="array" ref="BM155">IF(AK155=VLOOKUP(VALUE(AK$1),{Questions[#],Questions[Answer]},2,FALSE),1,0)</f>
        <v/>
      </c>
      <c r="BN155" s="41">
        <f t="array" ref="BN155">IF(AL155=VLOOKUP(VALUE(AL$1),{Questions[#],Questions[Answer]},2,FALSE),1,0)</f>
        <v/>
      </c>
    </row>
    <row r="156" ht="22.5" customHeight="1" s="93">
      <c r="A156" s="42" t="n"/>
      <c r="B156" s="41" t="n"/>
      <c r="C156" s="41" t="n"/>
      <c r="D156" s="43" t="n"/>
      <c r="E156" s="41" t="n"/>
      <c r="F156" s="41" t="n"/>
      <c r="G156" s="11">
        <f>SUM(AM156:BN156)</f>
        <v/>
      </c>
      <c r="H156" s="40">
        <f>G156/9</f>
        <v/>
      </c>
      <c r="I156" s="12">
        <f>0.5+(G156/54)</f>
        <v/>
      </c>
      <c r="J156" s="41">
        <f>COUNTIF(K156:AL156,"")</f>
        <v/>
      </c>
      <c r="K156" s="34" t="n"/>
      <c r="L156" s="35" t="n"/>
      <c r="M156" s="35" t="n"/>
      <c r="N156" s="35" t="n"/>
      <c r="O156" s="35" t="n"/>
      <c r="P156" s="35" t="n"/>
      <c r="Q156" s="35" t="n"/>
      <c r="R156" s="35" t="n"/>
      <c r="S156" s="35" t="n"/>
      <c r="T156" s="35" t="n"/>
      <c r="U156" s="35" t="n"/>
      <c r="V156" s="35" t="n"/>
      <c r="W156" s="35" t="n"/>
      <c r="X156" s="41" t="n"/>
      <c r="Y156" s="35" t="n"/>
      <c r="Z156" s="35" t="n"/>
      <c r="AA156" s="35" t="n"/>
      <c r="AB156" s="35" t="n"/>
      <c r="AC156" s="35" t="n"/>
      <c r="AD156" s="35" t="n"/>
      <c r="AE156" s="41" t="n"/>
      <c r="AF156" s="35" t="n"/>
      <c r="AG156" s="35" t="n"/>
      <c r="AH156" s="35" t="n"/>
      <c r="AI156" s="35" t="n"/>
      <c r="AJ156" s="35" t="n"/>
      <c r="AK156" s="35" t="n"/>
      <c r="AL156" s="38" t="n"/>
      <c r="AM156" s="19" t="n">
        <v>0</v>
      </c>
      <c r="AN156" s="41">
        <f t="array" ref="AN156">IF(L156=VLOOKUP(VALUE(L$1),{Questions[#],Questions[Answer]},2,FALSE),1,0)</f>
        <v/>
      </c>
      <c r="AO156" s="41">
        <f t="array" ref="AO156">IF(M156=VLOOKUP(VALUE(M$1),{Questions[#],Questions[Answer]},2,FALSE),1,0)</f>
        <v/>
      </c>
      <c r="AP156" s="41">
        <f t="array" ref="AP156">IF(N156=VLOOKUP(VALUE(N$1),{Questions[#],Questions[Answer]},2,FALSE),1,0)</f>
        <v/>
      </c>
      <c r="AQ156" s="41">
        <f t="array" ref="AQ156">IF(O156=VLOOKUP(VALUE(O$1),{Questions[#],Questions[Answer]},2,FALSE),1,0)</f>
        <v/>
      </c>
      <c r="AR156" s="41">
        <f t="array" ref="AR156">IF(P156=VLOOKUP(VALUE(P$1),{Questions[#],Questions[Answer]},2,FALSE),1,0)</f>
        <v/>
      </c>
      <c r="AS156" s="41">
        <f t="array" ref="AS156">IF(Q156=VLOOKUP(VALUE(Q$1),{Questions[#],Questions[Answer]},2,FALSE),1,0)</f>
        <v/>
      </c>
      <c r="AT156" s="41">
        <f t="array" ref="AT156">IF(R156=VLOOKUP(VALUE(R$1),{Questions[#],Questions[Answer]},2,FALSE),1,0)</f>
        <v/>
      </c>
      <c r="AU156" s="41">
        <f t="array" ref="AU156">IF(S156=VLOOKUP(VALUE(S$1),{Questions[#],Questions[Answer]},2,FALSE),1,0)</f>
        <v/>
      </c>
      <c r="AV156" s="41">
        <f t="array" ref="AV156">IF(T156=VLOOKUP(VALUE(T$1),{Questions[#],Questions[Answer]},2,FALSE),1,0)</f>
        <v/>
      </c>
      <c r="AW156" s="41">
        <f t="array" ref="AW156">IF(U156=VLOOKUP(VALUE(U$1),{Questions[#],Questions[Answer]},2,FALSE),1,0)</f>
        <v/>
      </c>
      <c r="AX156" s="41">
        <f t="array" ref="AX156">IF(V156=VLOOKUP(VALUE(V$1),{Questions[#],Questions[Answer]},2,FALSE),1,0)</f>
        <v/>
      </c>
      <c r="AY156" s="41">
        <f t="array" ref="AY156">IF(W156=VLOOKUP(VALUE(W$1),{Questions[#],Questions[Answer]},2,FALSE),1,0)</f>
        <v/>
      </c>
      <c r="AZ156" s="41">
        <f t="array" ref="AZ156">IF(X156=VLOOKUP(VALUE(X$1),{Questions[#],Questions[Answer]},2,FALSE),1,0)</f>
        <v/>
      </c>
      <c r="BA156" s="41">
        <f t="array" ref="BA156">IF(Y156=VLOOKUP(VALUE(Y$1),{Questions[#],Questions[Answer]},2,FALSE),1,0)</f>
        <v/>
      </c>
      <c r="BB156" s="41">
        <f t="array" ref="BB156">IF(Z156=VLOOKUP(VALUE(Z$1),{Questions[#],Questions[Answer]},2,FALSE),1,0)</f>
        <v/>
      </c>
      <c r="BC156" s="41">
        <f t="array" ref="BC156">IF(AA156=VLOOKUP(VALUE(AA$1),{Questions[#],Questions[Answer]},2,FALSE),1,0)</f>
        <v/>
      </c>
      <c r="BD156" s="41">
        <f t="array" ref="BD156">IF(AB156=VLOOKUP(VALUE(AB$1),{Questions[#],Questions[Answer]},2,FALSE),1,0)</f>
        <v/>
      </c>
      <c r="BE156" s="41">
        <f t="array" ref="BE156">IF(AC156=VLOOKUP(VALUE(AC$1),{Questions[#],Questions[Answer]},2,FALSE),1,0)</f>
        <v/>
      </c>
      <c r="BF156" s="41">
        <f t="array" ref="BF156">IF(AD156=VLOOKUP(VALUE(AD$1),{Questions[#],Questions[Answer]},2,FALSE),1,0)</f>
        <v/>
      </c>
      <c r="BG156" s="41">
        <f t="array" ref="BG156">IF(AE156=VLOOKUP(VALUE(AE$1),{Questions[#],Questions[Answer]},2,FALSE),1,0)</f>
        <v/>
      </c>
      <c r="BH156" s="41">
        <f t="array" ref="BH156">IF(AF156=VLOOKUP(VALUE(AF$1),{Questions[#],Questions[Answer]},2,FALSE),1,0)</f>
        <v/>
      </c>
      <c r="BI156" s="41">
        <f t="array" ref="BI156">IF(AG156=VLOOKUP(VALUE(AG$1),{Questions[#],Questions[Answer]},2,FALSE),1,0)</f>
        <v/>
      </c>
      <c r="BJ156" s="41">
        <f t="array" ref="BJ156">IF(AH156=VLOOKUP(VALUE(AH$1),{Questions[#],Questions[Answer]},2,FALSE),1,0)</f>
        <v/>
      </c>
      <c r="BK156" s="41">
        <f t="array" ref="BK156">IF(AI156=VLOOKUP(VALUE(AI$1),{Questions[#],Questions[Answer]},2,FALSE),1,0)</f>
        <v/>
      </c>
      <c r="BL156" s="41">
        <f t="array" ref="BL156">IF(AJ156=VLOOKUP(VALUE(AJ$1),{Questions[#],Questions[Answer]},2,FALSE),1,0)</f>
        <v/>
      </c>
      <c r="BM156" s="41">
        <f t="array" ref="BM156">IF(AK156=VLOOKUP(VALUE(AK$1),{Questions[#],Questions[Answer]},2,FALSE),1,0)</f>
        <v/>
      </c>
      <c r="BN156" s="41">
        <f t="array" ref="BN156">IF(AL156=VLOOKUP(VALUE(AL$1),{Questions[#],Questions[Answer]},2,FALSE),1,0)</f>
        <v/>
      </c>
    </row>
    <row r="157" ht="22.5" customHeight="1" s="93">
      <c r="A157" s="42" t="n"/>
      <c r="B157" s="41" t="n"/>
      <c r="C157" s="41" t="n"/>
      <c r="D157" s="43" t="n"/>
      <c r="E157" s="41" t="n"/>
      <c r="F157" s="41" t="n"/>
      <c r="G157" s="11">
        <f>SUM(AM157:BN157)</f>
        <v/>
      </c>
      <c r="H157" s="40">
        <f>G157/9</f>
        <v/>
      </c>
      <c r="I157" s="12">
        <f>0.5+(G157/54)</f>
        <v/>
      </c>
      <c r="J157" s="41">
        <f>COUNTIF(K157:AL157,"")</f>
        <v/>
      </c>
      <c r="K157" s="34" t="n"/>
      <c r="L157" s="35" t="n"/>
      <c r="M157" s="35" t="n"/>
      <c r="N157" s="35" t="n"/>
      <c r="O157" s="35" t="n"/>
      <c r="P157" s="35" t="n"/>
      <c r="Q157" s="35" t="n"/>
      <c r="R157" s="35" t="n"/>
      <c r="S157" s="35" t="n"/>
      <c r="T157" s="35" t="n"/>
      <c r="U157" s="35" t="n"/>
      <c r="V157" s="35" t="n"/>
      <c r="W157" s="35" t="n"/>
      <c r="X157" s="41" t="n"/>
      <c r="Y157" s="35" t="n"/>
      <c r="Z157" s="35" t="n"/>
      <c r="AA157" s="35" t="n"/>
      <c r="AB157" s="35" t="n"/>
      <c r="AC157" s="35" t="n"/>
      <c r="AD157" s="35" t="n"/>
      <c r="AE157" s="41" t="n"/>
      <c r="AF157" s="35" t="n"/>
      <c r="AG157" s="35" t="n"/>
      <c r="AH157" s="35" t="n"/>
      <c r="AI157" s="35" t="n"/>
      <c r="AJ157" s="35" t="n"/>
      <c r="AK157" s="35" t="n"/>
      <c r="AL157" s="38" t="n"/>
      <c r="AM157" s="19">
        <f t="array" ref="AM157">IF(K157=VLOOKUP(VALUE(K$1),{Questions[#],Questions[Answer]},2,FALSE),1,0)</f>
        <v/>
      </c>
      <c r="AN157" s="41">
        <f t="array" ref="AN157">IF(L157=VLOOKUP(VALUE(L$1),{Questions[#],Questions[Answer]},2,FALSE),1,0)</f>
        <v/>
      </c>
      <c r="AO157" s="41">
        <f t="array" ref="AO157">IF(M157=VLOOKUP(VALUE(M$1),{Questions[#],Questions[Answer]},2,FALSE),1,0)</f>
        <v/>
      </c>
      <c r="AP157" s="41">
        <f t="array" ref="AP157">IF(N157=VLOOKUP(VALUE(N$1),{Questions[#],Questions[Answer]},2,FALSE),1,0)</f>
        <v/>
      </c>
      <c r="AQ157" s="41">
        <f t="array" ref="AQ157">IF(O157=VLOOKUP(VALUE(O$1),{Questions[#],Questions[Answer]},2,FALSE),1,0)</f>
        <v/>
      </c>
      <c r="AR157" s="41">
        <f t="array" ref="AR157">IF(P157=VLOOKUP(VALUE(P$1),{Questions[#],Questions[Answer]},2,FALSE),1,0)</f>
        <v/>
      </c>
      <c r="AS157" s="41">
        <f t="array" ref="AS157">IF(Q157=VLOOKUP(VALUE(Q$1),{Questions[#],Questions[Answer]},2,FALSE),1,0)</f>
        <v/>
      </c>
      <c r="AT157" s="41">
        <f t="array" ref="AT157">IF(R157=VLOOKUP(VALUE(R$1),{Questions[#],Questions[Answer]},2,FALSE),1,0)</f>
        <v/>
      </c>
      <c r="AU157" s="41">
        <f t="array" ref="AU157">IF(S157=VLOOKUP(VALUE(S$1),{Questions[#],Questions[Answer]},2,FALSE),1,0)</f>
        <v/>
      </c>
      <c r="AV157" s="41">
        <f t="array" ref="AV157">IF(T157=VLOOKUP(VALUE(T$1),{Questions[#],Questions[Answer]},2,FALSE),1,0)</f>
        <v/>
      </c>
      <c r="AW157" s="41">
        <f t="array" ref="AW157">IF(U157=VLOOKUP(VALUE(U$1),{Questions[#],Questions[Answer]},2,FALSE),1,0)</f>
        <v/>
      </c>
      <c r="AX157" s="41">
        <f t="array" ref="AX157">IF(V157=VLOOKUP(VALUE(V$1),{Questions[#],Questions[Answer]},2,FALSE),1,0)</f>
        <v/>
      </c>
      <c r="AY157" s="41">
        <f t="array" ref="AY157">IF(W157=VLOOKUP(VALUE(W$1),{Questions[#],Questions[Answer]},2,FALSE),1,0)</f>
        <v/>
      </c>
      <c r="AZ157" s="41">
        <f t="array" ref="AZ157">IF(X157=VLOOKUP(VALUE(X$1),{Questions[#],Questions[Answer]},2,FALSE),1,0)</f>
        <v/>
      </c>
      <c r="BA157" s="41">
        <f t="array" ref="BA157">IF(Y157=VLOOKUP(VALUE(Y$1),{Questions[#],Questions[Answer]},2,FALSE),1,0)</f>
        <v/>
      </c>
      <c r="BB157" s="41">
        <f t="array" ref="BB157">IF(Z157=VLOOKUP(VALUE(Z$1),{Questions[#],Questions[Answer]},2,FALSE),1,0)</f>
        <v/>
      </c>
      <c r="BC157" s="41">
        <f t="array" ref="BC157">IF(AA157=VLOOKUP(VALUE(AA$1),{Questions[#],Questions[Answer]},2,FALSE),1,0)</f>
        <v/>
      </c>
      <c r="BD157" s="41">
        <f t="array" ref="BD157">IF(AB157=VLOOKUP(VALUE(AB$1),{Questions[#],Questions[Answer]},2,FALSE),1,0)</f>
        <v/>
      </c>
      <c r="BE157" s="41">
        <f t="array" ref="BE157">IF(AC157=VLOOKUP(VALUE(AC$1),{Questions[#],Questions[Answer]},2,FALSE),1,0)</f>
        <v/>
      </c>
      <c r="BF157" s="41">
        <f t="array" ref="BF157">IF(AD157=VLOOKUP(VALUE(AD$1),{Questions[#],Questions[Answer]},2,FALSE),1,0)</f>
        <v/>
      </c>
      <c r="BG157" s="41">
        <f t="array" ref="BG157">IF(AE157=VLOOKUP(VALUE(AE$1),{Questions[#],Questions[Answer]},2,FALSE),1,0)</f>
        <v/>
      </c>
      <c r="BH157" s="41">
        <f t="array" ref="BH157">IF(AF157=VLOOKUP(VALUE(AF$1),{Questions[#],Questions[Answer]},2,FALSE),1,0)</f>
        <v/>
      </c>
      <c r="BI157" s="41">
        <f t="array" ref="BI157">IF(AG157=VLOOKUP(VALUE(AG$1),{Questions[#],Questions[Answer]},2,FALSE),1,0)</f>
        <v/>
      </c>
      <c r="BJ157" s="41">
        <f t="array" ref="BJ157">IF(AH157=VLOOKUP(VALUE(AH$1),{Questions[#],Questions[Answer]},2,FALSE),1,0)</f>
        <v/>
      </c>
      <c r="BK157" s="41">
        <f t="array" ref="BK157">IF(AI157=VLOOKUP(VALUE(AI$1),{Questions[#],Questions[Answer]},2,FALSE),1,0)</f>
        <v/>
      </c>
      <c r="BL157" s="41">
        <f t="array" ref="BL157">IF(AJ157=VLOOKUP(VALUE(AJ$1),{Questions[#],Questions[Answer]},2,FALSE),1,0)</f>
        <v/>
      </c>
      <c r="BM157" s="41">
        <f t="array" ref="BM157">IF(AK157=VLOOKUP(VALUE(AK$1),{Questions[#],Questions[Answer]},2,FALSE),1,0)</f>
        <v/>
      </c>
      <c r="BN157" s="41">
        <f t="array" ref="BN157">IF(AL157=VLOOKUP(VALUE(AL$1),{Questions[#],Questions[Answer]},2,FALSE),1,0)</f>
        <v/>
      </c>
    </row>
    <row r="158" ht="22.5" customHeight="1" s="93">
      <c r="A158" s="42" t="n"/>
      <c r="B158" s="41" t="n"/>
      <c r="C158" s="41" t="n"/>
      <c r="D158" s="43" t="n"/>
      <c r="E158" s="41" t="n"/>
      <c r="F158" s="41" t="n"/>
      <c r="G158" s="11">
        <f>SUM(AM158:BN158)</f>
        <v/>
      </c>
      <c r="H158" s="40">
        <f>G158/9</f>
        <v/>
      </c>
      <c r="I158" s="12">
        <f>0.5+(G158/54)</f>
        <v/>
      </c>
      <c r="J158" s="41">
        <f>COUNTIF(K158:AL158,"")</f>
        <v/>
      </c>
      <c r="K158" s="34" t="n"/>
      <c r="L158" s="35" t="n"/>
      <c r="M158" s="35" t="n"/>
      <c r="N158" s="35" t="n"/>
      <c r="O158" s="35" t="n"/>
      <c r="P158" s="35" t="n"/>
      <c r="Q158" s="35" t="n"/>
      <c r="R158" s="35" t="n"/>
      <c r="S158" s="35" t="n"/>
      <c r="T158" s="35" t="n"/>
      <c r="U158" s="35" t="n"/>
      <c r="V158" s="35" t="n"/>
      <c r="W158" s="35" t="n"/>
      <c r="X158" s="41" t="n"/>
      <c r="Y158" s="35" t="n"/>
      <c r="Z158" s="35" t="n"/>
      <c r="AA158" s="35" t="n"/>
      <c r="AB158" s="35" t="n"/>
      <c r="AC158" s="35" t="n"/>
      <c r="AD158" s="35" t="n"/>
      <c r="AE158" s="41" t="n"/>
      <c r="AF158" s="35" t="n"/>
      <c r="AG158" s="35" t="n"/>
      <c r="AH158" s="35" t="n"/>
      <c r="AI158" s="35" t="n"/>
      <c r="AJ158" s="35" t="n"/>
      <c r="AK158" s="35" t="n"/>
      <c r="AL158" s="38" t="n"/>
      <c r="AM158" s="19">
        <f t="array" ref="AM158">IF(K158=VLOOKUP(VALUE(K$1),{Questions[#],Questions[Answer]},2,FALSE),1,0)</f>
        <v/>
      </c>
      <c r="AN158" s="41">
        <f t="array" ref="AN158">IF(L158=VLOOKUP(VALUE(L$1),{Questions[#],Questions[Answer]},2,FALSE),1,0)</f>
        <v/>
      </c>
      <c r="AO158" s="41">
        <f t="array" ref="AO158">IF(M158=VLOOKUP(VALUE(M$1),{Questions[#],Questions[Answer]},2,FALSE),1,0)</f>
        <v/>
      </c>
      <c r="AP158" s="41">
        <f t="array" ref="AP158">IF(N158=VLOOKUP(VALUE(N$1),{Questions[#],Questions[Answer]},2,FALSE),1,0)</f>
        <v/>
      </c>
      <c r="AQ158" s="41">
        <f t="array" ref="AQ158">IF(O158=VLOOKUP(VALUE(O$1),{Questions[#],Questions[Answer]},2,FALSE),1,0)</f>
        <v/>
      </c>
      <c r="AR158" s="41">
        <f t="array" ref="AR158">IF(P158=VLOOKUP(VALUE(P$1),{Questions[#],Questions[Answer]},2,FALSE),1,0)</f>
        <v/>
      </c>
      <c r="AS158" s="41">
        <f t="array" ref="AS158">IF(Q158=VLOOKUP(VALUE(Q$1),{Questions[#],Questions[Answer]},2,FALSE),1,0)</f>
        <v/>
      </c>
      <c r="AT158" s="41">
        <f t="array" ref="AT158">IF(R158=VLOOKUP(VALUE(R$1),{Questions[#],Questions[Answer]},2,FALSE),1,0)</f>
        <v/>
      </c>
      <c r="AU158" s="41">
        <f t="array" ref="AU158">IF(S158=VLOOKUP(VALUE(S$1),{Questions[#],Questions[Answer]},2,FALSE),1,0)</f>
        <v/>
      </c>
      <c r="AV158" s="41">
        <f t="array" ref="AV158">IF(T158=VLOOKUP(VALUE(T$1),{Questions[#],Questions[Answer]},2,FALSE),1,0)</f>
        <v/>
      </c>
      <c r="AW158" s="41">
        <f t="array" ref="AW158">IF(U158=VLOOKUP(VALUE(U$1),{Questions[#],Questions[Answer]},2,FALSE),1,0)</f>
        <v/>
      </c>
      <c r="AX158" s="41">
        <f t="array" ref="AX158">IF(V158=VLOOKUP(VALUE(V$1),{Questions[#],Questions[Answer]},2,FALSE),1,0)</f>
        <v/>
      </c>
      <c r="AY158" s="41">
        <f t="array" ref="AY158">IF(W158=VLOOKUP(VALUE(W$1),{Questions[#],Questions[Answer]},2,FALSE),1,0)</f>
        <v/>
      </c>
      <c r="AZ158" s="41">
        <f t="array" ref="AZ158">IF(X158=VLOOKUP(VALUE(X$1),{Questions[#],Questions[Answer]},2,FALSE),1,0)</f>
        <v/>
      </c>
      <c r="BA158" s="41">
        <f t="array" ref="BA158">IF(Y158=VLOOKUP(VALUE(Y$1),{Questions[#],Questions[Answer]},2,FALSE),1,0)</f>
        <v/>
      </c>
      <c r="BB158" s="41">
        <f t="array" ref="BB158">IF(Z158=VLOOKUP(VALUE(Z$1),{Questions[#],Questions[Answer]},2,FALSE),1,0)</f>
        <v/>
      </c>
      <c r="BC158" s="41">
        <f t="array" ref="BC158">IF(AA158=VLOOKUP(VALUE(AA$1),{Questions[#],Questions[Answer]},2,FALSE),1,0)</f>
        <v/>
      </c>
      <c r="BD158" s="41">
        <f t="array" ref="BD158">IF(AB158=VLOOKUP(VALUE(AB$1),{Questions[#],Questions[Answer]},2,FALSE),1,0)</f>
        <v/>
      </c>
      <c r="BE158" s="41">
        <f t="array" ref="BE158">IF(AC158=VLOOKUP(VALUE(AC$1),{Questions[#],Questions[Answer]},2,FALSE),1,0)</f>
        <v/>
      </c>
      <c r="BF158" s="41">
        <f t="array" ref="BF158">IF(AD158=VLOOKUP(VALUE(AD$1),{Questions[#],Questions[Answer]},2,FALSE),1,0)</f>
        <v/>
      </c>
      <c r="BG158" s="41">
        <f t="array" ref="BG158">IF(AE158=VLOOKUP(VALUE(AE$1),{Questions[#],Questions[Answer]},2,FALSE),1,0)</f>
        <v/>
      </c>
      <c r="BH158" s="41">
        <f t="array" ref="BH158">IF(AF158=VLOOKUP(VALUE(AF$1),{Questions[#],Questions[Answer]},2,FALSE),1,0)</f>
        <v/>
      </c>
      <c r="BI158" s="41">
        <f t="array" ref="BI158">IF(AG158=VLOOKUP(VALUE(AG$1),{Questions[#],Questions[Answer]},2,FALSE),1,0)</f>
        <v/>
      </c>
      <c r="BJ158" s="41">
        <f t="array" ref="BJ158">IF(AH158=VLOOKUP(VALUE(AH$1),{Questions[#],Questions[Answer]},2,FALSE),1,0)</f>
        <v/>
      </c>
      <c r="BK158" s="41">
        <f t="array" ref="BK158">IF(AI158=VLOOKUP(VALUE(AI$1),{Questions[#],Questions[Answer]},2,FALSE),1,0)</f>
        <v/>
      </c>
      <c r="BL158" s="41">
        <f t="array" ref="BL158">IF(AJ158=VLOOKUP(VALUE(AJ$1),{Questions[#],Questions[Answer]},2,FALSE),1,0)</f>
        <v/>
      </c>
      <c r="BM158" s="41">
        <f t="array" ref="BM158">IF(AK158=VLOOKUP(VALUE(AK$1),{Questions[#],Questions[Answer]},2,FALSE),1,0)</f>
        <v/>
      </c>
      <c r="BN158" s="41">
        <f t="array" ref="BN158">IF(AL158=VLOOKUP(VALUE(AL$1),{Questions[#],Questions[Answer]},2,FALSE),1,0)</f>
        <v/>
      </c>
    </row>
    <row r="159" ht="22.5" customHeight="1" s="93">
      <c r="A159" s="42" t="n"/>
      <c r="B159" s="41" t="n"/>
      <c r="C159" s="41" t="n"/>
      <c r="D159" s="43" t="n"/>
      <c r="E159" s="41" t="n"/>
      <c r="F159" s="41" t="n"/>
      <c r="G159" s="11">
        <f>SUM(AM159:BN159)</f>
        <v/>
      </c>
      <c r="H159" s="40">
        <f>G159/9</f>
        <v/>
      </c>
      <c r="I159" s="12">
        <f>0.5+(G159/54)</f>
        <v/>
      </c>
      <c r="J159" s="41">
        <f>COUNTIF(K159:AL159,"")</f>
        <v/>
      </c>
      <c r="K159" s="34" t="n"/>
      <c r="L159" s="35" t="n"/>
      <c r="M159" s="35" t="n"/>
      <c r="N159" s="35" t="n"/>
      <c r="O159" s="35" t="n"/>
      <c r="P159" s="35" t="n"/>
      <c r="Q159" s="35" t="n"/>
      <c r="R159" s="35" t="n"/>
      <c r="S159" s="35" t="n"/>
      <c r="T159" s="35" t="n"/>
      <c r="U159" s="35" t="n"/>
      <c r="V159" s="35" t="n"/>
      <c r="W159" s="35" t="n"/>
      <c r="X159" s="41" t="n"/>
      <c r="Y159" s="35" t="n"/>
      <c r="Z159" s="35" t="n"/>
      <c r="AA159" s="35" t="n"/>
      <c r="AB159" s="35" t="n"/>
      <c r="AC159" s="35" t="n"/>
      <c r="AD159" s="35" t="n"/>
      <c r="AE159" s="41" t="n"/>
      <c r="AF159" s="35" t="n"/>
      <c r="AG159" s="35" t="n"/>
      <c r="AH159" s="35" t="n"/>
      <c r="AI159" s="35" t="n"/>
      <c r="AJ159" s="35" t="n"/>
      <c r="AK159" s="35" t="n"/>
      <c r="AL159" s="38" t="n"/>
      <c r="AM159" s="19">
        <f t="array" ref="AM159">IF(K159=VLOOKUP(VALUE(K$1),{Questions[#],Questions[Answer]},2,FALSE),1,0)</f>
        <v/>
      </c>
      <c r="AN159" s="41">
        <f t="array" ref="AN159">IF(L159=VLOOKUP(VALUE(L$1),{Questions[#],Questions[Answer]},2,FALSE),1,0)</f>
        <v/>
      </c>
      <c r="AO159" s="41">
        <f t="array" ref="AO159">IF(M159=VLOOKUP(VALUE(M$1),{Questions[#],Questions[Answer]},2,FALSE),1,0)</f>
        <v/>
      </c>
      <c r="AP159" s="41">
        <f t="array" ref="AP159">IF(N159=VLOOKUP(VALUE(N$1),{Questions[#],Questions[Answer]},2,FALSE),1,0)</f>
        <v/>
      </c>
      <c r="AQ159" s="41">
        <f t="array" ref="AQ159">IF(O159=VLOOKUP(VALUE(O$1),{Questions[#],Questions[Answer]},2,FALSE),1,0)</f>
        <v/>
      </c>
      <c r="AR159" s="41">
        <f t="array" ref="AR159">IF(P159=VLOOKUP(VALUE(P$1),{Questions[#],Questions[Answer]},2,FALSE),1,0)</f>
        <v/>
      </c>
      <c r="AS159" s="41">
        <f t="array" ref="AS159">IF(Q159=VLOOKUP(VALUE(Q$1),{Questions[#],Questions[Answer]},2,FALSE),1,0)</f>
        <v/>
      </c>
      <c r="AT159" s="41">
        <f t="array" ref="AT159">IF(R159=VLOOKUP(VALUE(R$1),{Questions[#],Questions[Answer]},2,FALSE),1,0)</f>
        <v/>
      </c>
      <c r="AU159" s="41">
        <f t="array" ref="AU159">IF(S159=VLOOKUP(VALUE(S$1),{Questions[#],Questions[Answer]},2,FALSE),1,0)</f>
        <v/>
      </c>
      <c r="AV159" s="41">
        <f t="array" ref="AV159">IF(T159=VLOOKUP(VALUE(T$1),{Questions[#],Questions[Answer]},2,FALSE),1,0)</f>
        <v/>
      </c>
      <c r="AW159" s="41">
        <f t="array" ref="AW159">IF(U159=VLOOKUP(VALUE(U$1),{Questions[#],Questions[Answer]},2,FALSE),1,0)</f>
        <v/>
      </c>
      <c r="AX159" s="41">
        <f t="array" ref="AX159">IF(V159=VLOOKUP(VALUE(V$1),{Questions[#],Questions[Answer]},2,FALSE),1,0)</f>
        <v/>
      </c>
      <c r="AY159" s="41">
        <f t="array" ref="AY159">IF(W159=VLOOKUP(VALUE(W$1),{Questions[#],Questions[Answer]},2,FALSE),1,0)</f>
        <v/>
      </c>
      <c r="AZ159" s="41">
        <f t="array" ref="AZ159">IF(X159=VLOOKUP(VALUE(X$1),{Questions[#],Questions[Answer]},2,FALSE),1,0)</f>
        <v/>
      </c>
      <c r="BA159" s="41">
        <f t="array" ref="BA159">IF(Y159=VLOOKUP(VALUE(Y$1),{Questions[#],Questions[Answer]},2,FALSE),1,0)</f>
        <v/>
      </c>
      <c r="BB159" s="41">
        <f t="array" ref="BB159">IF(Z159=VLOOKUP(VALUE(Z$1),{Questions[#],Questions[Answer]},2,FALSE),1,0)</f>
        <v/>
      </c>
      <c r="BC159" s="41">
        <f t="array" ref="BC159">IF(AA159=VLOOKUP(VALUE(AA$1),{Questions[#],Questions[Answer]},2,FALSE),1,0)</f>
        <v/>
      </c>
      <c r="BD159" s="41">
        <f t="array" ref="BD159">IF(AB159=VLOOKUP(VALUE(AB$1),{Questions[#],Questions[Answer]},2,FALSE),1,0)</f>
        <v/>
      </c>
      <c r="BE159" s="41">
        <f t="array" ref="BE159">IF(AC159=VLOOKUP(VALUE(AC$1),{Questions[#],Questions[Answer]},2,FALSE),1,0)</f>
        <v/>
      </c>
      <c r="BF159" s="41">
        <f t="array" ref="BF159">IF(AD159=VLOOKUP(VALUE(AD$1),{Questions[#],Questions[Answer]},2,FALSE),1,0)</f>
        <v/>
      </c>
      <c r="BG159" s="41">
        <f t="array" ref="BG159">IF(AE159=VLOOKUP(VALUE(AE$1),{Questions[#],Questions[Answer]},2,FALSE),1,0)</f>
        <v/>
      </c>
      <c r="BH159" s="41">
        <f t="array" ref="BH159">IF(AF159=VLOOKUP(VALUE(AF$1),{Questions[#],Questions[Answer]},2,FALSE),1,0)</f>
        <v/>
      </c>
      <c r="BI159" s="41">
        <f t="array" ref="BI159">IF(AG159=VLOOKUP(VALUE(AG$1),{Questions[#],Questions[Answer]},2,FALSE),1,0)</f>
        <v/>
      </c>
      <c r="BJ159" s="41">
        <f t="array" ref="BJ159">IF(AH159=VLOOKUP(VALUE(AH$1),{Questions[#],Questions[Answer]},2,FALSE),1,0)</f>
        <v/>
      </c>
      <c r="BK159" s="41">
        <f t="array" ref="BK159">IF(AI159=VLOOKUP(VALUE(AI$1),{Questions[#],Questions[Answer]},2,FALSE),1,0)</f>
        <v/>
      </c>
      <c r="BL159" s="41">
        <f t="array" ref="BL159">IF(AJ159=VLOOKUP(VALUE(AJ$1),{Questions[#],Questions[Answer]},2,FALSE),1,0)</f>
        <v/>
      </c>
      <c r="BM159" s="41">
        <f t="array" ref="BM159">IF(AK159=VLOOKUP(VALUE(AK$1),{Questions[#],Questions[Answer]},2,FALSE),1,0)</f>
        <v/>
      </c>
      <c r="BN159" s="41">
        <f t="array" ref="BN159">IF(AL159=VLOOKUP(VALUE(AL$1),{Questions[#],Questions[Answer]},2,FALSE),1,0)</f>
        <v/>
      </c>
    </row>
    <row r="160" ht="22.5" customHeight="1" s="93">
      <c r="A160" s="42" t="n"/>
      <c r="B160" s="41" t="n"/>
      <c r="C160" s="41" t="n"/>
      <c r="D160" s="43" t="n"/>
      <c r="E160" s="41" t="n"/>
      <c r="F160" s="41" t="n"/>
      <c r="G160" s="11">
        <f>SUM(AM160:BN160)</f>
        <v/>
      </c>
      <c r="H160" s="40">
        <f>G160/9</f>
        <v/>
      </c>
      <c r="I160" s="12">
        <f>0.5+(G160/54)</f>
        <v/>
      </c>
      <c r="J160" s="41">
        <f>COUNTIF(K160:AL160,"")</f>
        <v/>
      </c>
      <c r="K160" s="34" t="n"/>
      <c r="L160" s="35" t="n"/>
      <c r="M160" s="35" t="n"/>
      <c r="N160" s="35" t="n"/>
      <c r="O160" s="35" t="n"/>
      <c r="P160" s="35" t="n"/>
      <c r="Q160" s="35" t="n"/>
      <c r="R160" s="35" t="n"/>
      <c r="S160" s="35" t="n"/>
      <c r="T160" s="35" t="n"/>
      <c r="U160" s="35" t="n"/>
      <c r="V160" s="35" t="n"/>
      <c r="W160" s="35" t="n"/>
      <c r="X160" s="41" t="n"/>
      <c r="Y160" s="35" t="n"/>
      <c r="Z160" s="35" t="n"/>
      <c r="AA160" s="35" t="n"/>
      <c r="AB160" s="35" t="n"/>
      <c r="AC160" s="35" t="n"/>
      <c r="AD160" s="35" t="n"/>
      <c r="AE160" s="41" t="n"/>
      <c r="AF160" s="35" t="n"/>
      <c r="AG160" s="35" t="n"/>
      <c r="AH160" s="35" t="n"/>
      <c r="AI160" s="35" t="n"/>
      <c r="AJ160" s="35" t="n"/>
      <c r="AK160" s="35" t="n"/>
      <c r="AL160" s="38" t="n"/>
      <c r="AM160" s="19">
        <f t="array" ref="AM160">IF(K160=VLOOKUP(VALUE(K$1),{Questions[#],Questions[Answer]},2,FALSE),1,0)</f>
        <v/>
      </c>
      <c r="AN160" s="41">
        <f t="array" ref="AN160">IF(L160=VLOOKUP(VALUE(L$1),{Questions[#],Questions[Answer]},2,FALSE),1,0)</f>
        <v/>
      </c>
      <c r="AO160" s="41">
        <f t="array" ref="AO160">IF(M160=VLOOKUP(VALUE(M$1),{Questions[#],Questions[Answer]},2,FALSE),1,0)</f>
        <v/>
      </c>
      <c r="AP160" s="41">
        <f t="array" ref="AP160">IF(N160=VLOOKUP(VALUE(N$1),{Questions[#],Questions[Answer]},2,FALSE),1,0)</f>
        <v/>
      </c>
      <c r="AQ160" s="41">
        <f t="array" ref="AQ160">IF(O160=VLOOKUP(VALUE(O$1),{Questions[#],Questions[Answer]},2,FALSE),1,0)</f>
        <v/>
      </c>
      <c r="AR160" s="41">
        <f t="array" ref="AR160">IF(P160=VLOOKUP(VALUE(P$1),{Questions[#],Questions[Answer]},2,FALSE),1,0)</f>
        <v/>
      </c>
      <c r="AS160" s="41">
        <f t="array" ref="AS160">IF(Q160=VLOOKUP(VALUE(Q$1),{Questions[#],Questions[Answer]},2,FALSE),1,0)</f>
        <v/>
      </c>
      <c r="AT160" s="41">
        <f t="array" ref="AT160">IF(R160=VLOOKUP(VALUE(R$1),{Questions[#],Questions[Answer]},2,FALSE),1,0)</f>
        <v/>
      </c>
      <c r="AU160" s="41">
        <f t="array" ref="AU160">IF(S160=VLOOKUP(VALUE(S$1),{Questions[#],Questions[Answer]},2,FALSE),1,0)</f>
        <v/>
      </c>
      <c r="AV160" s="41">
        <f t="array" ref="AV160">IF(T160=VLOOKUP(VALUE(T$1),{Questions[#],Questions[Answer]},2,FALSE),1,0)</f>
        <v/>
      </c>
      <c r="AW160" s="41">
        <f t="array" ref="AW160">IF(U160=VLOOKUP(VALUE(U$1),{Questions[#],Questions[Answer]},2,FALSE),1,0)</f>
        <v/>
      </c>
      <c r="AX160" s="41">
        <f t="array" ref="AX160">IF(V160=VLOOKUP(VALUE(V$1),{Questions[#],Questions[Answer]},2,FALSE),1,0)</f>
        <v/>
      </c>
      <c r="AY160" s="41">
        <f t="array" ref="AY160">IF(W160=VLOOKUP(VALUE(W$1),{Questions[#],Questions[Answer]},2,FALSE),1,0)</f>
        <v/>
      </c>
      <c r="AZ160" s="41">
        <f t="array" ref="AZ160">IF(X160=VLOOKUP(VALUE(X$1),{Questions[#],Questions[Answer]},2,FALSE),1,0)</f>
        <v/>
      </c>
      <c r="BA160" s="41">
        <f t="array" ref="BA160">IF(Y160=VLOOKUP(VALUE(Y$1),{Questions[#],Questions[Answer]},2,FALSE),1,0)</f>
        <v/>
      </c>
      <c r="BB160" s="41">
        <f t="array" ref="BB160">IF(Z160=VLOOKUP(VALUE(Z$1),{Questions[#],Questions[Answer]},2,FALSE),1,0)</f>
        <v/>
      </c>
      <c r="BC160" s="41">
        <f t="array" ref="BC160">IF(AA160=VLOOKUP(VALUE(AA$1),{Questions[#],Questions[Answer]},2,FALSE),1,0)</f>
        <v/>
      </c>
      <c r="BD160" s="41">
        <f t="array" ref="BD160">IF(AB160=VLOOKUP(VALUE(AB$1),{Questions[#],Questions[Answer]},2,FALSE),1,0)</f>
        <v/>
      </c>
      <c r="BE160" s="41">
        <f t="array" ref="BE160">IF(AC160=VLOOKUP(VALUE(AC$1),{Questions[#],Questions[Answer]},2,FALSE),1,0)</f>
        <v/>
      </c>
      <c r="BF160" s="41">
        <f t="array" ref="BF160">IF(AD160=VLOOKUP(VALUE(AD$1),{Questions[#],Questions[Answer]},2,FALSE),1,0)</f>
        <v/>
      </c>
      <c r="BG160" s="41">
        <f t="array" ref="BG160">IF(AE160=VLOOKUP(VALUE(AE$1),{Questions[#],Questions[Answer]},2,FALSE),1,0)</f>
        <v/>
      </c>
      <c r="BH160" s="41">
        <f t="array" ref="BH160">IF(AF160=VLOOKUP(VALUE(AF$1),{Questions[#],Questions[Answer]},2,FALSE),1,0)</f>
        <v/>
      </c>
      <c r="BI160" s="41">
        <f t="array" ref="BI160">IF(AG160=VLOOKUP(VALUE(AG$1),{Questions[#],Questions[Answer]},2,FALSE),1,0)</f>
        <v/>
      </c>
      <c r="BJ160" s="41">
        <f t="array" ref="BJ160">IF(AH160=VLOOKUP(VALUE(AH$1),{Questions[#],Questions[Answer]},2,FALSE),1,0)</f>
        <v/>
      </c>
      <c r="BK160" s="41">
        <f t="array" ref="BK160">IF(AI160=VLOOKUP(VALUE(AI$1),{Questions[#],Questions[Answer]},2,FALSE),1,0)</f>
        <v/>
      </c>
      <c r="BL160" s="41">
        <f t="array" ref="BL160">IF(AJ160=VLOOKUP(VALUE(AJ$1),{Questions[#],Questions[Answer]},2,FALSE),1,0)</f>
        <v/>
      </c>
      <c r="BM160" s="41">
        <f t="array" ref="BM160">IF(AK160=VLOOKUP(VALUE(AK$1),{Questions[#],Questions[Answer]},2,FALSE),1,0)</f>
        <v/>
      </c>
      <c r="BN160" s="41">
        <f t="array" ref="BN160">IF(AL160=VLOOKUP(VALUE(AL$1),{Questions[#],Questions[Answer]},2,FALSE),1,0)</f>
        <v/>
      </c>
    </row>
    <row r="161" ht="22.5" customHeight="1" s="93">
      <c r="A161" s="42" t="n"/>
      <c r="B161" s="41" t="n"/>
      <c r="C161" s="41" t="n"/>
      <c r="D161" s="43" t="n"/>
      <c r="E161" s="41" t="n"/>
      <c r="F161" s="41" t="n"/>
      <c r="G161" s="11">
        <f>SUM(AM161:BN161)</f>
        <v/>
      </c>
      <c r="H161" s="40">
        <f>G161/9</f>
        <v/>
      </c>
      <c r="I161" s="12">
        <f>0.5+(G161/54)</f>
        <v/>
      </c>
      <c r="J161" s="41">
        <f>COUNTIF(K161:AL161,"")</f>
        <v/>
      </c>
      <c r="K161" s="34" t="n"/>
      <c r="L161" s="35" t="n"/>
      <c r="M161" s="35" t="n"/>
      <c r="N161" s="35" t="n"/>
      <c r="O161" s="35" t="n"/>
      <c r="P161" s="35" t="n"/>
      <c r="Q161" s="35" t="n"/>
      <c r="R161" s="35" t="n"/>
      <c r="S161" s="35" t="n"/>
      <c r="T161" s="35" t="n"/>
      <c r="U161" s="35" t="n"/>
      <c r="V161" s="35" t="n"/>
      <c r="W161" s="35" t="n"/>
      <c r="X161" s="41" t="n"/>
      <c r="Y161" s="35" t="n"/>
      <c r="Z161" s="35" t="n"/>
      <c r="AA161" s="35" t="n"/>
      <c r="AB161" s="35" t="n"/>
      <c r="AC161" s="35" t="n"/>
      <c r="AD161" s="35" t="n"/>
      <c r="AE161" s="41" t="n"/>
      <c r="AF161" s="35" t="n"/>
      <c r="AG161" s="35" t="n"/>
      <c r="AH161" s="35" t="n"/>
      <c r="AI161" s="35" t="n"/>
      <c r="AJ161" s="35" t="n"/>
      <c r="AK161" s="35" t="n"/>
      <c r="AL161" s="38" t="n"/>
      <c r="AM161" s="19">
        <f t="array" ref="AM161">IF(K161=VLOOKUP(VALUE(K$1),{Questions[#],Questions[Answer]},2,FALSE),1,0)</f>
        <v/>
      </c>
      <c r="AN161" s="41">
        <f t="array" ref="AN161">IF(L161=VLOOKUP(VALUE(L$1),{Questions[#],Questions[Answer]},2,FALSE),1,0)</f>
        <v/>
      </c>
      <c r="AO161" s="41">
        <f t="array" ref="AO161">IF(M161=VLOOKUP(VALUE(M$1),{Questions[#],Questions[Answer]},2,FALSE),1,0)</f>
        <v/>
      </c>
      <c r="AP161" s="41">
        <f t="array" ref="AP161">IF(N161=VLOOKUP(VALUE(N$1),{Questions[#],Questions[Answer]},2,FALSE),1,0)</f>
        <v/>
      </c>
      <c r="AQ161" s="41">
        <f t="array" ref="AQ161">IF(O161=VLOOKUP(VALUE(O$1),{Questions[#],Questions[Answer]},2,FALSE),1,0)</f>
        <v/>
      </c>
      <c r="AR161" s="41">
        <f t="array" ref="AR161">IF(P161=VLOOKUP(VALUE(P$1),{Questions[#],Questions[Answer]},2,FALSE),1,0)</f>
        <v/>
      </c>
      <c r="AS161" s="41">
        <f t="array" ref="AS161">IF(Q161=VLOOKUP(VALUE(Q$1),{Questions[#],Questions[Answer]},2,FALSE),1,0)</f>
        <v/>
      </c>
      <c r="AT161" s="41">
        <f t="array" ref="AT161">IF(R161=VLOOKUP(VALUE(R$1),{Questions[#],Questions[Answer]},2,FALSE),1,0)</f>
        <v/>
      </c>
      <c r="AU161" s="41">
        <f t="array" ref="AU161">IF(S161=VLOOKUP(VALUE(S$1),{Questions[#],Questions[Answer]},2,FALSE),1,0)</f>
        <v/>
      </c>
      <c r="AV161" s="41">
        <f t="array" ref="AV161">IF(T161=VLOOKUP(VALUE(T$1),{Questions[#],Questions[Answer]},2,FALSE),1,0)</f>
        <v/>
      </c>
      <c r="AW161" s="41">
        <f t="array" ref="AW161">IF(U161=VLOOKUP(VALUE(U$1),{Questions[#],Questions[Answer]},2,FALSE),1,0)</f>
        <v/>
      </c>
      <c r="AX161" s="41">
        <f t="array" ref="AX161">IF(V161=VLOOKUP(VALUE(V$1),{Questions[#],Questions[Answer]},2,FALSE),1,0)</f>
        <v/>
      </c>
      <c r="AY161" s="41">
        <f t="array" ref="AY161">IF(W161=VLOOKUP(VALUE(W$1),{Questions[#],Questions[Answer]},2,FALSE),1,0)</f>
        <v/>
      </c>
      <c r="AZ161" s="41">
        <f t="array" ref="AZ161">IF(X161=VLOOKUP(VALUE(X$1),{Questions[#],Questions[Answer]},2,FALSE),1,0)</f>
        <v/>
      </c>
      <c r="BA161" s="41">
        <f t="array" ref="BA161">IF(Y161=VLOOKUP(VALUE(Y$1),{Questions[#],Questions[Answer]},2,FALSE),1,0)</f>
        <v/>
      </c>
      <c r="BB161" s="41">
        <f t="array" ref="BB161">IF(Z161=VLOOKUP(VALUE(Z$1),{Questions[#],Questions[Answer]},2,FALSE),1,0)</f>
        <v/>
      </c>
      <c r="BC161" s="41">
        <f t="array" ref="BC161">IF(AA161=VLOOKUP(VALUE(AA$1),{Questions[#],Questions[Answer]},2,FALSE),1,0)</f>
        <v/>
      </c>
      <c r="BD161" s="41">
        <f t="array" ref="BD161">IF(AB161=VLOOKUP(VALUE(AB$1),{Questions[#],Questions[Answer]},2,FALSE),1,0)</f>
        <v/>
      </c>
      <c r="BE161" s="41">
        <f t="array" ref="BE161">IF(AC161=VLOOKUP(VALUE(AC$1),{Questions[#],Questions[Answer]},2,FALSE),1,0)</f>
        <v/>
      </c>
      <c r="BF161" s="41">
        <f t="array" ref="BF161">IF(AD161=VLOOKUP(VALUE(AD$1),{Questions[#],Questions[Answer]},2,FALSE),1,0)</f>
        <v/>
      </c>
      <c r="BG161" s="41">
        <f t="array" ref="BG161">IF(AE161=VLOOKUP(VALUE(AE$1),{Questions[#],Questions[Answer]},2,FALSE),1,0)</f>
        <v/>
      </c>
      <c r="BH161" s="41">
        <f t="array" ref="BH161">IF(AF161=VLOOKUP(VALUE(AF$1),{Questions[#],Questions[Answer]},2,FALSE),1,0)</f>
        <v/>
      </c>
      <c r="BI161" s="41">
        <f t="array" ref="BI161">IF(AG161=VLOOKUP(VALUE(AG$1),{Questions[#],Questions[Answer]},2,FALSE),1,0)</f>
        <v/>
      </c>
      <c r="BJ161" s="41">
        <f t="array" ref="BJ161">IF(AH161=VLOOKUP(VALUE(AH$1),{Questions[#],Questions[Answer]},2,FALSE),1,0)</f>
        <v/>
      </c>
      <c r="BK161" s="41">
        <f t="array" ref="BK161">IF(AI161=VLOOKUP(VALUE(AI$1),{Questions[#],Questions[Answer]},2,FALSE),1,0)</f>
        <v/>
      </c>
      <c r="BL161" s="41">
        <f t="array" ref="BL161">IF(AJ161=VLOOKUP(VALUE(AJ$1),{Questions[#],Questions[Answer]},2,FALSE),1,0)</f>
        <v/>
      </c>
      <c r="BM161" s="41">
        <f t="array" ref="BM161">IF(AK161=VLOOKUP(VALUE(AK$1),{Questions[#],Questions[Answer]},2,FALSE),1,0)</f>
        <v/>
      </c>
      <c r="BN161" s="41">
        <f t="array" ref="BN161">IF(AL161=VLOOKUP(VALUE(AL$1),{Questions[#],Questions[Answer]},2,FALSE),1,0)</f>
        <v/>
      </c>
    </row>
    <row r="162" ht="22.5" customHeight="1" s="93">
      <c r="A162" s="42" t="n"/>
      <c r="B162" s="41" t="n"/>
      <c r="C162" s="41" t="n"/>
      <c r="D162" s="43" t="n"/>
      <c r="E162" s="41" t="n"/>
      <c r="F162" s="41" t="n"/>
      <c r="G162" s="11">
        <f>SUM(AM162:BN162)</f>
        <v/>
      </c>
      <c r="H162" s="40">
        <f>G162/9</f>
        <v/>
      </c>
      <c r="I162" s="12">
        <f>0.5+(G162/54)</f>
        <v/>
      </c>
      <c r="J162" s="41">
        <f>COUNTIF(K162:AL162,"")</f>
        <v/>
      </c>
      <c r="K162" s="34" t="n"/>
      <c r="L162" s="35" t="n"/>
      <c r="M162" s="35" t="n"/>
      <c r="N162" s="35" t="n"/>
      <c r="O162" s="35" t="n"/>
      <c r="P162" s="35" t="n"/>
      <c r="Q162" s="35" t="n"/>
      <c r="R162" s="35" t="n"/>
      <c r="S162" s="35" t="n"/>
      <c r="T162" s="35" t="n"/>
      <c r="U162" s="35" t="n"/>
      <c r="V162" s="35" t="n"/>
      <c r="W162" s="35" t="n"/>
      <c r="X162" s="41" t="n"/>
      <c r="Y162" s="35" t="n"/>
      <c r="Z162" s="35" t="n"/>
      <c r="AA162" s="35" t="n"/>
      <c r="AB162" s="35" t="n"/>
      <c r="AC162" s="35" t="n"/>
      <c r="AD162" s="35" t="n"/>
      <c r="AE162" s="41" t="n"/>
      <c r="AF162" s="35" t="n"/>
      <c r="AG162" s="35" t="n"/>
      <c r="AH162" s="35" t="n"/>
      <c r="AI162" s="35" t="n"/>
      <c r="AJ162" s="35" t="n"/>
      <c r="AK162" s="35" t="n"/>
      <c r="AL162" s="38" t="n"/>
      <c r="AM162" s="19">
        <f t="array" ref="AM162">IF(K162=VLOOKUP(VALUE(K$1),{Questions[#],Questions[Answer]},2,FALSE),1,0)</f>
        <v/>
      </c>
      <c r="AN162" s="41">
        <f t="array" ref="AN162">IF(L162=VLOOKUP(VALUE(L$1),{Questions[#],Questions[Answer]},2,FALSE),1,0)</f>
        <v/>
      </c>
      <c r="AO162" s="41">
        <f t="array" ref="AO162">IF(M162=VLOOKUP(VALUE(M$1),{Questions[#],Questions[Answer]},2,FALSE),1,0)</f>
        <v/>
      </c>
      <c r="AP162" s="41">
        <f t="array" ref="AP162">IF(N162=VLOOKUP(VALUE(N$1),{Questions[#],Questions[Answer]},2,FALSE),1,0)</f>
        <v/>
      </c>
      <c r="AQ162" s="41">
        <f t="array" ref="AQ162">IF(O162=VLOOKUP(VALUE(O$1),{Questions[#],Questions[Answer]},2,FALSE),1,0)</f>
        <v/>
      </c>
      <c r="AR162" s="41">
        <f t="array" ref="AR162">IF(P162=VLOOKUP(VALUE(P$1),{Questions[#],Questions[Answer]},2,FALSE),1,0)</f>
        <v/>
      </c>
      <c r="AS162" s="41">
        <f t="array" ref="AS162">IF(Q162=VLOOKUP(VALUE(Q$1),{Questions[#],Questions[Answer]},2,FALSE),1,0)</f>
        <v/>
      </c>
      <c r="AT162" s="41">
        <f t="array" ref="AT162">IF(R162=VLOOKUP(VALUE(R$1),{Questions[#],Questions[Answer]},2,FALSE),1,0)</f>
        <v/>
      </c>
      <c r="AU162" s="41">
        <f t="array" ref="AU162">IF(S162=VLOOKUP(VALUE(S$1),{Questions[#],Questions[Answer]},2,FALSE),1,0)</f>
        <v/>
      </c>
      <c r="AV162" s="41">
        <f t="array" ref="AV162">IF(T162=VLOOKUP(VALUE(T$1),{Questions[#],Questions[Answer]},2,FALSE),1,0)</f>
        <v/>
      </c>
      <c r="AW162" s="41">
        <f t="array" ref="AW162">IF(U162=VLOOKUP(VALUE(U$1),{Questions[#],Questions[Answer]},2,FALSE),1,0)</f>
        <v/>
      </c>
      <c r="AX162" s="41">
        <f t="array" ref="AX162">IF(V162=VLOOKUP(VALUE(V$1),{Questions[#],Questions[Answer]},2,FALSE),1,0)</f>
        <v/>
      </c>
      <c r="AY162" s="41">
        <f t="array" ref="AY162">IF(W162=VLOOKUP(VALUE(W$1),{Questions[#],Questions[Answer]},2,FALSE),1,0)</f>
        <v/>
      </c>
      <c r="AZ162" s="41">
        <f t="array" ref="AZ162">IF(X162=VLOOKUP(VALUE(X$1),{Questions[#],Questions[Answer]},2,FALSE),1,0)</f>
        <v/>
      </c>
      <c r="BA162" s="41">
        <f t="array" ref="BA162">IF(Y162=VLOOKUP(VALUE(Y$1),{Questions[#],Questions[Answer]},2,FALSE),1,0)</f>
        <v/>
      </c>
      <c r="BB162" s="41">
        <f t="array" ref="BB162">IF(Z162=VLOOKUP(VALUE(Z$1),{Questions[#],Questions[Answer]},2,FALSE),1,0)</f>
        <v/>
      </c>
      <c r="BC162" s="41">
        <f t="array" ref="BC162">IF(AA162=VLOOKUP(VALUE(AA$1),{Questions[#],Questions[Answer]},2,FALSE),1,0)</f>
        <v/>
      </c>
      <c r="BD162" s="41">
        <f t="array" ref="BD162">IF(AB162=VLOOKUP(VALUE(AB$1),{Questions[#],Questions[Answer]},2,FALSE),1,0)</f>
        <v/>
      </c>
      <c r="BE162" s="41">
        <f t="array" ref="BE162">IF(AC162=VLOOKUP(VALUE(AC$1),{Questions[#],Questions[Answer]},2,FALSE),1,0)</f>
        <v/>
      </c>
      <c r="BF162" s="41">
        <f t="array" ref="BF162">IF(AD162=VLOOKUP(VALUE(AD$1),{Questions[#],Questions[Answer]},2,FALSE),1,0)</f>
        <v/>
      </c>
      <c r="BG162" s="41">
        <f t="array" ref="BG162">IF(AE162=VLOOKUP(VALUE(AE$1),{Questions[#],Questions[Answer]},2,FALSE),1,0)</f>
        <v/>
      </c>
      <c r="BH162" s="41">
        <f t="array" ref="BH162">IF(AF162=VLOOKUP(VALUE(AF$1),{Questions[#],Questions[Answer]},2,FALSE),1,0)</f>
        <v/>
      </c>
      <c r="BI162" s="41">
        <f t="array" ref="BI162">IF(AG162=VLOOKUP(VALUE(AG$1),{Questions[#],Questions[Answer]},2,FALSE),1,0)</f>
        <v/>
      </c>
      <c r="BJ162" s="41">
        <f t="array" ref="BJ162">IF(AH162=VLOOKUP(VALUE(AH$1),{Questions[#],Questions[Answer]},2,FALSE),1,0)</f>
        <v/>
      </c>
      <c r="BK162" s="41">
        <f t="array" ref="BK162">IF(AI162=VLOOKUP(VALUE(AI$1),{Questions[#],Questions[Answer]},2,FALSE),1,0)</f>
        <v/>
      </c>
      <c r="BL162" s="41">
        <f t="array" ref="BL162">IF(AJ162=VLOOKUP(VALUE(AJ$1),{Questions[#],Questions[Answer]},2,FALSE),1,0)</f>
        <v/>
      </c>
      <c r="BM162" s="41">
        <f t="array" ref="BM162">IF(AK162=VLOOKUP(VALUE(AK$1),{Questions[#],Questions[Answer]},2,FALSE),1,0)</f>
        <v/>
      </c>
      <c r="BN162" s="41">
        <f t="array" ref="BN162">IF(AL162=VLOOKUP(VALUE(AL$1),{Questions[#],Questions[Answer]},2,FALSE),1,0)</f>
        <v/>
      </c>
    </row>
    <row r="163" ht="22.5" customHeight="1" s="93">
      <c r="A163" s="42" t="n"/>
      <c r="B163" s="41" t="n"/>
      <c r="C163" s="41" t="n"/>
      <c r="D163" s="43" t="n"/>
      <c r="E163" s="41" t="n"/>
      <c r="F163" s="41" t="n"/>
      <c r="G163" s="11">
        <f>SUM(AM163:BN163)</f>
        <v/>
      </c>
      <c r="H163" s="40">
        <f>G163/9</f>
        <v/>
      </c>
      <c r="I163" s="12">
        <f>0.5+(G163/54)</f>
        <v/>
      </c>
      <c r="J163" s="41">
        <f>COUNTIF(K163:AL163,"")</f>
        <v/>
      </c>
      <c r="K163" s="34" t="n"/>
      <c r="L163" s="35" t="n"/>
      <c r="M163" s="35" t="n"/>
      <c r="N163" s="35" t="n"/>
      <c r="O163" s="35" t="n"/>
      <c r="P163" s="35" t="n"/>
      <c r="Q163" s="35" t="n"/>
      <c r="R163" s="35" t="n"/>
      <c r="S163" s="35" t="n"/>
      <c r="T163" s="35" t="n"/>
      <c r="U163" s="35" t="n"/>
      <c r="V163" s="35" t="n"/>
      <c r="W163" s="35" t="n"/>
      <c r="X163" s="41" t="n"/>
      <c r="Y163" s="35" t="n"/>
      <c r="Z163" s="35" t="n"/>
      <c r="AA163" s="35" t="n"/>
      <c r="AB163" s="35" t="n"/>
      <c r="AC163" s="35" t="n"/>
      <c r="AD163" s="35" t="n"/>
      <c r="AE163" s="41" t="n"/>
      <c r="AF163" s="35" t="n"/>
      <c r="AG163" s="35" t="n"/>
      <c r="AH163" s="35" t="n"/>
      <c r="AI163" s="35" t="n"/>
      <c r="AJ163" s="35" t="n"/>
      <c r="AK163" s="35" t="n"/>
      <c r="AL163" s="38" t="n"/>
      <c r="AM163" s="19">
        <f t="array" ref="AM163">IF(K163=VLOOKUP(VALUE(K$1),{Questions[#],Questions[Answer]},2,FALSE),1,0)</f>
        <v/>
      </c>
      <c r="AN163" s="41">
        <f t="array" ref="AN163">IF(L163=VLOOKUP(VALUE(L$1),{Questions[#],Questions[Answer]},2,FALSE),1,0)</f>
        <v/>
      </c>
      <c r="AO163" s="41">
        <f t="array" ref="AO163">IF(M163=VLOOKUP(VALUE(M$1),{Questions[#],Questions[Answer]},2,FALSE),1,0)</f>
        <v/>
      </c>
      <c r="AP163" s="41">
        <f t="array" ref="AP163">IF(N163=VLOOKUP(VALUE(N$1),{Questions[#],Questions[Answer]},2,FALSE),1,0)</f>
        <v/>
      </c>
      <c r="AQ163" s="41">
        <f t="array" ref="AQ163">IF(O163=VLOOKUP(VALUE(O$1),{Questions[#],Questions[Answer]},2,FALSE),1,0)</f>
        <v/>
      </c>
      <c r="AR163" s="41">
        <f t="array" ref="AR163">IF(P163=VLOOKUP(VALUE(P$1),{Questions[#],Questions[Answer]},2,FALSE),1,0)</f>
        <v/>
      </c>
      <c r="AS163" s="41">
        <f t="array" ref="AS163">IF(Q163=VLOOKUP(VALUE(Q$1),{Questions[#],Questions[Answer]},2,FALSE),1,0)</f>
        <v/>
      </c>
      <c r="AT163" s="41">
        <f t="array" ref="AT163">IF(R163=VLOOKUP(VALUE(R$1),{Questions[#],Questions[Answer]},2,FALSE),1,0)</f>
        <v/>
      </c>
      <c r="AU163" s="41">
        <f t="array" ref="AU163">IF(S163=VLOOKUP(VALUE(S$1),{Questions[#],Questions[Answer]},2,FALSE),1,0)</f>
        <v/>
      </c>
      <c r="AV163" s="41">
        <f t="array" ref="AV163">IF(T163=VLOOKUP(VALUE(T$1),{Questions[#],Questions[Answer]},2,FALSE),1,0)</f>
        <v/>
      </c>
      <c r="AW163" s="41">
        <f t="array" ref="AW163">IF(U163=VLOOKUP(VALUE(U$1),{Questions[#],Questions[Answer]},2,FALSE),1,0)</f>
        <v/>
      </c>
      <c r="AX163" s="41">
        <f t="array" ref="AX163">IF(V163=VLOOKUP(VALUE(V$1),{Questions[#],Questions[Answer]},2,FALSE),1,0)</f>
        <v/>
      </c>
      <c r="AY163" s="41">
        <f t="array" ref="AY163">IF(W163=VLOOKUP(VALUE(W$1),{Questions[#],Questions[Answer]},2,FALSE),1,0)</f>
        <v/>
      </c>
      <c r="AZ163" s="41">
        <f t="array" ref="AZ163">IF(X163=VLOOKUP(VALUE(X$1),{Questions[#],Questions[Answer]},2,FALSE),1,0)</f>
        <v/>
      </c>
      <c r="BA163" s="41">
        <f t="array" ref="BA163">IF(Y163=VLOOKUP(VALUE(Y$1),{Questions[#],Questions[Answer]},2,FALSE),1,0)</f>
        <v/>
      </c>
      <c r="BB163" s="41">
        <f t="array" ref="BB163">IF(Z163=VLOOKUP(VALUE(Z$1),{Questions[#],Questions[Answer]},2,FALSE),1,0)</f>
        <v/>
      </c>
      <c r="BC163" s="41">
        <f t="array" ref="BC163">IF(AA163=VLOOKUP(VALUE(AA$1),{Questions[#],Questions[Answer]},2,FALSE),1,0)</f>
        <v/>
      </c>
      <c r="BD163" s="41">
        <f t="array" ref="BD163">IF(AB163=VLOOKUP(VALUE(AB$1),{Questions[#],Questions[Answer]},2,FALSE),1,0)</f>
        <v/>
      </c>
      <c r="BE163" s="41">
        <f t="array" ref="BE163">IF(AC163=VLOOKUP(VALUE(AC$1),{Questions[#],Questions[Answer]},2,FALSE),1,0)</f>
        <v/>
      </c>
      <c r="BF163" s="41">
        <f t="array" ref="BF163">IF(AD163=VLOOKUP(VALUE(AD$1),{Questions[#],Questions[Answer]},2,FALSE),1,0)</f>
        <v/>
      </c>
      <c r="BG163" s="41">
        <f t="array" ref="BG163">IF(AE163=VLOOKUP(VALUE(AE$1),{Questions[#],Questions[Answer]},2,FALSE),1,0)</f>
        <v/>
      </c>
      <c r="BH163" s="41">
        <f t="array" ref="BH163">IF(AF163=VLOOKUP(VALUE(AF$1),{Questions[#],Questions[Answer]},2,FALSE),1,0)</f>
        <v/>
      </c>
      <c r="BI163" s="41">
        <f t="array" ref="BI163">IF(AG163=VLOOKUP(VALUE(AG$1),{Questions[#],Questions[Answer]},2,FALSE),1,0)</f>
        <v/>
      </c>
      <c r="BJ163" s="41">
        <f t="array" ref="BJ163">IF(AH163=VLOOKUP(VALUE(AH$1),{Questions[#],Questions[Answer]},2,FALSE),1,0)</f>
        <v/>
      </c>
      <c r="BK163" s="41">
        <f t="array" ref="BK163">IF(AI163=VLOOKUP(VALUE(AI$1),{Questions[#],Questions[Answer]},2,FALSE),1,0)</f>
        <v/>
      </c>
      <c r="BL163" s="41">
        <f t="array" ref="BL163">IF(AJ163=VLOOKUP(VALUE(AJ$1),{Questions[#],Questions[Answer]},2,FALSE),1,0)</f>
        <v/>
      </c>
      <c r="BM163" s="41">
        <f t="array" ref="BM163">IF(AK163=VLOOKUP(VALUE(AK$1),{Questions[#],Questions[Answer]},2,FALSE),1,0)</f>
        <v/>
      </c>
      <c r="BN163" s="41">
        <f t="array" ref="BN163">IF(AL163=VLOOKUP(VALUE(AL$1),{Questions[#],Questions[Answer]},2,FALSE),1,0)</f>
        <v/>
      </c>
    </row>
    <row r="164" ht="22.5" customHeight="1" s="93">
      <c r="A164" s="42" t="n"/>
      <c r="B164" s="41" t="n"/>
      <c r="C164" s="41" t="n"/>
      <c r="D164" s="43" t="n"/>
      <c r="E164" s="41" t="n"/>
      <c r="F164" s="41" t="n"/>
      <c r="G164" s="11">
        <f>SUM(AM164:BN164)</f>
        <v/>
      </c>
      <c r="H164" s="40">
        <f>G164/9</f>
        <v/>
      </c>
      <c r="I164" s="12">
        <f>0.5+(G164/54)</f>
        <v/>
      </c>
      <c r="J164" s="41">
        <f>COUNTIF(K164:AL164,"")</f>
        <v/>
      </c>
      <c r="K164" s="34" t="n"/>
      <c r="L164" s="35" t="n"/>
      <c r="M164" s="35" t="n"/>
      <c r="N164" s="35" t="n"/>
      <c r="O164" s="35" t="n"/>
      <c r="P164" s="35" t="n"/>
      <c r="Q164" s="35" t="n"/>
      <c r="R164" s="35" t="n"/>
      <c r="S164" s="35" t="n"/>
      <c r="T164" s="35" t="n"/>
      <c r="U164" s="35" t="n"/>
      <c r="V164" s="35" t="n"/>
      <c r="W164" s="35" t="n"/>
      <c r="X164" s="41" t="n"/>
      <c r="Y164" s="35" t="n"/>
      <c r="Z164" s="35" t="n"/>
      <c r="AA164" s="35" t="n"/>
      <c r="AB164" s="35" t="n"/>
      <c r="AC164" s="35" t="n"/>
      <c r="AD164" s="35" t="n"/>
      <c r="AE164" s="41" t="n"/>
      <c r="AF164" s="35" t="n"/>
      <c r="AG164" s="35" t="n"/>
      <c r="AH164" s="35" t="n"/>
      <c r="AI164" s="35" t="n"/>
      <c r="AJ164" s="35" t="n"/>
      <c r="AK164" s="35" t="n"/>
      <c r="AL164" s="38" t="n"/>
      <c r="AM164" s="19">
        <f t="array" ref="AM164">IF(K164=VLOOKUP(VALUE(K$1),{Questions[#],Questions[Answer]},2,FALSE),1,0)</f>
        <v/>
      </c>
      <c r="AN164" s="41">
        <f t="array" ref="AN164">IF(L164=VLOOKUP(VALUE(L$1),{Questions[#],Questions[Answer]},2,FALSE),1,0)</f>
        <v/>
      </c>
      <c r="AO164" s="41">
        <f t="array" ref="AO164">IF(M164=VLOOKUP(VALUE(M$1),{Questions[#],Questions[Answer]},2,FALSE),1,0)</f>
        <v/>
      </c>
      <c r="AP164" s="41">
        <f t="array" ref="AP164">IF(N164=VLOOKUP(VALUE(N$1),{Questions[#],Questions[Answer]},2,FALSE),1,0)</f>
        <v/>
      </c>
      <c r="AQ164" s="41">
        <f t="array" ref="AQ164">IF(O164=VLOOKUP(VALUE(O$1),{Questions[#],Questions[Answer]},2,FALSE),1,0)</f>
        <v/>
      </c>
      <c r="AR164" s="41">
        <f t="array" ref="AR164">IF(P164=VLOOKUP(VALUE(P$1),{Questions[#],Questions[Answer]},2,FALSE),1,0)</f>
        <v/>
      </c>
      <c r="AS164" s="41">
        <f t="array" ref="AS164">IF(Q164=VLOOKUP(VALUE(Q$1),{Questions[#],Questions[Answer]},2,FALSE),1,0)</f>
        <v/>
      </c>
      <c r="AT164" s="41">
        <f t="array" ref="AT164">IF(R164=VLOOKUP(VALUE(R$1),{Questions[#],Questions[Answer]},2,FALSE),1,0)</f>
        <v/>
      </c>
      <c r="AU164" s="41">
        <f t="array" ref="AU164">IF(S164=VLOOKUP(VALUE(S$1),{Questions[#],Questions[Answer]},2,FALSE),1,0)</f>
        <v/>
      </c>
      <c r="AV164" s="41">
        <f t="array" ref="AV164">IF(T164=VLOOKUP(VALUE(T$1),{Questions[#],Questions[Answer]},2,FALSE),1,0)</f>
        <v/>
      </c>
      <c r="AW164" s="41">
        <f t="array" ref="AW164">IF(U164=VLOOKUP(VALUE(U$1),{Questions[#],Questions[Answer]},2,FALSE),1,0)</f>
        <v/>
      </c>
      <c r="AX164" s="41">
        <f t="array" ref="AX164">IF(V164=VLOOKUP(VALUE(V$1),{Questions[#],Questions[Answer]},2,FALSE),1,0)</f>
        <v/>
      </c>
      <c r="AY164" s="41">
        <f t="array" ref="AY164">IF(W164=VLOOKUP(VALUE(W$1),{Questions[#],Questions[Answer]},2,FALSE),1,0)</f>
        <v/>
      </c>
      <c r="AZ164" s="41">
        <f t="array" ref="AZ164">IF(X164=VLOOKUP(VALUE(X$1),{Questions[#],Questions[Answer]},2,FALSE),1,0)</f>
        <v/>
      </c>
      <c r="BA164" s="41">
        <f t="array" ref="BA164">IF(Y164=VLOOKUP(VALUE(Y$1),{Questions[#],Questions[Answer]},2,FALSE),1,0)</f>
        <v/>
      </c>
      <c r="BB164" s="41">
        <f t="array" ref="BB164">IF(Z164=VLOOKUP(VALUE(Z$1),{Questions[#],Questions[Answer]},2,FALSE),1,0)</f>
        <v/>
      </c>
      <c r="BC164" s="41">
        <f t="array" ref="BC164">IF(AA164=VLOOKUP(VALUE(AA$1),{Questions[#],Questions[Answer]},2,FALSE),1,0)</f>
        <v/>
      </c>
      <c r="BD164" s="41">
        <f t="array" ref="BD164">IF(AB164=VLOOKUP(VALUE(AB$1),{Questions[#],Questions[Answer]},2,FALSE),1,0)</f>
        <v/>
      </c>
      <c r="BE164" s="41">
        <f t="array" ref="BE164">IF(AC164=VLOOKUP(VALUE(AC$1),{Questions[#],Questions[Answer]},2,FALSE),1,0)</f>
        <v/>
      </c>
      <c r="BF164" s="41">
        <f t="array" ref="BF164">IF(AD164=VLOOKUP(VALUE(AD$1),{Questions[#],Questions[Answer]},2,FALSE),1,0)</f>
        <v/>
      </c>
      <c r="BG164" s="41">
        <f t="array" ref="BG164">IF(AE164=VLOOKUP(VALUE(AE$1),{Questions[#],Questions[Answer]},2,FALSE),1,0)</f>
        <v/>
      </c>
      <c r="BH164" s="41">
        <f t="array" ref="BH164">IF(AF164=VLOOKUP(VALUE(AF$1),{Questions[#],Questions[Answer]},2,FALSE),1,0)</f>
        <v/>
      </c>
      <c r="BI164" s="41">
        <f t="array" ref="BI164">IF(AG164=VLOOKUP(VALUE(AG$1),{Questions[#],Questions[Answer]},2,FALSE),1,0)</f>
        <v/>
      </c>
      <c r="BJ164" s="41">
        <f t="array" ref="BJ164">IF(AH164=VLOOKUP(VALUE(AH$1),{Questions[#],Questions[Answer]},2,FALSE),1,0)</f>
        <v/>
      </c>
      <c r="BK164" s="41">
        <f t="array" ref="BK164">IF(AI164=VLOOKUP(VALUE(AI$1),{Questions[#],Questions[Answer]},2,FALSE),1,0)</f>
        <v/>
      </c>
      <c r="BL164" s="41">
        <f t="array" ref="BL164">IF(AJ164=VLOOKUP(VALUE(AJ$1),{Questions[#],Questions[Answer]},2,FALSE),1,0)</f>
        <v/>
      </c>
      <c r="BM164" s="41">
        <f t="array" ref="BM164">IF(AK164=VLOOKUP(VALUE(AK$1),{Questions[#],Questions[Answer]},2,FALSE),1,0)</f>
        <v/>
      </c>
      <c r="BN164" s="41">
        <f t="array" ref="BN164">IF(AL164=VLOOKUP(VALUE(AL$1),{Questions[#],Questions[Answer]},2,FALSE),1,0)</f>
        <v/>
      </c>
    </row>
    <row r="165" ht="22.5" customHeight="1" s="93">
      <c r="A165" s="42" t="n"/>
      <c r="B165" s="41" t="n"/>
      <c r="C165" s="41" t="n"/>
      <c r="D165" s="43" t="n"/>
      <c r="E165" s="41" t="n"/>
      <c r="F165" s="41" t="n"/>
      <c r="G165" s="11">
        <f>SUM(AM165:BN165)</f>
        <v/>
      </c>
      <c r="H165" s="40">
        <f>G165/9</f>
        <v/>
      </c>
      <c r="I165" s="12">
        <f>0.5+(G165/54)</f>
        <v/>
      </c>
      <c r="J165" s="41">
        <f>COUNTIF(K165:AL165,"")</f>
        <v/>
      </c>
      <c r="K165" s="34" t="n"/>
      <c r="L165" s="35" t="n"/>
      <c r="M165" s="35" t="n"/>
      <c r="N165" s="35" t="n"/>
      <c r="O165" s="35" t="n"/>
      <c r="P165" s="35" t="n"/>
      <c r="Q165" s="35" t="n"/>
      <c r="R165" s="35" t="n"/>
      <c r="S165" s="35" t="n"/>
      <c r="T165" s="35" t="n"/>
      <c r="U165" s="35" t="n"/>
      <c r="V165" s="35" t="n"/>
      <c r="W165" s="35" t="n"/>
      <c r="X165" s="41" t="n"/>
      <c r="Y165" s="35" t="n"/>
      <c r="Z165" s="35" t="n"/>
      <c r="AA165" s="35" t="n"/>
      <c r="AB165" s="35" t="n"/>
      <c r="AC165" s="35" t="n"/>
      <c r="AD165" s="35" t="n"/>
      <c r="AE165" s="41" t="n"/>
      <c r="AF165" s="35" t="n"/>
      <c r="AG165" s="35" t="n"/>
      <c r="AH165" s="35" t="n"/>
      <c r="AI165" s="35" t="n"/>
      <c r="AJ165" s="35" t="n"/>
      <c r="AK165" s="35" t="n"/>
      <c r="AL165" s="38" t="n"/>
      <c r="AM165" s="19">
        <f t="array" ref="AM165">IF(K165=VLOOKUP(VALUE(K$1),{Questions[#],Questions[Answer]},2,FALSE),1,0)</f>
        <v/>
      </c>
      <c r="AN165" s="41">
        <f t="array" ref="AN165">IF(L165=VLOOKUP(VALUE(L$1),{Questions[#],Questions[Answer]},2,FALSE),1,0)</f>
        <v/>
      </c>
      <c r="AO165" s="41">
        <f t="array" ref="AO165">IF(M165=VLOOKUP(VALUE(M$1),{Questions[#],Questions[Answer]},2,FALSE),1,0)</f>
        <v/>
      </c>
      <c r="AP165" s="41">
        <f t="array" ref="AP165">IF(N165=VLOOKUP(VALUE(N$1),{Questions[#],Questions[Answer]},2,FALSE),1,0)</f>
        <v/>
      </c>
      <c r="AQ165" s="41">
        <f t="array" ref="AQ165">IF(O165=VLOOKUP(VALUE(O$1),{Questions[#],Questions[Answer]},2,FALSE),1,0)</f>
        <v/>
      </c>
      <c r="AR165" s="41">
        <f t="array" ref="AR165">IF(P165=VLOOKUP(VALUE(P$1),{Questions[#],Questions[Answer]},2,FALSE),1,0)</f>
        <v/>
      </c>
      <c r="AS165" s="41">
        <f t="array" ref="AS165">IF(Q165=VLOOKUP(VALUE(Q$1),{Questions[#],Questions[Answer]},2,FALSE),1,0)</f>
        <v/>
      </c>
      <c r="AT165" s="41">
        <f t="array" ref="AT165">IF(R165=VLOOKUP(VALUE(R$1),{Questions[#],Questions[Answer]},2,FALSE),1,0)</f>
        <v/>
      </c>
      <c r="AU165" s="41">
        <f t="array" ref="AU165">IF(S165=VLOOKUP(VALUE(S$1),{Questions[#],Questions[Answer]},2,FALSE),1,0)</f>
        <v/>
      </c>
      <c r="AV165" s="41">
        <f t="array" ref="AV165">IF(T165=VLOOKUP(VALUE(T$1),{Questions[#],Questions[Answer]},2,FALSE),1,0)</f>
        <v/>
      </c>
      <c r="AW165" s="41">
        <f t="array" ref="AW165">IF(U165=VLOOKUP(VALUE(U$1),{Questions[#],Questions[Answer]},2,FALSE),1,0)</f>
        <v/>
      </c>
      <c r="AX165" s="41">
        <f t="array" ref="AX165">IF(V165=VLOOKUP(VALUE(V$1),{Questions[#],Questions[Answer]},2,FALSE),1,0)</f>
        <v/>
      </c>
      <c r="AY165" s="41">
        <f t="array" ref="AY165">IF(W165=VLOOKUP(VALUE(W$1),{Questions[#],Questions[Answer]},2,FALSE),1,0)</f>
        <v/>
      </c>
      <c r="AZ165" s="41">
        <f t="array" ref="AZ165">IF(X165=VLOOKUP(VALUE(X$1),{Questions[#],Questions[Answer]},2,FALSE),1,0)</f>
        <v/>
      </c>
      <c r="BA165" s="41">
        <f t="array" ref="BA165">IF(Y165=VLOOKUP(VALUE(Y$1),{Questions[#],Questions[Answer]},2,FALSE),1,0)</f>
        <v/>
      </c>
      <c r="BB165" s="41">
        <f t="array" ref="BB165">IF(Z165=VLOOKUP(VALUE(Z$1),{Questions[#],Questions[Answer]},2,FALSE),1,0)</f>
        <v/>
      </c>
      <c r="BC165" s="41">
        <f t="array" ref="BC165">IF(AA165=VLOOKUP(VALUE(AA$1),{Questions[#],Questions[Answer]},2,FALSE),1,0)</f>
        <v/>
      </c>
      <c r="BD165" s="41">
        <f t="array" ref="BD165">IF(AB165=VLOOKUP(VALUE(AB$1),{Questions[#],Questions[Answer]},2,FALSE),1,0)</f>
        <v/>
      </c>
      <c r="BE165" s="41">
        <f t="array" ref="BE165">IF(AC165=VLOOKUP(VALUE(AC$1),{Questions[#],Questions[Answer]},2,FALSE),1,0)</f>
        <v/>
      </c>
      <c r="BF165" s="41">
        <f t="array" ref="BF165">IF(AD165=VLOOKUP(VALUE(AD$1),{Questions[#],Questions[Answer]},2,FALSE),1,0)</f>
        <v/>
      </c>
      <c r="BG165" s="41">
        <f t="array" ref="BG165">IF(AE165=VLOOKUP(VALUE(AE$1),{Questions[#],Questions[Answer]},2,FALSE),1,0)</f>
        <v/>
      </c>
      <c r="BH165" s="41">
        <f t="array" ref="BH165">IF(AF165=VLOOKUP(VALUE(AF$1),{Questions[#],Questions[Answer]},2,FALSE),1,0)</f>
        <v/>
      </c>
      <c r="BI165" s="41">
        <f t="array" ref="BI165">IF(AG165=VLOOKUP(VALUE(AG$1),{Questions[#],Questions[Answer]},2,FALSE),1,0)</f>
        <v/>
      </c>
      <c r="BJ165" s="41">
        <f t="array" ref="BJ165">IF(AH165=VLOOKUP(VALUE(AH$1),{Questions[#],Questions[Answer]},2,FALSE),1,0)</f>
        <v/>
      </c>
      <c r="BK165" s="41">
        <f t="array" ref="BK165">IF(AI165=VLOOKUP(VALUE(AI$1),{Questions[#],Questions[Answer]},2,FALSE),1,0)</f>
        <v/>
      </c>
      <c r="BL165" s="41">
        <f t="array" ref="BL165">IF(AJ165=VLOOKUP(VALUE(AJ$1),{Questions[#],Questions[Answer]},2,FALSE),1,0)</f>
        <v/>
      </c>
      <c r="BM165" s="41">
        <f t="array" ref="BM165">IF(AK165=VLOOKUP(VALUE(AK$1),{Questions[#],Questions[Answer]},2,FALSE),1,0)</f>
        <v/>
      </c>
      <c r="BN165" s="41">
        <f t="array" ref="BN165">IF(AL165=VLOOKUP(VALUE(AL$1),{Questions[#],Questions[Answer]},2,FALSE),1,0)</f>
        <v/>
      </c>
    </row>
    <row r="166" ht="22.5" customHeight="1" s="93">
      <c r="A166" s="42" t="n"/>
      <c r="B166" s="41" t="n"/>
      <c r="C166" s="41" t="n"/>
      <c r="D166" s="43" t="n"/>
      <c r="E166" s="41" t="n"/>
      <c r="F166" s="41" t="n"/>
      <c r="G166" s="11">
        <f>SUM(AM166:BN166)</f>
        <v/>
      </c>
      <c r="H166" s="40">
        <f>G166/9</f>
        <v/>
      </c>
      <c r="I166" s="12">
        <f>0.5+(G166/54)</f>
        <v/>
      </c>
      <c r="J166" s="41">
        <f>COUNTIF(K166:AL166,"")</f>
        <v/>
      </c>
      <c r="K166" s="34" t="n"/>
      <c r="L166" s="35" t="n"/>
      <c r="M166" s="35" t="n"/>
      <c r="N166" s="35" t="n"/>
      <c r="O166" s="35" t="n"/>
      <c r="P166" s="35" t="n"/>
      <c r="Q166" s="35" t="n"/>
      <c r="R166" s="35" t="n"/>
      <c r="S166" s="35" t="n"/>
      <c r="T166" s="35" t="n"/>
      <c r="U166" s="35" t="n"/>
      <c r="V166" s="35" t="n"/>
      <c r="W166" s="35" t="n"/>
      <c r="X166" s="41" t="n"/>
      <c r="Y166" s="35" t="n"/>
      <c r="Z166" s="35" t="n"/>
      <c r="AA166" s="35" t="n"/>
      <c r="AB166" s="35" t="n"/>
      <c r="AC166" s="35" t="n"/>
      <c r="AD166" s="35" t="n"/>
      <c r="AE166" s="41" t="n"/>
      <c r="AF166" s="35" t="n"/>
      <c r="AG166" s="35" t="n"/>
      <c r="AH166" s="35" t="n"/>
      <c r="AI166" s="35" t="n"/>
      <c r="AJ166" s="35" t="n"/>
      <c r="AK166" s="35" t="n"/>
      <c r="AL166" s="38" t="n"/>
      <c r="AM166" s="19">
        <f t="array" ref="AM166">IF(K166=VLOOKUP(VALUE(K$1),{Questions[#],Questions[Answer]},2,FALSE),1,0)</f>
        <v/>
      </c>
      <c r="AN166" s="41">
        <f t="array" ref="AN166">IF(L166=VLOOKUP(VALUE(L$1),{Questions[#],Questions[Answer]},2,FALSE),1,0)</f>
        <v/>
      </c>
      <c r="AO166" s="41">
        <f t="array" ref="AO166">IF(M166=VLOOKUP(VALUE(M$1),{Questions[#],Questions[Answer]},2,FALSE),1,0)</f>
        <v/>
      </c>
      <c r="AP166" s="41">
        <f t="array" ref="AP166">IF(N166=VLOOKUP(VALUE(N$1),{Questions[#],Questions[Answer]},2,FALSE),1,0)</f>
        <v/>
      </c>
      <c r="AQ166" s="41">
        <f t="array" ref="AQ166">IF(O166=VLOOKUP(VALUE(O$1),{Questions[#],Questions[Answer]},2,FALSE),1,0)</f>
        <v/>
      </c>
      <c r="AR166" s="41">
        <f t="array" ref="AR166">IF(P166=VLOOKUP(VALUE(P$1),{Questions[#],Questions[Answer]},2,FALSE),1,0)</f>
        <v/>
      </c>
      <c r="AS166" s="41">
        <f t="array" ref="AS166">IF(Q166=VLOOKUP(VALUE(Q$1),{Questions[#],Questions[Answer]},2,FALSE),1,0)</f>
        <v/>
      </c>
      <c r="AT166" s="41">
        <f t="array" ref="AT166">IF(R166=VLOOKUP(VALUE(R$1),{Questions[#],Questions[Answer]},2,FALSE),1,0)</f>
        <v/>
      </c>
      <c r="AU166" s="41">
        <f t="array" ref="AU166">IF(S166=VLOOKUP(VALUE(S$1),{Questions[#],Questions[Answer]},2,FALSE),1,0)</f>
        <v/>
      </c>
      <c r="AV166" s="41">
        <f t="array" ref="AV166">IF(T166=VLOOKUP(VALUE(T$1),{Questions[#],Questions[Answer]},2,FALSE),1,0)</f>
        <v/>
      </c>
      <c r="AW166" s="41">
        <f t="array" ref="AW166">IF(U166=VLOOKUP(VALUE(U$1),{Questions[#],Questions[Answer]},2,FALSE),1,0)</f>
        <v/>
      </c>
      <c r="AX166" s="41">
        <f t="array" ref="AX166">IF(V166=VLOOKUP(VALUE(V$1),{Questions[#],Questions[Answer]},2,FALSE),1,0)</f>
        <v/>
      </c>
      <c r="AY166" s="41">
        <f t="array" ref="AY166">IF(W166=VLOOKUP(VALUE(W$1),{Questions[#],Questions[Answer]},2,FALSE),1,0)</f>
        <v/>
      </c>
      <c r="AZ166" s="41">
        <f t="array" ref="AZ166">IF(X166=VLOOKUP(VALUE(X$1),{Questions[#],Questions[Answer]},2,FALSE),1,0)</f>
        <v/>
      </c>
      <c r="BA166" s="41">
        <f t="array" ref="BA166">IF(Y166=VLOOKUP(VALUE(Y$1),{Questions[#],Questions[Answer]},2,FALSE),1,0)</f>
        <v/>
      </c>
      <c r="BB166" s="41">
        <f t="array" ref="BB166">IF(Z166=VLOOKUP(VALUE(Z$1),{Questions[#],Questions[Answer]},2,FALSE),1,0)</f>
        <v/>
      </c>
      <c r="BC166" s="41">
        <f t="array" ref="BC166">IF(AA166=VLOOKUP(VALUE(AA$1),{Questions[#],Questions[Answer]},2,FALSE),1,0)</f>
        <v/>
      </c>
      <c r="BD166" s="41">
        <f t="array" ref="BD166">IF(AB166=VLOOKUP(VALUE(AB$1),{Questions[#],Questions[Answer]},2,FALSE),1,0)</f>
        <v/>
      </c>
      <c r="BE166" s="41">
        <f t="array" ref="BE166">IF(AC166=VLOOKUP(VALUE(AC$1),{Questions[#],Questions[Answer]},2,FALSE),1,0)</f>
        <v/>
      </c>
      <c r="BF166" s="41">
        <f t="array" ref="BF166">IF(AD166=VLOOKUP(VALUE(AD$1),{Questions[#],Questions[Answer]},2,FALSE),1,0)</f>
        <v/>
      </c>
      <c r="BG166" s="41">
        <f t="array" ref="BG166">IF(AE166=VLOOKUP(VALUE(AE$1),{Questions[#],Questions[Answer]},2,FALSE),1,0)</f>
        <v/>
      </c>
      <c r="BH166" s="41">
        <f t="array" ref="BH166">IF(AF166=VLOOKUP(VALUE(AF$1),{Questions[#],Questions[Answer]},2,FALSE),1,0)</f>
        <v/>
      </c>
      <c r="BI166" s="41">
        <f t="array" ref="BI166">IF(AG166=VLOOKUP(VALUE(AG$1),{Questions[#],Questions[Answer]},2,FALSE),1,0)</f>
        <v/>
      </c>
      <c r="BJ166" s="41">
        <f t="array" ref="BJ166">IF(AH166=VLOOKUP(VALUE(AH$1),{Questions[#],Questions[Answer]},2,FALSE),1,0)</f>
        <v/>
      </c>
      <c r="BK166" s="41">
        <f t="array" ref="BK166">IF(AI166=VLOOKUP(VALUE(AI$1),{Questions[#],Questions[Answer]},2,FALSE),1,0)</f>
        <v/>
      </c>
      <c r="BL166" s="41">
        <f t="array" ref="BL166">IF(AJ166=VLOOKUP(VALUE(AJ$1),{Questions[#],Questions[Answer]},2,FALSE),1,0)</f>
        <v/>
      </c>
      <c r="BM166" s="41">
        <f t="array" ref="BM166">IF(AK166=VLOOKUP(VALUE(AK$1),{Questions[#],Questions[Answer]},2,FALSE),1,0)</f>
        <v/>
      </c>
      <c r="BN166" s="41">
        <f t="array" ref="BN166">IF(AL166=VLOOKUP(VALUE(AL$1),{Questions[#],Questions[Answer]},2,FALSE),1,0)</f>
        <v/>
      </c>
    </row>
    <row r="167" ht="22.5" customHeight="1" s="93">
      <c r="A167" s="42" t="n"/>
      <c r="B167" s="41" t="n"/>
      <c r="C167" s="41" t="n"/>
      <c r="D167" s="43" t="n"/>
      <c r="E167" s="41" t="n"/>
      <c r="F167" s="41" t="n"/>
      <c r="G167" s="11">
        <f>SUM(AM167:BN167)</f>
        <v/>
      </c>
      <c r="H167" s="40">
        <f>G167/9</f>
        <v/>
      </c>
      <c r="I167" s="12">
        <f>0.5+(G167/54)</f>
        <v/>
      </c>
      <c r="J167" s="41">
        <f>COUNTIF(K167:AL167,"")</f>
        <v/>
      </c>
      <c r="K167" s="34" t="n"/>
      <c r="L167" s="35" t="n"/>
      <c r="M167" s="35" t="n"/>
      <c r="N167" s="35" t="n"/>
      <c r="O167" s="35" t="n"/>
      <c r="P167" s="35" t="n"/>
      <c r="Q167" s="35" t="n"/>
      <c r="R167" s="35" t="n"/>
      <c r="S167" s="35" t="n"/>
      <c r="T167" s="35" t="n"/>
      <c r="U167" s="35" t="n"/>
      <c r="V167" s="35" t="n"/>
      <c r="W167" s="35" t="n"/>
      <c r="X167" s="41" t="n"/>
      <c r="Y167" s="35" t="n"/>
      <c r="Z167" s="35" t="n"/>
      <c r="AA167" s="35" t="n"/>
      <c r="AB167" s="35" t="n"/>
      <c r="AC167" s="35" t="n"/>
      <c r="AD167" s="35" t="n"/>
      <c r="AE167" s="41" t="n"/>
      <c r="AF167" s="35" t="n"/>
      <c r="AG167" s="35" t="n"/>
      <c r="AH167" s="35" t="n"/>
      <c r="AI167" s="35" t="n"/>
      <c r="AJ167" s="35" t="n"/>
      <c r="AK167" s="35" t="n"/>
      <c r="AL167" s="38" t="n"/>
      <c r="AM167" s="19">
        <f t="array" ref="AM167">IF(K167=VLOOKUP(VALUE(K$1),{Questions[#],Questions[Answer]},2,FALSE),1,0)</f>
        <v/>
      </c>
      <c r="AN167" s="41">
        <f t="array" ref="AN167">IF(L167=VLOOKUP(VALUE(L$1),{Questions[#],Questions[Answer]},2,FALSE),1,0)</f>
        <v/>
      </c>
      <c r="AO167" s="41">
        <f t="array" ref="AO167">IF(M167=VLOOKUP(VALUE(M$1),{Questions[#],Questions[Answer]},2,FALSE),1,0)</f>
        <v/>
      </c>
      <c r="AP167" s="41">
        <f t="array" ref="AP167">IF(N167=VLOOKUP(VALUE(N$1),{Questions[#],Questions[Answer]},2,FALSE),1,0)</f>
        <v/>
      </c>
      <c r="AQ167" s="41">
        <f t="array" ref="AQ167">IF(O167=VLOOKUP(VALUE(O$1),{Questions[#],Questions[Answer]},2,FALSE),1,0)</f>
        <v/>
      </c>
      <c r="AR167" s="41">
        <f t="array" ref="AR167">IF(P167=VLOOKUP(VALUE(P$1),{Questions[#],Questions[Answer]},2,FALSE),1,0)</f>
        <v/>
      </c>
      <c r="AS167" s="41">
        <f t="array" ref="AS167">IF(Q167=VLOOKUP(VALUE(Q$1),{Questions[#],Questions[Answer]},2,FALSE),1,0)</f>
        <v/>
      </c>
      <c r="AT167" s="41">
        <f t="array" ref="AT167">IF(R167=VLOOKUP(VALUE(R$1),{Questions[#],Questions[Answer]},2,FALSE),1,0)</f>
        <v/>
      </c>
      <c r="AU167" s="41">
        <f t="array" ref="AU167">IF(S167=VLOOKUP(VALUE(S$1),{Questions[#],Questions[Answer]},2,FALSE),1,0)</f>
        <v/>
      </c>
      <c r="AV167" s="41">
        <f t="array" ref="AV167">IF(T167=VLOOKUP(VALUE(T$1),{Questions[#],Questions[Answer]},2,FALSE),1,0)</f>
        <v/>
      </c>
      <c r="AW167" s="41">
        <f t="array" ref="AW167">IF(U167=VLOOKUP(VALUE(U$1),{Questions[#],Questions[Answer]},2,FALSE),1,0)</f>
        <v/>
      </c>
      <c r="AX167" s="41">
        <f t="array" ref="AX167">IF(V167=VLOOKUP(VALUE(V$1),{Questions[#],Questions[Answer]},2,FALSE),1,0)</f>
        <v/>
      </c>
      <c r="AY167" s="41">
        <f t="array" ref="AY167">IF(W167=VLOOKUP(VALUE(W$1),{Questions[#],Questions[Answer]},2,FALSE),1,0)</f>
        <v/>
      </c>
      <c r="AZ167" s="41">
        <f t="array" ref="AZ167">IF(X167=VLOOKUP(VALUE(X$1),{Questions[#],Questions[Answer]},2,FALSE),1,0)</f>
        <v/>
      </c>
      <c r="BA167" s="41">
        <f t="array" ref="BA167">IF(Y167=VLOOKUP(VALUE(Y$1),{Questions[#],Questions[Answer]},2,FALSE),1,0)</f>
        <v/>
      </c>
      <c r="BB167" s="41">
        <f t="array" ref="BB167">IF(Z167=VLOOKUP(VALUE(Z$1),{Questions[#],Questions[Answer]},2,FALSE),1,0)</f>
        <v/>
      </c>
      <c r="BC167" s="41">
        <f t="array" ref="BC167">IF(AA167=VLOOKUP(VALUE(AA$1),{Questions[#],Questions[Answer]},2,FALSE),1,0)</f>
        <v/>
      </c>
      <c r="BD167" s="41">
        <f t="array" ref="BD167">IF(AB167=VLOOKUP(VALUE(AB$1),{Questions[#],Questions[Answer]},2,FALSE),1,0)</f>
        <v/>
      </c>
      <c r="BE167" s="41">
        <f t="array" ref="BE167">IF(AC167=VLOOKUP(VALUE(AC$1),{Questions[#],Questions[Answer]},2,FALSE),1,0)</f>
        <v/>
      </c>
      <c r="BF167" s="41">
        <f t="array" ref="BF167">IF(AD167=VLOOKUP(VALUE(AD$1),{Questions[#],Questions[Answer]},2,FALSE),1,0)</f>
        <v/>
      </c>
      <c r="BG167" s="41">
        <f t="array" ref="BG167">IF(AE167=VLOOKUP(VALUE(AE$1),{Questions[#],Questions[Answer]},2,FALSE),1,0)</f>
        <v/>
      </c>
      <c r="BH167" s="41">
        <f t="array" ref="BH167">IF(AF167=VLOOKUP(VALUE(AF$1),{Questions[#],Questions[Answer]},2,FALSE),1,0)</f>
        <v/>
      </c>
      <c r="BI167" s="41">
        <f t="array" ref="BI167">IF(AG167=VLOOKUP(VALUE(AG$1),{Questions[#],Questions[Answer]},2,FALSE),1,0)</f>
        <v/>
      </c>
      <c r="BJ167" s="41">
        <f t="array" ref="BJ167">IF(AH167=VLOOKUP(VALUE(AH$1),{Questions[#],Questions[Answer]},2,FALSE),1,0)</f>
        <v/>
      </c>
      <c r="BK167" s="41">
        <f t="array" ref="BK167">IF(AI167=VLOOKUP(VALUE(AI$1),{Questions[#],Questions[Answer]},2,FALSE),1,0)</f>
        <v/>
      </c>
      <c r="BL167" s="41">
        <f t="array" ref="BL167">IF(AJ167=VLOOKUP(VALUE(AJ$1),{Questions[#],Questions[Answer]},2,FALSE),1,0)</f>
        <v/>
      </c>
      <c r="BM167" s="41">
        <f t="array" ref="BM167">IF(AK167=VLOOKUP(VALUE(AK$1),{Questions[#],Questions[Answer]},2,FALSE),1,0)</f>
        <v/>
      </c>
      <c r="BN167" s="41">
        <f t="array" ref="BN167">IF(AL167=VLOOKUP(VALUE(AL$1),{Questions[#],Questions[Answer]},2,FALSE),1,0)</f>
        <v/>
      </c>
    </row>
    <row r="168" ht="22.5" customHeight="1" s="93">
      <c r="A168" s="42" t="n"/>
      <c r="B168" s="41" t="n"/>
      <c r="C168" s="41" t="n"/>
      <c r="D168" s="43" t="n"/>
      <c r="E168" s="41" t="n"/>
      <c r="F168" s="41" t="n"/>
      <c r="G168" s="11">
        <f>SUM(AM168:BN168)</f>
        <v/>
      </c>
      <c r="H168" s="40">
        <f>G168/9</f>
        <v/>
      </c>
      <c r="I168" s="12">
        <f>0.5+(G168/54)</f>
        <v/>
      </c>
      <c r="J168" s="41">
        <f>COUNTIF(K168:AL168,"")</f>
        <v/>
      </c>
      <c r="K168" s="34" t="n"/>
      <c r="L168" s="35" t="n"/>
      <c r="M168" s="35" t="n"/>
      <c r="N168" s="35" t="n"/>
      <c r="O168" s="35" t="n"/>
      <c r="P168" s="35" t="n"/>
      <c r="Q168" s="35" t="n"/>
      <c r="R168" s="35" t="n"/>
      <c r="S168" s="35" t="n"/>
      <c r="T168" s="35" t="n"/>
      <c r="U168" s="35" t="n"/>
      <c r="V168" s="35" t="n"/>
      <c r="W168" s="35" t="n"/>
      <c r="X168" s="41" t="n"/>
      <c r="Y168" s="35" t="n"/>
      <c r="Z168" s="35" t="n"/>
      <c r="AA168" s="35" t="n"/>
      <c r="AB168" s="35" t="n"/>
      <c r="AC168" s="35" t="n"/>
      <c r="AD168" s="35" t="n"/>
      <c r="AE168" s="41" t="n"/>
      <c r="AF168" s="35" t="n"/>
      <c r="AG168" s="35" t="n"/>
      <c r="AH168" s="35" t="n"/>
      <c r="AI168" s="35" t="n"/>
      <c r="AJ168" s="35" t="n"/>
      <c r="AK168" s="35" t="n"/>
      <c r="AL168" s="38" t="n"/>
      <c r="AM168" s="19">
        <f t="array" ref="AM168">IF(K168=VLOOKUP(VALUE(K$1),{Questions[#],Questions[Answer]},2,FALSE),1,0)</f>
        <v/>
      </c>
      <c r="AN168" s="41">
        <f t="array" ref="AN168">IF(L168=VLOOKUP(VALUE(L$1),{Questions[#],Questions[Answer]},2,FALSE),1,0)</f>
        <v/>
      </c>
      <c r="AO168" s="41">
        <f t="array" ref="AO168">IF(M168=VLOOKUP(VALUE(M$1),{Questions[#],Questions[Answer]},2,FALSE),1,0)</f>
        <v/>
      </c>
      <c r="AP168" s="41">
        <f t="array" ref="AP168">IF(N168=VLOOKUP(VALUE(N$1),{Questions[#],Questions[Answer]},2,FALSE),1,0)</f>
        <v/>
      </c>
      <c r="AQ168" s="41">
        <f t="array" ref="AQ168">IF(O168=VLOOKUP(VALUE(O$1),{Questions[#],Questions[Answer]},2,FALSE),1,0)</f>
        <v/>
      </c>
      <c r="AR168" s="41">
        <f t="array" ref="AR168">IF(P168=VLOOKUP(VALUE(P$1),{Questions[#],Questions[Answer]},2,FALSE),1,0)</f>
        <v/>
      </c>
      <c r="AS168" s="41">
        <f t="array" ref="AS168">IF(Q168=VLOOKUP(VALUE(Q$1),{Questions[#],Questions[Answer]},2,FALSE),1,0)</f>
        <v/>
      </c>
      <c r="AT168" s="41">
        <f t="array" ref="AT168">IF(R168=VLOOKUP(VALUE(R$1),{Questions[#],Questions[Answer]},2,FALSE),1,0)</f>
        <v/>
      </c>
      <c r="AU168" s="41">
        <f t="array" ref="AU168">IF(S168=VLOOKUP(VALUE(S$1),{Questions[#],Questions[Answer]},2,FALSE),1,0)</f>
        <v/>
      </c>
      <c r="AV168" s="41">
        <f t="array" ref="AV168">IF(T168=VLOOKUP(VALUE(T$1),{Questions[#],Questions[Answer]},2,FALSE),1,0)</f>
        <v/>
      </c>
      <c r="AW168" s="41">
        <f t="array" ref="AW168">IF(U168=VLOOKUP(VALUE(U$1),{Questions[#],Questions[Answer]},2,FALSE),1,0)</f>
        <v/>
      </c>
      <c r="AX168" s="41">
        <f t="array" ref="AX168">IF(V168=VLOOKUP(VALUE(V$1),{Questions[#],Questions[Answer]},2,FALSE),1,0)</f>
        <v/>
      </c>
      <c r="AY168" s="41">
        <f t="array" ref="AY168">IF(W168=VLOOKUP(VALUE(W$1),{Questions[#],Questions[Answer]},2,FALSE),1,0)</f>
        <v/>
      </c>
      <c r="AZ168" s="41">
        <f t="array" ref="AZ168">IF(X168=VLOOKUP(VALUE(X$1),{Questions[#],Questions[Answer]},2,FALSE),1,0)</f>
        <v/>
      </c>
      <c r="BA168" s="41">
        <f t="array" ref="BA168">IF(Y168=VLOOKUP(VALUE(Y$1),{Questions[#],Questions[Answer]},2,FALSE),1,0)</f>
        <v/>
      </c>
      <c r="BB168" s="41">
        <f t="array" ref="BB168">IF(Z168=VLOOKUP(VALUE(Z$1),{Questions[#],Questions[Answer]},2,FALSE),1,0)</f>
        <v/>
      </c>
      <c r="BC168" s="41">
        <f t="array" ref="BC168">IF(AA168=VLOOKUP(VALUE(AA$1),{Questions[#],Questions[Answer]},2,FALSE),1,0)</f>
        <v/>
      </c>
      <c r="BD168" s="41">
        <f t="array" ref="BD168">IF(AB168=VLOOKUP(VALUE(AB$1),{Questions[#],Questions[Answer]},2,FALSE),1,0)</f>
        <v/>
      </c>
      <c r="BE168" s="41">
        <f t="array" ref="BE168">IF(AC168=VLOOKUP(VALUE(AC$1),{Questions[#],Questions[Answer]},2,FALSE),1,0)</f>
        <v/>
      </c>
      <c r="BF168" s="41">
        <f t="array" ref="BF168">IF(AD168=VLOOKUP(VALUE(AD$1),{Questions[#],Questions[Answer]},2,FALSE),1,0)</f>
        <v/>
      </c>
      <c r="BG168" s="41">
        <f t="array" ref="BG168">IF(AE168=VLOOKUP(VALUE(AE$1),{Questions[#],Questions[Answer]},2,FALSE),1,0)</f>
        <v/>
      </c>
      <c r="BH168" s="41">
        <f t="array" ref="BH168">IF(AF168=VLOOKUP(VALUE(AF$1),{Questions[#],Questions[Answer]},2,FALSE),1,0)</f>
        <v/>
      </c>
      <c r="BI168" s="41">
        <f t="array" ref="BI168">IF(AG168=VLOOKUP(VALUE(AG$1),{Questions[#],Questions[Answer]},2,FALSE),1,0)</f>
        <v/>
      </c>
      <c r="BJ168" s="41">
        <f t="array" ref="BJ168">IF(AH168=VLOOKUP(VALUE(AH$1),{Questions[#],Questions[Answer]},2,FALSE),1,0)</f>
        <v/>
      </c>
      <c r="BK168" s="41">
        <f t="array" ref="BK168">IF(AI168=VLOOKUP(VALUE(AI$1),{Questions[#],Questions[Answer]},2,FALSE),1,0)</f>
        <v/>
      </c>
      <c r="BL168" s="41">
        <f t="array" ref="BL168">IF(AJ168=VLOOKUP(VALUE(AJ$1),{Questions[#],Questions[Answer]},2,FALSE),1,0)</f>
        <v/>
      </c>
      <c r="BM168" s="41">
        <f t="array" ref="BM168">IF(AK168=VLOOKUP(VALUE(AK$1),{Questions[#],Questions[Answer]},2,FALSE),1,0)</f>
        <v/>
      </c>
      <c r="BN168" s="41">
        <f t="array" ref="BN168">IF(AL168=VLOOKUP(VALUE(AL$1),{Questions[#],Questions[Answer]},2,FALSE),1,0)</f>
        <v/>
      </c>
    </row>
    <row r="169" ht="22.5" customHeight="1" s="93">
      <c r="A169" s="42" t="n"/>
      <c r="B169" s="41" t="n"/>
      <c r="C169" s="41" t="n"/>
      <c r="D169" s="43" t="n"/>
      <c r="E169" s="41" t="n"/>
      <c r="F169" s="41" t="n"/>
      <c r="G169" s="11">
        <f>SUM(AM169:BN169)</f>
        <v/>
      </c>
      <c r="H169" s="40">
        <f>G169/9</f>
        <v/>
      </c>
      <c r="I169" s="12">
        <f>0.5+(G169/54)</f>
        <v/>
      </c>
      <c r="J169" s="41">
        <f>COUNTIF(K169:AL169,"")</f>
        <v/>
      </c>
      <c r="K169" s="34" t="n"/>
      <c r="L169" s="35" t="n"/>
      <c r="M169" s="35" t="n"/>
      <c r="N169" s="35" t="n"/>
      <c r="O169" s="35" t="n"/>
      <c r="P169" s="35" t="n"/>
      <c r="Q169" s="35" t="n"/>
      <c r="R169" s="35" t="n"/>
      <c r="S169" s="35" t="n"/>
      <c r="T169" s="35" t="n"/>
      <c r="U169" s="35" t="n"/>
      <c r="V169" s="35" t="n"/>
      <c r="W169" s="35" t="n"/>
      <c r="X169" s="41" t="n"/>
      <c r="Y169" s="35" t="n"/>
      <c r="Z169" s="35" t="n"/>
      <c r="AA169" s="35" t="n"/>
      <c r="AB169" s="35" t="n"/>
      <c r="AC169" s="35" t="n"/>
      <c r="AD169" s="35" t="n"/>
      <c r="AE169" s="41" t="n"/>
      <c r="AF169" s="35" t="n"/>
      <c r="AG169" s="35" t="n"/>
      <c r="AH169" s="35" t="n"/>
      <c r="AI169" s="35" t="n"/>
      <c r="AJ169" s="35" t="n"/>
      <c r="AK169" s="35" t="n"/>
      <c r="AL169" s="38" t="n"/>
      <c r="AM169" s="19">
        <f t="array" ref="AM169">IF(K169=VLOOKUP(VALUE(K$1),{Questions[#],Questions[Answer]},2,FALSE),1,0)</f>
        <v/>
      </c>
      <c r="AN169" s="41">
        <f t="array" ref="AN169">IF(L169=VLOOKUP(VALUE(L$1),{Questions[#],Questions[Answer]},2,FALSE),1,0)</f>
        <v/>
      </c>
      <c r="AO169" s="41">
        <f t="array" ref="AO169">IF(M169=VLOOKUP(VALUE(M$1),{Questions[#],Questions[Answer]},2,FALSE),1,0)</f>
        <v/>
      </c>
      <c r="AP169" s="41">
        <f t="array" ref="AP169">IF(N169=VLOOKUP(VALUE(N$1),{Questions[#],Questions[Answer]},2,FALSE),1,0)</f>
        <v/>
      </c>
      <c r="AQ169" s="41">
        <f t="array" ref="AQ169">IF(O169=VLOOKUP(VALUE(O$1),{Questions[#],Questions[Answer]},2,FALSE),1,0)</f>
        <v/>
      </c>
      <c r="AR169" s="41">
        <f t="array" ref="AR169">IF(P169=VLOOKUP(VALUE(P$1),{Questions[#],Questions[Answer]},2,FALSE),1,0)</f>
        <v/>
      </c>
      <c r="AS169" s="41">
        <f t="array" ref="AS169">IF(Q169=VLOOKUP(VALUE(Q$1),{Questions[#],Questions[Answer]},2,FALSE),1,0)</f>
        <v/>
      </c>
      <c r="AT169" s="41">
        <f t="array" ref="AT169">IF(R169=VLOOKUP(VALUE(R$1),{Questions[#],Questions[Answer]},2,FALSE),1,0)</f>
        <v/>
      </c>
      <c r="AU169" s="41">
        <f t="array" ref="AU169">IF(S169=VLOOKUP(VALUE(S$1),{Questions[#],Questions[Answer]},2,FALSE),1,0)</f>
        <v/>
      </c>
      <c r="AV169" s="41">
        <f t="array" ref="AV169">IF(T169=VLOOKUP(VALUE(T$1),{Questions[#],Questions[Answer]},2,FALSE),1,0)</f>
        <v/>
      </c>
      <c r="AW169" s="41">
        <f t="array" ref="AW169">IF(U169=VLOOKUP(VALUE(U$1),{Questions[#],Questions[Answer]},2,FALSE),1,0)</f>
        <v/>
      </c>
      <c r="AX169" s="41">
        <f t="array" ref="AX169">IF(V169=VLOOKUP(VALUE(V$1),{Questions[#],Questions[Answer]},2,FALSE),1,0)</f>
        <v/>
      </c>
      <c r="AY169" s="41">
        <f t="array" ref="AY169">IF(W169=VLOOKUP(VALUE(W$1),{Questions[#],Questions[Answer]},2,FALSE),1,0)</f>
        <v/>
      </c>
      <c r="AZ169" s="41">
        <f t="array" ref="AZ169">IF(X169=VLOOKUP(VALUE(X$1),{Questions[#],Questions[Answer]},2,FALSE),1,0)</f>
        <v/>
      </c>
      <c r="BA169" s="41">
        <f t="array" ref="BA169">IF(Y169=VLOOKUP(VALUE(Y$1),{Questions[#],Questions[Answer]},2,FALSE),1,0)</f>
        <v/>
      </c>
      <c r="BB169" s="41">
        <f t="array" ref="BB169">IF(Z169=VLOOKUP(VALUE(Z$1),{Questions[#],Questions[Answer]},2,FALSE),1,0)</f>
        <v/>
      </c>
      <c r="BC169" s="41">
        <f t="array" ref="BC169">IF(AA169=VLOOKUP(VALUE(AA$1),{Questions[#],Questions[Answer]},2,FALSE),1,0)</f>
        <v/>
      </c>
      <c r="BD169" s="41">
        <f t="array" ref="BD169">IF(AB169=VLOOKUP(VALUE(AB$1),{Questions[#],Questions[Answer]},2,FALSE),1,0)</f>
        <v/>
      </c>
      <c r="BE169" s="41">
        <f t="array" ref="BE169">IF(AC169=VLOOKUP(VALUE(AC$1),{Questions[#],Questions[Answer]},2,FALSE),1,0)</f>
        <v/>
      </c>
      <c r="BF169" s="41">
        <f t="array" ref="BF169">IF(AD169=VLOOKUP(VALUE(AD$1),{Questions[#],Questions[Answer]},2,FALSE),1,0)</f>
        <v/>
      </c>
      <c r="BG169" s="41">
        <f t="array" ref="BG169">IF(AE169=VLOOKUP(VALUE(AE$1),{Questions[#],Questions[Answer]},2,FALSE),1,0)</f>
        <v/>
      </c>
      <c r="BH169" s="41">
        <f t="array" ref="BH169">IF(AF169=VLOOKUP(VALUE(AF$1),{Questions[#],Questions[Answer]},2,FALSE),1,0)</f>
        <v/>
      </c>
      <c r="BI169" s="41">
        <f t="array" ref="BI169">IF(AG169=VLOOKUP(VALUE(AG$1),{Questions[#],Questions[Answer]},2,FALSE),1,0)</f>
        <v/>
      </c>
      <c r="BJ169" s="41">
        <f t="array" ref="BJ169">IF(AH169=VLOOKUP(VALUE(AH$1),{Questions[#],Questions[Answer]},2,FALSE),1,0)</f>
        <v/>
      </c>
      <c r="BK169" s="41">
        <f t="array" ref="BK169">IF(AI169=VLOOKUP(VALUE(AI$1),{Questions[#],Questions[Answer]},2,FALSE),1,0)</f>
        <v/>
      </c>
      <c r="BL169" s="41">
        <f t="array" ref="BL169">IF(AJ169=VLOOKUP(VALUE(AJ$1),{Questions[#],Questions[Answer]},2,FALSE),1,0)</f>
        <v/>
      </c>
      <c r="BM169" s="41">
        <f t="array" ref="BM169">IF(AK169=VLOOKUP(VALUE(AK$1),{Questions[#],Questions[Answer]},2,FALSE),1,0)</f>
        <v/>
      </c>
      <c r="BN169" s="41">
        <f t="array" ref="BN169">IF(AL169=VLOOKUP(VALUE(AL$1),{Questions[#],Questions[Answer]},2,FALSE),1,0)</f>
        <v/>
      </c>
    </row>
    <row r="170" ht="22.5" customHeight="1" s="93">
      <c r="A170" s="42" t="n"/>
      <c r="B170" s="41" t="n"/>
      <c r="C170" s="41" t="n"/>
      <c r="D170" s="43" t="n"/>
      <c r="E170" s="41" t="n"/>
      <c r="F170" s="41" t="n"/>
      <c r="G170" s="11">
        <f>SUM(AM170:BN170)</f>
        <v/>
      </c>
      <c r="H170" s="40">
        <f>G170/9</f>
        <v/>
      </c>
      <c r="I170" s="12">
        <f>0.5+(G170/54)</f>
        <v/>
      </c>
      <c r="J170" s="41">
        <f>COUNTIF(K170:AL170,"")</f>
        <v/>
      </c>
      <c r="K170" s="34" t="n"/>
      <c r="L170" s="35" t="n"/>
      <c r="M170" s="35" t="n"/>
      <c r="N170" s="35" t="n"/>
      <c r="O170" s="35" t="n"/>
      <c r="P170" s="35" t="n"/>
      <c r="Q170" s="35" t="n"/>
      <c r="R170" s="35" t="n"/>
      <c r="S170" s="35" t="n"/>
      <c r="T170" s="35" t="n"/>
      <c r="U170" s="35" t="n"/>
      <c r="V170" s="35" t="n"/>
      <c r="W170" s="35" t="n"/>
      <c r="X170" s="41" t="n"/>
      <c r="Y170" s="35" t="n"/>
      <c r="Z170" s="35" t="n"/>
      <c r="AA170" s="35" t="n"/>
      <c r="AB170" s="35" t="n"/>
      <c r="AC170" s="35" t="n"/>
      <c r="AD170" s="35" t="n"/>
      <c r="AE170" s="41" t="n"/>
      <c r="AF170" s="35" t="n"/>
      <c r="AG170" s="35" t="n"/>
      <c r="AH170" s="35" t="n"/>
      <c r="AI170" s="35" t="n"/>
      <c r="AJ170" s="35" t="n"/>
      <c r="AK170" s="35" t="n"/>
      <c r="AL170" s="38" t="n"/>
      <c r="AM170" s="19">
        <f t="array" ref="AM170">IF(K170=VLOOKUP(VALUE(K$1),{Questions[#],Questions[Answer]},2,FALSE),1,0)</f>
        <v/>
      </c>
      <c r="AN170" s="41">
        <f t="array" ref="AN170">IF(L170=VLOOKUP(VALUE(L$1),{Questions[#],Questions[Answer]},2,FALSE),1,0)</f>
        <v/>
      </c>
      <c r="AO170" s="41">
        <f t="array" ref="AO170">IF(M170=VLOOKUP(VALUE(M$1),{Questions[#],Questions[Answer]},2,FALSE),1,0)</f>
        <v/>
      </c>
      <c r="AP170" s="41">
        <f t="array" ref="AP170">IF(N170=VLOOKUP(VALUE(N$1),{Questions[#],Questions[Answer]},2,FALSE),1,0)</f>
        <v/>
      </c>
      <c r="AQ170" s="41">
        <f t="array" ref="AQ170">IF(O170=VLOOKUP(VALUE(O$1),{Questions[#],Questions[Answer]},2,FALSE),1,0)</f>
        <v/>
      </c>
      <c r="AR170" s="41">
        <f t="array" ref="AR170">IF(P170=VLOOKUP(VALUE(P$1),{Questions[#],Questions[Answer]},2,FALSE),1,0)</f>
        <v/>
      </c>
      <c r="AS170" s="41">
        <f t="array" ref="AS170">IF(Q170=VLOOKUP(VALUE(Q$1),{Questions[#],Questions[Answer]},2,FALSE),1,0)</f>
        <v/>
      </c>
      <c r="AT170" s="41">
        <f t="array" ref="AT170">IF(R170=VLOOKUP(VALUE(R$1),{Questions[#],Questions[Answer]},2,FALSE),1,0)</f>
        <v/>
      </c>
      <c r="AU170" s="41">
        <f t="array" ref="AU170">IF(S170=VLOOKUP(VALUE(S$1),{Questions[#],Questions[Answer]},2,FALSE),1,0)</f>
        <v/>
      </c>
      <c r="AV170" s="41">
        <f t="array" ref="AV170">IF(T170=VLOOKUP(VALUE(T$1),{Questions[#],Questions[Answer]},2,FALSE),1,0)</f>
        <v/>
      </c>
      <c r="AW170" s="41">
        <f t="array" ref="AW170">IF(U170=VLOOKUP(VALUE(U$1),{Questions[#],Questions[Answer]},2,FALSE),1,0)</f>
        <v/>
      </c>
      <c r="AX170" s="41">
        <f t="array" ref="AX170">IF(V170=VLOOKUP(VALUE(V$1),{Questions[#],Questions[Answer]},2,FALSE),1,0)</f>
        <v/>
      </c>
      <c r="AY170" s="41">
        <f t="array" ref="AY170">IF(W170=VLOOKUP(VALUE(W$1),{Questions[#],Questions[Answer]},2,FALSE),1,0)</f>
        <v/>
      </c>
      <c r="AZ170" s="41">
        <f t="array" ref="AZ170">IF(X170=VLOOKUP(VALUE(X$1),{Questions[#],Questions[Answer]},2,FALSE),1,0)</f>
        <v/>
      </c>
      <c r="BA170" s="41">
        <f t="array" ref="BA170">IF(Y170=VLOOKUP(VALUE(Y$1),{Questions[#],Questions[Answer]},2,FALSE),1,0)</f>
        <v/>
      </c>
      <c r="BB170" s="41">
        <f t="array" ref="BB170">IF(Z170=VLOOKUP(VALUE(Z$1),{Questions[#],Questions[Answer]},2,FALSE),1,0)</f>
        <v/>
      </c>
      <c r="BC170" s="41">
        <f t="array" ref="BC170">IF(AA170=VLOOKUP(VALUE(AA$1),{Questions[#],Questions[Answer]},2,FALSE),1,0)</f>
        <v/>
      </c>
      <c r="BD170" s="41">
        <f t="array" ref="BD170">IF(AB170=VLOOKUP(VALUE(AB$1),{Questions[#],Questions[Answer]},2,FALSE),1,0)</f>
        <v/>
      </c>
      <c r="BE170" s="41">
        <f t="array" ref="BE170">IF(AC170=VLOOKUP(VALUE(AC$1),{Questions[#],Questions[Answer]},2,FALSE),1,0)</f>
        <v/>
      </c>
      <c r="BF170" s="41">
        <f t="array" ref="BF170">IF(AD170=VLOOKUP(VALUE(AD$1),{Questions[#],Questions[Answer]},2,FALSE),1,0)</f>
        <v/>
      </c>
      <c r="BG170" s="41">
        <f t="array" ref="BG170">IF(AE170=VLOOKUP(VALUE(AE$1),{Questions[#],Questions[Answer]},2,FALSE),1,0)</f>
        <v/>
      </c>
      <c r="BH170" s="41">
        <f t="array" ref="BH170">IF(AF170=VLOOKUP(VALUE(AF$1),{Questions[#],Questions[Answer]},2,FALSE),1,0)</f>
        <v/>
      </c>
      <c r="BI170" s="41">
        <f t="array" ref="BI170">IF(AG170=VLOOKUP(VALUE(AG$1),{Questions[#],Questions[Answer]},2,FALSE),1,0)</f>
        <v/>
      </c>
      <c r="BJ170" s="41">
        <f t="array" ref="BJ170">IF(AH170=VLOOKUP(VALUE(AH$1),{Questions[#],Questions[Answer]},2,FALSE),1,0)</f>
        <v/>
      </c>
      <c r="BK170" s="41">
        <f t="array" ref="BK170">IF(AI170=VLOOKUP(VALUE(AI$1),{Questions[#],Questions[Answer]},2,FALSE),1,0)</f>
        <v/>
      </c>
      <c r="BL170" s="41">
        <f t="array" ref="BL170">IF(AJ170=VLOOKUP(VALUE(AJ$1),{Questions[#],Questions[Answer]},2,FALSE),1,0)</f>
        <v/>
      </c>
      <c r="BM170" s="41">
        <f t="array" ref="BM170">IF(AK170=VLOOKUP(VALUE(AK$1),{Questions[#],Questions[Answer]},2,FALSE),1,0)</f>
        <v/>
      </c>
      <c r="BN170" s="41">
        <f t="array" ref="BN170">IF(AL170=VLOOKUP(VALUE(AL$1),{Questions[#],Questions[Answer]},2,FALSE),1,0)</f>
        <v/>
      </c>
    </row>
    <row r="171" ht="22.5" customHeight="1" s="93">
      <c r="A171" s="42" t="n"/>
      <c r="B171" s="41" t="n"/>
      <c r="C171" s="41" t="n"/>
      <c r="D171" s="43" t="n"/>
      <c r="E171" s="41" t="n"/>
      <c r="F171" s="41" t="n"/>
      <c r="G171" s="11">
        <f>SUM(AM171:BN171)</f>
        <v/>
      </c>
      <c r="H171" s="40">
        <f>G171/9</f>
        <v/>
      </c>
      <c r="I171" s="12">
        <f>0.5+(G171/54)</f>
        <v/>
      </c>
      <c r="J171" s="41">
        <f>COUNTIF(K171:AL171,"")</f>
        <v/>
      </c>
      <c r="K171" s="34" t="n"/>
      <c r="L171" s="35" t="n"/>
      <c r="M171" s="35" t="n"/>
      <c r="N171" s="35" t="n"/>
      <c r="O171" s="35" t="n"/>
      <c r="P171" s="35" t="n"/>
      <c r="Q171" s="35" t="n"/>
      <c r="R171" s="35" t="n"/>
      <c r="S171" s="35" t="n"/>
      <c r="T171" s="35" t="n"/>
      <c r="U171" s="35" t="n"/>
      <c r="V171" s="35" t="n"/>
      <c r="W171" s="35" t="n"/>
      <c r="X171" s="41" t="n"/>
      <c r="Y171" s="35" t="n"/>
      <c r="Z171" s="35" t="n"/>
      <c r="AA171" s="35" t="n"/>
      <c r="AB171" s="35" t="n"/>
      <c r="AC171" s="35" t="n"/>
      <c r="AD171" s="35" t="n"/>
      <c r="AE171" s="41" t="n"/>
      <c r="AF171" s="35" t="n"/>
      <c r="AG171" s="35" t="n"/>
      <c r="AH171" s="35" t="n"/>
      <c r="AI171" s="35" t="n"/>
      <c r="AJ171" s="35" t="n"/>
      <c r="AK171" s="35" t="n"/>
      <c r="AL171" s="38" t="n"/>
      <c r="AM171" s="19">
        <f t="array" ref="AM171">IF(K171=VLOOKUP(VALUE(K$1),{Questions[#],Questions[Answer]},2,FALSE),1,0)</f>
        <v/>
      </c>
      <c r="AN171" s="41">
        <f t="array" ref="AN171">IF(L171=VLOOKUP(VALUE(L$1),{Questions[#],Questions[Answer]},2,FALSE),1,0)</f>
        <v/>
      </c>
      <c r="AO171" s="41">
        <f t="array" ref="AO171">IF(M171=VLOOKUP(VALUE(M$1),{Questions[#],Questions[Answer]},2,FALSE),1,0)</f>
        <v/>
      </c>
      <c r="AP171" s="41">
        <f t="array" ref="AP171">IF(N171=VLOOKUP(VALUE(N$1),{Questions[#],Questions[Answer]},2,FALSE),1,0)</f>
        <v/>
      </c>
      <c r="AQ171" s="41">
        <f t="array" ref="AQ171">IF(O171=VLOOKUP(VALUE(O$1),{Questions[#],Questions[Answer]},2,FALSE),1,0)</f>
        <v/>
      </c>
      <c r="AR171" s="41">
        <f t="array" ref="AR171">IF(P171=VLOOKUP(VALUE(P$1),{Questions[#],Questions[Answer]},2,FALSE),1,0)</f>
        <v/>
      </c>
      <c r="AS171" s="41">
        <f t="array" ref="AS171">IF(Q171=VLOOKUP(VALUE(Q$1),{Questions[#],Questions[Answer]},2,FALSE),1,0)</f>
        <v/>
      </c>
      <c r="AT171" s="41">
        <f t="array" ref="AT171">IF(R171=VLOOKUP(VALUE(R$1),{Questions[#],Questions[Answer]},2,FALSE),1,0)</f>
        <v/>
      </c>
      <c r="AU171" s="41">
        <f t="array" ref="AU171">IF(S171=VLOOKUP(VALUE(S$1),{Questions[#],Questions[Answer]},2,FALSE),1,0)</f>
        <v/>
      </c>
      <c r="AV171" s="41">
        <f t="array" ref="AV171">IF(T171=VLOOKUP(VALUE(T$1),{Questions[#],Questions[Answer]},2,FALSE),1,0)</f>
        <v/>
      </c>
      <c r="AW171" s="41">
        <f t="array" ref="AW171">IF(U171=VLOOKUP(VALUE(U$1),{Questions[#],Questions[Answer]},2,FALSE),1,0)</f>
        <v/>
      </c>
      <c r="AX171" s="41">
        <f t="array" ref="AX171">IF(V171=VLOOKUP(VALUE(V$1),{Questions[#],Questions[Answer]},2,FALSE),1,0)</f>
        <v/>
      </c>
      <c r="AY171" s="41">
        <f t="array" ref="AY171">IF(W171=VLOOKUP(VALUE(W$1),{Questions[#],Questions[Answer]},2,FALSE),1,0)</f>
        <v/>
      </c>
      <c r="AZ171" s="41">
        <f t="array" ref="AZ171">IF(X171=VLOOKUP(VALUE(X$1),{Questions[#],Questions[Answer]},2,FALSE),1,0)</f>
        <v/>
      </c>
      <c r="BA171" s="41">
        <f t="array" ref="BA171">IF(Y171=VLOOKUP(VALUE(Y$1),{Questions[#],Questions[Answer]},2,FALSE),1,0)</f>
        <v/>
      </c>
      <c r="BB171" s="41">
        <f t="array" ref="BB171">IF(Z171=VLOOKUP(VALUE(Z$1),{Questions[#],Questions[Answer]},2,FALSE),1,0)</f>
        <v/>
      </c>
      <c r="BC171" s="41">
        <f t="array" ref="BC171">IF(AA171=VLOOKUP(VALUE(AA$1),{Questions[#],Questions[Answer]},2,FALSE),1,0)</f>
        <v/>
      </c>
      <c r="BD171" s="41">
        <f t="array" ref="BD171">IF(AB171=VLOOKUP(VALUE(AB$1),{Questions[#],Questions[Answer]},2,FALSE),1,0)</f>
        <v/>
      </c>
      <c r="BE171" s="41">
        <f t="array" ref="BE171">IF(AC171=VLOOKUP(VALUE(AC$1),{Questions[#],Questions[Answer]},2,FALSE),1,0)</f>
        <v/>
      </c>
      <c r="BF171" s="41">
        <f t="array" ref="BF171">IF(AD171=VLOOKUP(VALUE(AD$1),{Questions[#],Questions[Answer]},2,FALSE),1,0)</f>
        <v/>
      </c>
      <c r="BG171" s="41">
        <f t="array" ref="BG171">IF(AE171=VLOOKUP(VALUE(AE$1),{Questions[#],Questions[Answer]},2,FALSE),1,0)</f>
        <v/>
      </c>
      <c r="BH171" s="41">
        <f t="array" ref="BH171">IF(AF171=VLOOKUP(VALUE(AF$1),{Questions[#],Questions[Answer]},2,FALSE),1,0)</f>
        <v/>
      </c>
      <c r="BI171" s="41">
        <f t="array" ref="BI171">IF(AG171=VLOOKUP(VALUE(AG$1),{Questions[#],Questions[Answer]},2,FALSE),1,0)</f>
        <v/>
      </c>
      <c r="BJ171" s="41">
        <f t="array" ref="BJ171">IF(AH171=VLOOKUP(VALUE(AH$1),{Questions[#],Questions[Answer]},2,FALSE),1,0)</f>
        <v/>
      </c>
      <c r="BK171" s="41">
        <f t="array" ref="BK171">IF(AI171=VLOOKUP(VALUE(AI$1),{Questions[#],Questions[Answer]},2,FALSE),1,0)</f>
        <v/>
      </c>
      <c r="BL171" s="41">
        <f t="array" ref="BL171">IF(AJ171=VLOOKUP(VALUE(AJ$1),{Questions[#],Questions[Answer]},2,FALSE),1,0)</f>
        <v/>
      </c>
      <c r="BM171" s="41">
        <f t="array" ref="BM171">IF(AK171=VLOOKUP(VALUE(AK$1),{Questions[#],Questions[Answer]},2,FALSE),1,0)</f>
        <v/>
      </c>
      <c r="BN171" s="41">
        <f t="array" ref="BN171">IF(AL171=VLOOKUP(VALUE(AL$1),{Questions[#],Questions[Answer]},2,FALSE),1,0)</f>
        <v/>
      </c>
    </row>
    <row r="172" ht="22.5" customHeight="1" s="93">
      <c r="A172" s="42" t="n"/>
      <c r="B172" s="41" t="n"/>
      <c r="C172" s="41" t="n"/>
      <c r="D172" s="43" t="n"/>
      <c r="E172" s="41" t="n"/>
      <c r="F172" s="41" t="n"/>
      <c r="G172" s="11">
        <f>SUM(AM172:BN172)</f>
        <v/>
      </c>
      <c r="H172" s="40">
        <f>G172/9</f>
        <v/>
      </c>
      <c r="I172" s="12">
        <f>0.5+(G172/54)</f>
        <v/>
      </c>
      <c r="J172" s="41">
        <f>COUNTIF(K172:AL172,"")</f>
        <v/>
      </c>
      <c r="K172" s="34" t="n"/>
      <c r="L172" s="35" t="n"/>
      <c r="M172" s="35" t="n"/>
      <c r="N172" s="35" t="n"/>
      <c r="O172" s="35" t="n"/>
      <c r="P172" s="35" t="n"/>
      <c r="Q172" s="35" t="n"/>
      <c r="R172" s="35" t="n"/>
      <c r="S172" s="35" t="n"/>
      <c r="T172" s="35" t="n"/>
      <c r="U172" s="35" t="n"/>
      <c r="V172" s="35" t="n"/>
      <c r="W172" s="35" t="n"/>
      <c r="X172" s="41" t="n"/>
      <c r="Y172" s="35" t="n"/>
      <c r="Z172" s="35" t="n"/>
      <c r="AA172" s="35" t="n"/>
      <c r="AB172" s="35" t="n"/>
      <c r="AC172" s="35" t="n"/>
      <c r="AD172" s="35" t="n"/>
      <c r="AE172" s="41" t="n"/>
      <c r="AF172" s="35" t="n"/>
      <c r="AG172" s="35" t="n"/>
      <c r="AH172" s="35" t="n"/>
      <c r="AI172" s="35" t="n"/>
      <c r="AJ172" s="35" t="n"/>
      <c r="AK172" s="35" t="n"/>
      <c r="AL172" s="38" t="n"/>
      <c r="AM172" s="19">
        <f t="array" ref="AM172">IF(K172=VLOOKUP(VALUE(K$1),{Questions[#],Questions[Answer]},2,FALSE),1,0)</f>
        <v/>
      </c>
      <c r="AN172" s="41">
        <f t="array" ref="AN172">IF(L172=VLOOKUP(VALUE(L$1),{Questions[#],Questions[Answer]},2,FALSE),1,0)</f>
        <v/>
      </c>
      <c r="AO172" s="41">
        <f t="array" ref="AO172">IF(M172=VLOOKUP(VALUE(M$1),{Questions[#],Questions[Answer]},2,FALSE),1,0)</f>
        <v/>
      </c>
      <c r="AP172" s="41">
        <f t="array" ref="AP172">IF(N172=VLOOKUP(VALUE(N$1),{Questions[#],Questions[Answer]},2,FALSE),1,0)</f>
        <v/>
      </c>
      <c r="AQ172" s="41">
        <f t="array" ref="AQ172">IF(O172=VLOOKUP(VALUE(O$1),{Questions[#],Questions[Answer]},2,FALSE),1,0)</f>
        <v/>
      </c>
      <c r="AR172" s="41">
        <f t="array" ref="AR172">IF(P172=VLOOKUP(VALUE(P$1),{Questions[#],Questions[Answer]},2,FALSE),1,0)</f>
        <v/>
      </c>
      <c r="AS172" s="41">
        <f t="array" ref="AS172">IF(Q172=VLOOKUP(VALUE(Q$1),{Questions[#],Questions[Answer]},2,FALSE),1,0)</f>
        <v/>
      </c>
      <c r="AT172" s="41">
        <f t="array" ref="AT172">IF(R172=VLOOKUP(VALUE(R$1),{Questions[#],Questions[Answer]},2,FALSE),1,0)</f>
        <v/>
      </c>
      <c r="AU172" s="41">
        <f t="array" ref="AU172">IF(S172=VLOOKUP(VALUE(S$1),{Questions[#],Questions[Answer]},2,FALSE),1,0)</f>
        <v/>
      </c>
      <c r="AV172" s="41">
        <f t="array" ref="AV172">IF(T172=VLOOKUP(VALUE(T$1),{Questions[#],Questions[Answer]},2,FALSE),1,0)</f>
        <v/>
      </c>
      <c r="AW172" s="41">
        <f t="array" ref="AW172">IF(U172=VLOOKUP(VALUE(U$1),{Questions[#],Questions[Answer]},2,FALSE),1,0)</f>
        <v/>
      </c>
      <c r="AX172" s="41">
        <f t="array" ref="AX172">IF(V172=VLOOKUP(VALUE(V$1),{Questions[#],Questions[Answer]},2,FALSE),1,0)</f>
        <v/>
      </c>
      <c r="AY172" s="41">
        <f t="array" ref="AY172">IF(W172=VLOOKUP(VALUE(W$1),{Questions[#],Questions[Answer]},2,FALSE),1,0)</f>
        <v/>
      </c>
      <c r="AZ172" s="41">
        <f t="array" ref="AZ172">IF(X172=VLOOKUP(VALUE(X$1),{Questions[#],Questions[Answer]},2,FALSE),1,0)</f>
        <v/>
      </c>
      <c r="BA172" s="41">
        <f t="array" ref="BA172">IF(Y172=VLOOKUP(VALUE(Y$1),{Questions[#],Questions[Answer]},2,FALSE),1,0)</f>
        <v/>
      </c>
      <c r="BB172" s="41">
        <f t="array" ref="BB172">IF(Z172=VLOOKUP(VALUE(Z$1),{Questions[#],Questions[Answer]},2,FALSE),1,0)</f>
        <v/>
      </c>
      <c r="BC172" s="41">
        <f t="array" ref="BC172">IF(AA172=VLOOKUP(VALUE(AA$1),{Questions[#],Questions[Answer]},2,FALSE),1,0)</f>
        <v/>
      </c>
      <c r="BD172" s="41">
        <f t="array" ref="BD172">IF(AB172=VLOOKUP(VALUE(AB$1),{Questions[#],Questions[Answer]},2,FALSE),1,0)</f>
        <v/>
      </c>
      <c r="BE172" s="41">
        <f t="array" ref="BE172">IF(AC172=VLOOKUP(VALUE(AC$1),{Questions[#],Questions[Answer]},2,FALSE),1,0)</f>
        <v/>
      </c>
      <c r="BF172" s="41">
        <f t="array" ref="BF172">IF(AD172=VLOOKUP(VALUE(AD$1),{Questions[#],Questions[Answer]},2,FALSE),1,0)</f>
        <v/>
      </c>
      <c r="BG172" s="41">
        <f t="array" ref="BG172">IF(AE172=VLOOKUP(VALUE(AE$1),{Questions[#],Questions[Answer]},2,FALSE),1,0)</f>
        <v/>
      </c>
      <c r="BH172" s="41">
        <f t="array" ref="BH172">IF(AF172=VLOOKUP(VALUE(AF$1),{Questions[#],Questions[Answer]},2,FALSE),1,0)</f>
        <v/>
      </c>
      <c r="BI172" s="41">
        <f t="array" ref="BI172">IF(AG172=VLOOKUP(VALUE(AG$1),{Questions[#],Questions[Answer]},2,FALSE),1,0)</f>
        <v/>
      </c>
      <c r="BJ172" s="41">
        <f t="array" ref="BJ172">IF(AH172=VLOOKUP(VALUE(AH$1),{Questions[#],Questions[Answer]},2,FALSE),1,0)</f>
        <v/>
      </c>
      <c r="BK172" s="41">
        <f t="array" ref="BK172">IF(AI172=VLOOKUP(VALUE(AI$1),{Questions[#],Questions[Answer]},2,FALSE),1,0)</f>
        <v/>
      </c>
      <c r="BL172" s="41">
        <f t="array" ref="BL172">IF(AJ172=VLOOKUP(VALUE(AJ$1),{Questions[#],Questions[Answer]},2,FALSE),1,0)</f>
        <v/>
      </c>
      <c r="BM172" s="41">
        <f t="array" ref="BM172">IF(AK172=VLOOKUP(VALUE(AK$1),{Questions[#],Questions[Answer]},2,FALSE),1,0)</f>
        <v/>
      </c>
      <c r="BN172" s="41">
        <f t="array" ref="BN172">IF(AL172=VLOOKUP(VALUE(AL$1),{Questions[#],Questions[Answer]},2,FALSE),1,0)</f>
        <v/>
      </c>
    </row>
    <row r="173" ht="22.5" customHeight="1" s="93">
      <c r="A173" s="42" t="n"/>
      <c r="B173" s="41" t="n"/>
      <c r="C173" s="41" t="n"/>
      <c r="D173" s="43" t="n"/>
      <c r="E173" s="41" t="n"/>
      <c r="F173" s="41" t="n"/>
      <c r="G173" s="11">
        <f>SUM(AM173:BN173)</f>
        <v/>
      </c>
      <c r="H173" s="40">
        <f>G173/9</f>
        <v/>
      </c>
      <c r="I173" s="12">
        <f>0.5+(G173/54)</f>
        <v/>
      </c>
      <c r="J173" s="41">
        <f>COUNTIF(K173:AL173,"")</f>
        <v/>
      </c>
      <c r="K173" s="34" t="n"/>
      <c r="L173" s="35" t="n"/>
      <c r="M173" s="35" t="n"/>
      <c r="N173" s="35" t="n"/>
      <c r="O173" s="35" t="n"/>
      <c r="P173" s="35" t="n"/>
      <c r="Q173" s="35" t="n"/>
      <c r="R173" s="35" t="n"/>
      <c r="S173" s="35" t="n"/>
      <c r="T173" s="35" t="n"/>
      <c r="U173" s="35" t="n"/>
      <c r="V173" s="35" t="n"/>
      <c r="W173" s="35" t="n"/>
      <c r="X173" s="41" t="n"/>
      <c r="Y173" s="35" t="n"/>
      <c r="Z173" s="35" t="n"/>
      <c r="AA173" s="35" t="n"/>
      <c r="AB173" s="35" t="n"/>
      <c r="AC173" s="35" t="n"/>
      <c r="AD173" s="35" t="n"/>
      <c r="AE173" s="41" t="n"/>
      <c r="AF173" s="35" t="n"/>
      <c r="AG173" s="35" t="n"/>
      <c r="AH173" s="35" t="n"/>
      <c r="AI173" s="35" t="n"/>
      <c r="AJ173" s="35" t="n"/>
      <c r="AK173" s="35" t="n"/>
      <c r="AL173" s="38" t="n"/>
      <c r="AM173" s="19">
        <f t="array" ref="AM173">IF(K173=VLOOKUP(VALUE(K$1),{Questions[#],Questions[Answer]},2,FALSE),1,0)</f>
        <v/>
      </c>
      <c r="AN173" s="41">
        <f t="array" ref="AN173">IF(L173=VLOOKUP(VALUE(L$1),{Questions[#],Questions[Answer]},2,FALSE),1,0)</f>
        <v/>
      </c>
      <c r="AO173" s="41">
        <f t="array" ref="AO173">IF(M173=VLOOKUP(VALUE(M$1),{Questions[#],Questions[Answer]},2,FALSE),1,0)</f>
        <v/>
      </c>
      <c r="AP173" s="41">
        <f t="array" ref="AP173">IF(N173=VLOOKUP(VALUE(N$1),{Questions[#],Questions[Answer]},2,FALSE),1,0)</f>
        <v/>
      </c>
      <c r="AQ173" s="41">
        <f t="array" ref="AQ173">IF(O173=VLOOKUP(VALUE(O$1),{Questions[#],Questions[Answer]},2,FALSE),1,0)</f>
        <v/>
      </c>
      <c r="AR173" s="41">
        <f t="array" ref="AR173">IF(P173=VLOOKUP(VALUE(P$1),{Questions[#],Questions[Answer]},2,FALSE),1,0)</f>
        <v/>
      </c>
      <c r="AS173" s="41">
        <f t="array" ref="AS173">IF(Q173=VLOOKUP(VALUE(Q$1),{Questions[#],Questions[Answer]},2,FALSE),1,0)</f>
        <v/>
      </c>
      <c r="AT173" s="41">
        <f t="array" ref="AT173">IF(R173=VLOOKUP(VALUE(R$1),{Questions[#],Questions[Answer]},2,FALSE),1,0)</f>
        <v/>
      </c>
      <c r="AU173" s="41">
        <f t="array" ref="AU173">IF(S173=VLOOKUP(VALUE(S$1),{Questions[#],Questions[Answer]},2,FALSE),1,0)</f>
        <v/>
      </c>
      <c r="AV173" s="41">
        <f t="array" ref="AV173">IF(T173=VLOOKUP(VALUE(T$1),{Questions[#],Questions[Answer]},2,FALSE),1,0)</f>
        <v/>
      </c>
      <c r="AW173" s="41">
        <f t="array" ref="AW173">IF(U173=VLOOKUP(VALUE(U$1),{Questions[#],Questions[Answer]},2,FALSE),1,0)</f>
        <v/>
      </c>
      <c r="AX173" s="41">
        <f t="array" ref="AX173">IF(V173=VLOOKUP(VALUE(V$1),{Questions[#],Questions[Answer]},2,FALSE),1,0)</f>
        <v/>
      </c>
      <c r="AY173" s="41">
        <f t="array" ref="AY173">IF(W173=VLOOKUP(VALUE(W$1),{Questions[#],Questions[Answer]},2,FALSE),1,0)</f>
        <v/>
      </c>
      <c r="AZ173" s="41">
        <f t="array" ref="AZ173">IF(X173=VLOOKUP(VALUE(X$1),{Questions[#],Questions[Answer]},2,FALSE),1,0)</f>
        <v/>
      </c>
      <c r="BA173" s="41">
        <f t="array" ref="BA173">IF(Y173=VLOOKUP(VALUE(Y$1),{Questions[#],Questions[Answer]},2,FALSE),1,0)</f>
        <v/>
      </c>
      <c r="BB173" s="41">
        <f t="array" ref="BB173">IF(Z173=VLOOKUP(VALUE(Z$1),{Questions[#],Questions[Answer]},2,FALSE),1,0)</f>
        <v/>
      </c>
      <c r="BC173" s="41">
        <f t="array" ref="BC173">IF(AA173=VLOOKUP(VALUE(AA$1),{Questions[#],Questions[Answer]},2,FALSE),1,0)</f>
        <v/>
      </c>
      <c r="BD173" s="41">
        <f t="array" ref="BD173">IF(AB173=VLOOKUP(VALUE(AB$1),{Questions[#],Questions[Answer]},2,FALSE),1,0)</f>
        <v/>
      </c>
      <c r="BE173" s="41">
        <f t="array" ref="BE173">IF(AC173=VLOOKUP(VALUE(AC$1),{Questions[#],Questions[Answer]},2,FALSE),1,0)</f>
        <v/>
      </c>
      <c r="BF173" s="41">
        <f t="array" ref="BF173">IF(AD173=VLOOKUP(VALUE(AD$1),{Questions[#],Questions[Answer]},2,FALSE),1,0)</f>
        <v/>
      </c>
      <c r="BG173" s="41">
        <f t="array" ref="BG173">IF(AE173=VLOOKUP(VALUE(AE$1),{Questions[#],Questions[Answer]},2,FALSE),1,0)</f>
        <v/>
      </c>
      <c r="BH173" s="41">
        <f t="array" ref="BH173">IF(AF173=VLOOKUP(VALUE(AF$1),{Questions[#],Questions[Answer]},2,FALSE),1,0)</f>
        <v/>
      </c>
      <c r="BI173" s="41">
        <f t="array" ref="BI173">IF(AG173=VLOOKUP(VALUE(AG$1),{Questions[#],Questions[Answer]},2,FALSE),1,0)</f>
        <v/>
      </c>
      <c r="BJ173" s="41">
        <f t="array" ref="BJ173">IF(AH173=VLOOKUP(VALUE(AH$1),{Questions[#],Questions[Answer]},2,FALSE),1,0)</f>
        <v/>
      </c>
      <c r="BK173" s="41">
        <f t="array" ref="BK173">IF(AI173=VLOOKUP(VALUE(AI$1),{Questions[#],Questions[Answer]},2,FALSE),1,0)</f>
        <v/>
      </c>
      <c r="BL173" s="41">
        <f t="array" ref="BL173">IF(AJ173=VLOOKUP(VALUE(AJ$1),{Questions[#],Questions[Answer]},2,FALSE),1,0)</f>
        <v/>
      </c>
      <c r="BM173" s="41">
        <f t="array" ref="BM173">IF(AK173=VLOOKUP(VALUE(AK$1),{Questions[#],Questions[Answer]},2,FALSE),1,0)</f>
        <v/>
      </c>
      <c r="BN173" s="41">
        <f t="array" ref="BN173">IF(AL173=VLOOKUP(VALUE(AL$1),{Questions[#],Questions[Answer]},2,FALSE),1,0)</f>
        <v/>
      </c>
    </row>
    <row r="174" ht="22.5" customHeight="1" s="93">
      <c r="A174" s="42" t="n"/>
      <c r="B174" s="41" t="n"/>
      <c r="C174" s="41" t="n"/>
      <c r="D174" s="43" t="n"/>
      <c r="E174" s="41" t="n"/>
      <c r="F174" s="41" t="n"/>
      <c r="G174" s="11">
        <f>SUM(AM174:BN174)</f>
        <v/>
      </c>
      <c r="H174" s="40">
        <f>G174/9</f>
        <v/>
      </c>
      <c r="I174" s="12">
        <f>0.5+(G174/54)</f>
        <v/>
      </c>
      <c r="J174" s="41">
        <f>COUNTIF(K174:AL174,"")</f>
        <v/>
      </c>
      <c r="K174" s="34" t="n"/>
      <c r="L174" s="35" t="n"/>
      <c r="M174" s="35" t="n"/>
      <c r="N174" s="35" t="n"/>
      <c r="O174" s="35" t="n"/>
      <c r="P174" s="35" t="n"/>
      <c r="Q174" s="35" t="n"/>
      <c r="R174" s="35" t="n"/>
      <c r="S174" s="35" t="n"/>
      <c r="T174" s="35" t="n"/>
      <c r="U174" s="35" t="n"/>
      <c r="V174" s="35" t="n"/>
      <c r="W174" s="35" t="n"/>
      <c r="X174" s="41" t="n"/>
      <c r="Y174" s="35" t="n"/>
      <c r="Z174" s="35" t="n"/>
      <c r="AA174" s="35" t="n"/>
      <c r="AB174" s="35" t="n"/>
      <c r="AC174" s="35" t="n"/>
      <c r="AD174" s="35" t="n"/>
      <c r="AE174" s="41" t="n"/>
      <c r="AF174" s="35" t="n"/>
      <c r="AG174" s="35" t="n"/>
      <c r="AH174" s="35" t="n"/>
      <c r="AI174" s="35" t="n"/>
      <c r="AJ174" s="35" t="n"/>
      <c r="AK174" s="35" t="n"/>
      <c r="AL174" s="38" t="n"/>
      <c r="AM174" s="19">
        <f t="array" ref="AM174">IF(K174=VLOOKUP(VALUE(K$1),{Questions[#],Questions[Answer]},2,FALSE),1,0)</f>
        <v/>
      </c>
      <c r="AN174" s="41">
        <f t="array" ref="AN174">IF(L174=VLOOKUP(VALUE(L$1),{Questions[#],Questions[Answer]},2,FALSE),1,0)</f>
        <v/>
      </c>
      <c r="AO174" s="41">
        <f t="array" ref="AO174">IF(M174=VLOOKUP(VALUE(M$1),{Questions[#],Questions[Answer]},2,FALSE),1,0)</f>
        <v/>
      </c>
      <c r="AP174" s="41">
        <f t="array" ref="AP174">IF(N174=VLOOKUP(VALUE(N$1),{Questions[#],Questions[Answer]},2,FALSE),1,0)</f>
        <v/>
      </c>
      <c r="AQ174" s="41">
        <f t="array" ref="AQ174">IF(O174=VLOOKUP(VALUE(O$1),{Questions[#],Questions[Answer]},2,FALSE),1,0)</f>
        <v/>
      </c>
      <c r="AR174" s="41">
        <f t="array" ref="AR174">IF(P174=VLOOKUP(VALUE(P$1),{Questions[#],Questions[Answer]},2,FALSE),1,0)</f>
        <v/>
      </c>
      <c r="AS174" s="41">
        <f t="array" ref="AS174">IF(Q174=VLOOKUP(VALUE(Q$1),{Questions[#],Questions[Answer]},2,FALSE),1,0)</f>
        <v/>
      </c>
      <c r="AT174" s="41">
        <f t="array" ref="AT174">IF(R174=VLOOKUP(VALUE(R$1),{Questions[#],Questions[Answer]},2,FALSE),1,0)</f>
        <v/>
      </c>
      <c r="AU174" s="41">
        <f t="array" ref="AU174">IF(S174=VLOOKUP(VALUE(S$1),{Questions[#],Questions[Answer]},2,FALSE),1,0)</f>
        <v/>
      </c>
      <c r="AV174" s="41">
        <f t="array" ref="AV174">IF(T174=VLOOKUP(VALUE(T$1),{Questions[#],Questions[Answer]},2,FALSE),1,0)</f>
        <v/>
      </c>
      <c r="AW174" s="41">
        <f t="array" ref="AW174">IF(U174=VLOOKUP(VALUE(U$1),{Questions[#],Questions[Answer]},2,FALSE),1,0)</f>
        <v/>
      </c>
      <c r="AX174" s="41">
        <f t="array" ref="AX174">IF(V174=VLOOKUP(VALUE(V$1),{Questions[#],Questions[Answer]},2,FALSE),1,0)</f>
        <v/>
      </c>
      <c r="AY174" s="41">
        <f t="array" ref="AY174">IF(W174=VLOOKUP(VALUE(W$1),{Questions[#],Questions[Answer]},2,FALSE),1,0)</f>
        <v/>
      </c>
      <c r="AZ174" s="41">
        <f t="array" ref="AZ174">IF(X174=VLOOKUP(VALUE(X$1),{Questions[#],Questions[Answer]},2,FALSE),1,0)</f>
        <v/>
      </c>
      <c r="BA174" s="41">
        <f t="array" ref="BA174">IF(Y174=VLOOKUP(VALUE(Y$1),{Questions[#],Questions[Answer]},2,FALSE),1,0)</f>
        <v/>
      </c>
      <c r="BB174" s="41">
        <f t="array" ref="BB174">IF(Z174=VLOOKUP(VALUE(Z$1),{Questions[#],Questions[Answer]},2,FALSE),1,0)</f>
        <v/>
      </c>
      <c r="BC174" s="41">
        <f t="array" ref="BC174">IF(AA174=VLOOKUP(VALUE(AA$1),{Questions[#],Questions[Answer]},2,FALSE),1,0)</f>
        <v/>
      </c>
      <c r="BD174" s="41">
        <f t="array" ref="BD174">IF(AB174=VLOOKUP(VALUE(AB$1),{Questions[#],Questions[Answer]},2,FALSE),1,0)</f>
        <v/>
      </c>
      <c r="BE174" s="41">
        <f t="array" ref="BE174">IF(AC174=VLOOKUP(VALUE(AC$1),{Questions[#],Questions[Answer]},2,FALSE),1,0)</f>
        <v/>
      </c>
      <c r="BF174" s="41">
        <f t="array" ref="BF174">IF(AD174=VLOOKUP(VALUE(AD$1),{Questions[#],Questions[Answer]},2,FALSE),1,0)</f>
        <v/>
      </c>
      <c r="BG174" s="41">
        <f t="array" ref="BG174">IF(AE174=VLOOKUP(VALUE(AE$1),{Questions[#],Questions[Answer]},2,FALSE),1,0)</f>
        <v/>
      </c>
      <c r="BH174" s="41">
        <f t="array" ref="BH174">IF(AF174=VLOOKUP(VALUE(AF$1),{Questions[#],Questions[Answer]},2,FALSE),1,0)</f>
        <v/>
      </c>
      <c r="BI174" s="41">
        <f t="array" ref="BI174">IF(AG174=VLOOKUP(VALUE(AG$1),{Questions[#],Questions[Answer]},2,FALSE),1,0)</f>
        <v/>
      </c>
      <c r="BJ174" s="41">
        <f t="array" ref="BJ174">IF(AH174=VLOOKUP(VALUE(AH$1),{Questions[#],Questions[Answer]},2,FALSE),1,0)</f>
        <v/>
      </c>
      <c r="BK174" s="41">
        <f t="array" ref="BK174">IF(AI174=VLOOKUP(VALUE(AI$1),{Questions[#],Questions[Answer]},2,FALSE),1,0)</f>
        <v/>
      </c>
      <c r="BL174" s="41">
        <f t="array" ref="BL174">IF(AJ174=VLOOKUP(VALUE(AJ$1),{Questions[#],Questions[Answer]},2,FALSE),1,0)</f>
        <v/>
      </c>
      <c r="BM174" s="41">
        <f t="array" ref="BM174">IF(AK174=VLOOKUP(VALUE(AK$1),{Questions[#],Questions[Answer]},2,FALSE),1,0)</f>
        <v/>
      </c>
      <c r="BN174" s="41">
        <f t="array" ref="BN174">IF(AL174=VLOOKUP(VALUE(AL$1),{Questions[#],Questions[Answer]},2,FALSE),1,0)</f>
        <v/>
      </c>
    </row>
    <row r="175" ht="22.5" customHeight="1" s="93">
      <c r="A175" s="42" t="n"/>
      <c r="B175" s="41" t="n"/>
      <c r="C175" s="41" t="n"/>
      <c r="D175" s="43" t="n"/>
      <c r="E175" s="41" t="n"/>
      <c r="F175" s="41" t="n"/>
      <c r="G175" s="11">
        <f>SUM(AM175:BN175)</f>
        <v/>
      </c>
      <c r="H175" s="40">
        <f>G175/9</f>
        <v/>
      </c>
      <c r="I175" s="12">
        <f>0.5+(G175/54)</f>
        <v/>
      </c>
      <c r="J175" s="41">
        <f>COUNTIF(K175:AL175,"")</f>
        <v/>
      </c>
      <c r="K175" s="34" t="n"/>
      <c r="L175" s="35" t="n"/>
      <c r="M175" s="35" t="n"/>
      <c r="N175" s="35" t="n"/>
      <c r="O175" s="35" t="n"/>
      <c r="P175" s="35" t="n"/>
      <c r="Q175" s="35" t="n"/>
      <c r="R175" s="35" t="n"/>
      <c r="S175" s="35" t="n"/>
      <c r="T175" s="35" t="n"/>
      <c r="U175" s="35" t="n"/>
      <c r="V175" s="35" t="n"/>
      <c r="W175" s="35" t="n"/>
      <c r="X175" s="41" t="n"/>
      <c r="Y175" s="35" t="n"/>
      <c r="Z175" s="35" t="n"/>
      <c r="AA175" s="35" t="n"/>
      <c r="AB175" s="35" t="n"/>
      <c r="AC175" s="35" t="n"/>
      <c r="AD175" s="35" t="n"/>
      <c r="AE175" s="41" t="n"/>
      <c r="AF175" s="35" t="n"/>
      <c r="AG175" s="35" t="n"/>
      <c r="AH175" s="35" t="n"/>
      <c r="AI175" s="35" t="n"/>
      <c r="AJ175" s="35" t="n"/>
      <c r="AK175" s="35" t="n"/>
      <c r="AL175" s="38" t="n"/>
      <c r="AM175" s="19">
        <f t="array" ref="AM175">IF(K175=VLOOKUP(VALUE(K$1),{Questions[#],Questions[Answer]},2,FALSE),1,0)</f>
        <v/>
      </c>
      <c r="AN175" s="41">
        <f t="array" ref="AN175">IF(L175=VLOOKUP(VALUE(L$1),{Questions[#],Questions[Answer]},2,FALSE),1,0)</f>
        <v/>
      </c>
      <c r="AO175" s="41">
        <f t="array" ref="AO175">IF(M175=VLOOKUP(VALUE(M$1),{Questions[#],Questions[Answer]},2,FALSE),1,0)</f>
        <v/>
      </c>
      <c r="AP175" s="41">
        <f t="array" ref="AP175">IF(N175=VLOOKUP(VALUE(N$1),{Questions[#],Questions[Answer]},2,FALSE),1,0)</f>
        <v/>
      </c>
      <c r="AQ175" s="41">
        <f t="array" ref="AQ175">IF(O175=VLOOKUP(VALUE(O$1),{Questions[#],Questions[Answer]},2,FALSE),1,0)</f>
        <v/>
      </c>
      <c r="AR175" s="41">
        <f t="array" ref="AR175">IF(P175=VLOOKUP(VALUE(P$1),{Questions[#],Questions[Answer]},2,FALSE),1,0)</f>
        <v/>
      </c>
      <c r="AS175" s="41">
        <f t="array" ref="AS175">IF(Q175=VLOOKUP(VALUE(Q$1),{Questions[#],Questions[Answer]},2,FALSE),1,0)</f>
        <v/>
      </c>
      <c r="AT175" s="41">
        <f t="array" ref="AT175">IF(R175=VLOOKUP(VALUE(R$1),{Questions[#],Questions[Answer]},2,FALSE),1,0)</f>
        <v/>
      </c>
      <c r="AU175" s="41">
        <f t="array" ref="AU175">IF(S175=VLOOKUP(VALUE(S$1),{Questions[#],Questions[Answer]},2,FALSE),1,0)</f>
        <v/>
      </c>
      <c r="AV175" s="41">
        <f t="array" ref="AV175">IF(T175=VLOOKUP(VALUE(T$1),{Questions[#],Questions[Answer]},2,FALSE),1,0)</f>
        <v/>
      </c>
      <c r="AW175" s="41">
        <f t="array" ref="AW175">IF(U175=VLOOKUP(VALUE(U$1),{Questions[#],Questions[Answer]},2,FALSE),1,0)</f>
        <v/>
      </c>
      <c r="AX175" s="41">
        <f t="array" ref="AX175">IF(V175=VLOOKUP(VALUE(V$1),{Questions[#],Questions[Answer]},2,FALSE),1,0)</f>
        <v/>
      </c>
      <c r="AY175" s="41">
        <f t="array" ref="AY175">IF(W175=VLOOKUP(VALUE(W$1),{Questions[#],Questions[Answer]},2,FALSE),1,0)</f>
        <v/>
      </c>
      <c r="AZ175" s="41">
        <f t="array" ref="AZ175">IF(X175=VLOOKUP(VALUE(X$1),{Questions[#],Questions[Answer]},2,FALSE),1,0)</f>
        <v/>
      </c>
      <c r="BA175" s="41">
        <f t="array" ref="BA175">IF(Y175=VLOOKUP(VALUE(Y$1),{Questions[#],Questions[Answer]},2,FALSE),1,0)</f>
        <v/>
      </c>
      <c r="BB175" s="41">
        <f t="array" ref="BB175">IF(Z175=VLOOKUP(VALUE(Z$1),{Questions[#],Questions[Answer]},2,FALSE),1,0)</f>
        <v/>
      </c>
      <c r="BC175" s="41">
        <f t="array" ref="BC175">IF(AA175=VLOOKUP(VALUE(AA$1),{Questions[#],Questions[Answer]},2,FALSE),1,0)</f>
        <v/>
      </c>
      <c r="BD175" s="41">
        <f t="array" ref="BD175">IF(AB175=VLOOKUP(VALUE(AB$1),{Questions[#],Questions[Answer]},2,FALSE),1,0)</f>
        <v/>
      </c>
      <c r="BE175" s="41">
        <f t="array" ref="BE175">IF(AC175=VLOOKUP(VALUE(AC$1),{Questions[#],Questions[Answer]},2,FALSE),1,0)</f>
        <v/>
      </c>
      <c r="BF175" s="41">
        <f t="array" ref="BF175">IF(AD175=VLOOKUP(VALUE(AD$1),{Questions[#],Questions[Answer]},2,FALSE),1,0)</f>
        <v/>
      </c>
      <c r="BG175" s="41">
        <f t="array" ref="BG175">IF(AE175=VLOOKUP(VALUE(AE$1),{Questions[#],Questions[Answer]},2,FALSE),1,0)</f>
        <v/>
      </c>
      <c r="BH175" s="41">
        <f t="array" ref="BH175">IF(AF175=VLOOKUP(VALUE(AF$1),{Questions[#],Questions[Answer]},2,FALSE),1,0)</f>
        <v/>
      </c>
      <c r="BI175" s="41">
        <f t="array" ref="BI175">IF(AG175=VLOOKUP(VALUE(AG$1),{Questions[#],Questions[Answer]},2,FALSE),1,0)</f>
        <v/>
      </c>
      <c r="BJ175" s="41">
        <f t="array" ref="BJ175">IF(AH175=VLOOKUP(VALUE(AH$1),{Questions[#],Questions[Answer]},2,FALSE),1,0)</f>
        <v/>
      </c>
      <c r="BK175" s="41">
        <f t="array" ref="BK175">IF(AI175=VLOOKUP(VALUE(AI$1),{Questions[#],Questions[Answer]},2,FALSE),1,0)</f>
        <v/>
      </c>
      <c r="BL175" s="41">
        <f t="array" ref="BL175">IF(AJ175=VLOOKUP(VALUE(AJ$1),{Questions[#],Questions[Answer]},2,FALSE),1,0)</f>
        <v/>
      </c>
      <c r="BM175" s="41">
        <f t="array" ref="BM175">IF(AK175=VLOOKUP(VALUE(AK$1),{Questions[#],Questions[Answer]},2,FALSE),1,0)</f>
        <v/>
      </c>
      <c r="BN175" s="41">
        <f t="array" ref="BN175">IF(AL175=VLOOKUP(VALUE(AL$1),{Questions[#],Questions[Answer]},2,FALSE),1,0)</f>
        <v/>
      </c>
    </row>
    <row r="176" ht="22.5" customHeight="1" s="93">
      <c r="A176" s="42" t="n"/>
      <c r="B176" s="41" t="n"/>
      <c r="C176" s="41" t="n"/>
      <c r="D176" s="43" t="n"/>
      <c r="E176" s="41" t="n"/>
      <c r="F176" s="41" t="n"/>
      <c r="G176" s="11">
        <f>SUM(AM176:BN176)</f>
        <v/>
      </c>
      <c r="H176" s="40">
        <f>G176/9</f>
        <v/>
      </c>
      <c r="I176" s="12">
        <f>0.5+(G176/54)</f>
        <v/>
      </c>
      <c r="J176" s="41">
        <f>COUNTIF(K176:AL176,"")</f>
        <v/>
      </c>
      <c r="K176" s="34" t="n"/>
      <c r="L176" s="35" t="n"/>
      <c r="M176" s="35" t="n"/>
      <c r="N176" s="35" t="n"/>
      <c r="O176" s="35" t="n"/>
      <c r="P176" s="35" t="n"/>
      <c r="Q176" s="35" t="n"/>
      <c r="R176" s="35" t="n"/>
      <c r="S176" s="35" t="n"/>
      <c r="T176" s="35" t="n"/>
      <c r="U176" s="35" t="n"/>
      <c r="V176" s="35" t="n"/>
      <c r="W176" s="35" t="n"/>
      <c r="X176" s="41" t="n"/>
      <c r="Y176" s="35" t="n"/>
      <c r="Z176" s="35" t="n"/>
      <c r="AA176" s="35" t="n"/>
      <c r="AB176" s="35" t="n"/>
      <c r="AC176" s="35" t="n"/>
      <c r="AD176" s="35" t="n"/>
      <c r="AE176" s="41" t="n"/>
      <c r="AF176" s="35" t="n"/>
      <c r="AG176" s="35" t="n"/>
      <c r="AH176" s="35" t="n"/>
      <c r="AI176" s="35" t="n"/>
      <c r="AJ176" s="35" t="n"/>
      <c r="AK176" s="35" t="n"/>
      <c r="AL176" s="38" t="n"/>
      <c r="AM176" s="19">
        <f t="array" ref="AM176">IF(K176=VLOOKUP(VALUE(K$1),{Questions[#],Questions[Answer]},2,FALSE),1,0)</f>
        <v/>
      </c>
      <c r="AN176" s="41">
        <f t="array" ref="AN176">IF(L176=VLOOKUP(VALUE(L$1),{Questions[#],Questions[Answer]},2,FALSE),1,0)</f>
        <v/>
      </c>
      <c r="AO176" s="41">
        <f t="array" ref="AO176">IF(M176=VLOOKUP(VALUE(M$1),{Questions[#],Questions[Answer]},2,FALSE),1,0)</f>
        <v/>
      </c>
      <c r="AP176" s="41">
        <f t="array" ref="AP176">IF(N176=VLOOKUP(VALUE(N$1),{Questions[#],Questions[Answer]},2,FALSE),1,0)</f>
        <v/>
      </c>
      <c r="AQ176" s="41">
        <f t="array" ref="AQ176">IF(O176=VLOOKUP(VALUE(O$1),{Questions[#],Questions[Answer]},2,FALSE),1,0)</f>
        <v/>
      </c>
      <c r="AR176" s="41">
        <f t="array" ref="AR176">IF(P176=VLOOKUP(VALUE(P$1),{Questions[#],Questions[Answer]},2,FALSE),1,0)</f>
        <v/>
      </c>
      <c r="AS176" s="41">
        <f t="array" ref="AS176">IF(Q176=VLOOKUP(VALUE(Q$1),{Questions[#],Questions[Answer]},2,FALSE),1,0)</f>
        <v/>
      </c>
      <c r="AT176" s="41">
        <f t="array" ref="AT176">IF(R176=VLOOKUP(VALUE(R$1),{Questions[#],Questions[Answer]},2,FALSE),1,0)</f>
        <v/>
      </c>
      <c r="AU176" s="41">
        <f t="array" ref="AU176">IF(S176=VLOOKUP(VALUE(S$1),{Questions[#],Questions[Answer]},2,FALSE),1,0)</f>
        <v/>
      </c>
      <c r="AV176" s="41">
        <f t="array" ref="AV176">IF(T176=VLOOKUP(VALUE(T$1),{Questions[#],Questions[Answer]},2,FALSE),1,0)</f>
        <v/>
      </c>
      <c r="AW176" s="41">
        <f t="array" ref="AW176">IF(U176=VLOOKUP(VALUE(U$1),{Questions[#],Questions[Answer]},2,FALSE),1,0)</f>
        <v/>
      </c>
      <c r="AX176" s="41">
        <f t="array" ref="AX176">IF(V176=VLOOKUP(VALUE(V$1),{Questions[#],Questions[Answer]},2,FALSE),1,0)</f>
        <v/>
      </c>
      <c r="AY176" s="41">
        <f t="array" ref="AY176">IF(W176=VLOOKUP(VALUE(W$1),{Questions[#],Questions[Answer]},2,FALSE),1,0)</f>
        <v/>
      </c>
      <c r="AZ176" s="41">
        <f t="array" ref="AZ176">IF(X176=VLOOKUP(VALUE(X$1),{Questions[#],Questions[Answer]},2,FALSE),1,0)</f>
        <v/>
      </c>
      <c r="BA176" s="41">
        <f t="array" ref="BA176">IF(Y176=VLOOKUP(VALUE(Y$1),{Questions[#],Questions[Answer]},2,FALSE),1,0)</f>
        <v/>
      </c>
      <c r="BB176" s="41">
        <f t="array" ref="BB176">IF(Z176=VLOOKUP(VALUE(Z$1),{Questions[#],Questions[Answer]},2,FALSE),1,0)</f>
        <v/>
      </c>
      <c r="BC176" s="41">
        <f t="array" ref="BC176">IF(AA176=VLOOKUP(VALUE(AA$1),{Questions[#],Questions[Answer]},2,FALSE),1,0)</f>
        <v/>
      </c>
      <c r="BD176" s="41">
        <f t="array" ref="BD176">IF(AB176=VLOOKUP(VALUE(AB$1),{Questions[#],Questions[Answer]},2,FALSE),1,0)</f>
        <v/>
      </c>
      <c r="BE176" s="41">
        <f t="array" ref="BE176">IF(AC176=VLOOKUP(VALUE(AC$1),{Questions[#],Questions[Answer]},2,FALSE),1,0)</f>
        <v/>
      </c>
      <c r="BF176" s="41">
        <f t="array" ref="BF176">IF(AD176=VLOOKUP(VALUE(AD$1),{Questions[#],Questions[Answer]},2,FALSE),1,0)</f>
        <v/>
      </c>
      <c r="BG176" s="41">
        <f t="array" ref="BG176">IF(AE176=VLOOKUP(VALUE(AE$1),{Questions[#],Questions[Answer]},2,FALSE),1,0)</f>
        <v/>
      </c>
      <c r="BH176" s="41">
        <f t="array" ref="BH176">IF(AF176=VLOOKUP(VALUE(AF$1),{Questions[#],Questions[Answer]},2,FALSE),1,0)</f>
        <v/>
      </c>
      <c r="BI176" s="41">
        <f t="array" ref="BI176">IF(AG176=VLOOKUP(VALUE(AG$1),{Questions[#],Questions[Answer]},2,FALSE),1,0)</f>
        <v/>
      </c>
      <c r="BJ176" s="41">
        <f t="array" ref="BJ176">IF(AH176=VLOOKUP(VALUE(AH$1),{Questions[#],Questions[Answer]},2,FALSE),1,0)</f>
        <v/>
      </c>
      <c r="BK176" s="41">
        <f t="array" ref="BK176">IF(AI176=VLOOKUP(VALUE(AI$1),{Questions[#],Questions[Answer]},2,FALSE),1,0)</f>
        <v/>
      </c>
      <c r="BL176" s="41">
        <f t="array" ref="BL176">IF(AJ176=VLOOKUP(VALUE(AJ$1),{Questions[#],Questions[Answer]},2,FALSE),1,0)</f>
        <v/>
      </c>
      <c r="BM176" s="41">
        <f t="array" ref="BM176">IF(AK176=VLOOKUP(VALUE(AK$1),{Questions[#],Questions[Answer]},2,FALSE),1,0)</f>
        <v/>
      </c>
      <c r="BN176" s="41">
        <f t="array" ref="BN176">IF(AL176=VLOOKUP(VALUE(AL$1),{Questions[#],Questions[Answer]},2,FALSE),1,0)</f>
        <v/>
      </c>
    </row>
    <row r="177" ht="22.5" customHeight="1" s="93">
      <c r="A177" s="42" t="n"/>
      <c r="B177" s="41" t="n"/>
      <c r="C177" s="41" t="n"/>
      <c r="D177" s="43" t="n"/>
      <c r="E177" s="41" t="n"/>
      <c r="F177" s="41" t="n"/>
      <c r="G177" s="11">
        <f>SUM(AM177:BN177)</f>
        <v/>
      </c>
      <c r="H177" s="40">
        <f>G177/9</f>
        <v/>
      </c>
      <c r="I177" s="12">
        <f>0.5+(G177/54)</f>
        <v/>
      </c>
      <c r="J177" s="41">
        <f>COUNTIF(K177:AL177,"")</f>
        <v/>
      </c>
      <c r="K177" s="34" t="n"/>
      <c r="L177" s="35" t="n"/>
      <c r="M177" s="35" t="n"/>
      <c r="N177" s="35" t="n"/>
      <c r="O177" s="35" t="n"/>
      <c r="P177" s="35" t="n"/>
      <c r="Q177" s="35" t="n"/>
      <c r="R177" s="35" t="n"/>
      <c r="S177" s="35" t="n"/>
      <c r="T177" s="35" t="n"/>
      <c r="U177" s="35" t="n"/>
      <c r="V177" s="35" t="n"/>
      <c r="W177" s="35" t="n"/>
      <c r="X177" s="41" t="n"/>
      <c r="Y177" s="35" t="n"/>
      <c r="Z177" s="35" t="n"/>
      <c r="AA177" s="35" t="n"/>
      <c r="AB177" s="35" t="n"/>
      <c r="AC177" s="35" t="n"/>
      <c r="AD177" s="35" t="n"/>
      <c r="AE177" s="41" t="n"/>
      <c r="AF177" s="35" t="n"/>
      <c r="AG177" s="35" t="n"/>
      <c r="AH177" s="35" t="n"/>
      <c r="AI177" s="35" t="n"/>
      <c r="AJ177" s="35" t="n"/>
      <c r="AK177" s="35" t="n"/>
      <c r="AL177" s="38" t="n"/>
      <c r="AM177" s="19">
        <f t="array" ref="AM177">IF(K177=VLOOKUP(VALUE(K$1),{Questions[#],Questions[Answer]},2,FALSE),1,0)</f>
        <v/>
      </c>
      <c r="AN177" s="41">
        <f t="array" ref="AN177">IF(L177=VLOOKUP(VALUE(L$1),{Questions[#],Questions[Answer]},2,FALSE),1,0)</f>
        <v/>
      </c>
      <c r="AO177" s="41">
        <f t="array" ref="AO177">IF(M177=VLOOKUP(VALUE(M$1),{Questions[#],Questions[Answer]},2,FALSE),1,0)</f>
        <v/>
      </c>
      <c r="AP177" s="41">
        <f t="array" ref="AP177">IF(N177=VLOOKUP(VALUE(N$1),{Questions[#],Questions[Answer]},2,FALSE),1,0)</f>
        <v/>
      </c>
      <c r="AQ177" s="41">
        <f t="array" ref="AQ177">IF(O177=VLOOKUP(VALUE(O$1),{Questions[#],Questions[Answer]},2,FALSE),1,0)</f>
        <v/>
      </c>
      <c r="AR177" s="41">
        <f t="array" ref="AR177">IF(P177=VLOOKUP(VALUE(P$1),{Questions[#],Questions[Answer]},2,FALSE),1,0)</f>
        <v/>
      </c>
      <c r="AS177" s="41">
        <f t="array" ref="AS177">IF(Q177=VLOOKUP(VALUE(Q$1),{Questions[#],Questions[Answer]},2,FALSE),1,0)</f>
        <v/>
      </c>
      <c r="AT177" s="41">
        <f t="array" ref="AT177">IF(R177=VLOOKUP(VALUE(R$1),{Questions[#],Questions[Answer]},2,FALSE),1,0)</f>
        <v/>
      </c>
      <c r="AU177" s="41">
        <f t="array" ref="AU177">IF(S177=VLOOKUP(VALUE(S$1),{Questions[#],Questions[Answer]},2,FALSE),1,0)</f>
        <v/>
      </c>
      <c r="AV177" s="41">
        <f t="array" ref="AV177">IF(T177=VLOOKUP(VALUE(T$1),{Questions[#],Questions[Answer]},2,FALSE),1,0)</f>
        <v/>
      </c>
      <c r="AW177" s="41">
        <f t="array" ref="AW177">IF(U177=VLOOKUP(VALUE(U$1),{Questions[#],Questions[Answer]},2,FALSE),1,0)</f>
        <v/>
      </c>
      <c r="AX177" s="41">
        <f t="array" ref="AX177">IF(V177=VLOOKUP(VALUE(V$1),{Questions[#],Questions[Answer]},2,FALSE),1,0)</f>
        <v/>
      </c>
      <c r="AY177" s="41">
        <f t="array" ref="AY177">IF(W177=VLOOKUP(VALUE(W$1),{Questions[#],Questions[Answer]},2,FALSE),1,0)</f>
        <v/>
      </c>
      <c r="AZ177" s="41">
        <f t="array" ref="AZ177">IF(X177=VLOOKUP(VALUE(X$1),{Questions[#],Questions[Answer]},2,FALSE),1,0)</f>
        <v/>
      </c>
      <c r="BA177" s="41">
        <f t="array" ref="BA177">IF(Y177=VLOOKUP(VALUE(Y$1),{Questions[#],Questions[Answer]},2,FALSE),1,0)</f>
        <v/>
      </c>
      <c r="BB177" s="41">
        <f t="array" ref="BB177">IF(Z177=VLOOKUP(VALUE(Z$1),{Questions[#],Questions[Answer]},2,FALSE),1,0)</f>
        <v/>
      </c>
      <c r="BC177" s="41">
        <f t="array" ref="BC177">IF(AA177=VLOOKUP(VALUE(AA$1),{Questions[#],Questions[Answer]},2,FALSE),1,0)</f>
        <v/>
      </c>
      <c r="BD177" s="41">
        <f t="array" ref="BD177">IF(AB177=VLOOKUP(VALUE(AB$1),{Questions[#],Questions[Answer]},2,FALSE),1,0)</f>
        <v/>
      </c>
      <c r="BE177" s="41">
        <f t="array" ref="BE177">IF(AC177=VLOOKUP(VALUE(AC$1),{Questions[#],Questions[Answer]},2,FALSE),1,0)</f>
        <v/>
      </c>
      <c r="BF177" s="41">
        <f t="array" ref="BF177">IF(AD177=VLOOKUP(VALUE(AD$1),{Questions[#],Questions[Answer]},2,FALSE),1,0)</f>
        <v/>
      </c>
      <c r="BG177" s="41">
        <f t="array" ref="BG177">IF(AE177=VLOOKUP(VALUE(AE$1),{Questions[#],Questions[Answer]},2,FALSE),1,0)</f>
        <v/>
      </c>
      <c r="BH177" s="41">
        <f t="array" ref="BH177">IF(AF177=VLOOKUP(VALUE(AF$1),{Questions[#],Questions[Answer]},2,FALSE),1,0)</f>
        <v/>
      </c>
      <c r="BI177" s="41">
        <f t="array" ref="BI177">IF(AG177=VLOOKUP(VALUE(AG$1),{Questions[#],Questions[Answer]},2,FALSE),1,0)</f>
        <v/>
      </c>
      <c r="BJ177" s="41">
        <f t="array" ref="BJ177">IF(AH177=VLOOKUP(VALUE(AH$1),{Questions[#],Questions[Answer]},2,FALSE),1,0)</f>
        <v/>
      </c>
      <c r="BK177" s="41">
        <f t="array" ref="BK177">IF(AI177=VLOOKUP(VALUE(AI$1),{Questions[#],Questions[Answer]},2,FALSE),1,0)</f>
        <v/>
      </c>
      <c r="BL177" s="41">
        <f t="array" ref="BL177">IF(AJ177=VLOOKUP(VALUE(AJ$1),{Questions[#],Questions[Answer]},2,FALSE),1,0)</f>
        <v/>
      </c>
      <c r="BM177" s="41">
        <f t="array" ref="BM177">IF(AK177=VLOOKUP(VALUE(AK$1),{Questions[#],Questions[Answer]},2,FALSE),1,0)</f>
        <v/>
      </c>
      <c r="BN177" s="41">
        <f t="array" ref="BN177">IF(AL177=VLOOKUP(VALUE(AL$1),{Questions[#],Questions[Answer]},2,FALSE),1,0)</f>
        <v/>
      </c>
    </row>
    <row r="178" ht="22.5" customHeight="1" s="93">
      <c r="A178" s="42" t="n"/>
      <c r="B178" s="41" t="n"/>
      <c r="C178" s="41" t="n"/>
      <c r="D178" s="43" t="n"/>
      <c r="E178" s="41" t="n"/>
      <c r="F178" s="41" t="n"/>
      <c r="G178" s="11">
        <f>SUM(AM178:BN178)</f>
        <v/>
      </c>
      <c r="H178" s="40">
        <f>G178/9</f>
        <v/>
      </c>
      <c r="I178" s="12">
        <f>0.5+(G178/54)</f>
        <v/>
      </c>
      <c r="J178" s="41">
        <f>COUNTIF(K178:AL178,"")</f>
        <v/>
      </c>
      <c r="K178" s="34" t="n"/>
      <c r="L178" s="35" t="n"/>
      <c r="M178" s="35" t="n"/>
      <c r="N178" s="35" t="n"/>
      <c r="O178" s="35" t="n"/>
      <c r="P178" s="35" t="n"/>
      <c r="Q178" s="35" t="n"/>
      <c r="R178" s="35" t="n"/>
      <c r="S178" s="35" t="n"/>
      <c r="T178" s="35" t="n"/>
      <c r="U178" s="35" t="n"/>
      <c r="V178" s="35" t="n"/>
      <c r="W178" s="35" t="n"/>
      <c r="X178" s="41" t="n"/>
      <c r="Y178" s="35" t="n"/>
      <c r="Z178" s="35" t="n"/>
      <c r="AA178" s="35" t="n"/>
      <c r="AB178" s="35" t="n"/>
      <c r="AC178" s="35" t="n"/>
      <c r="AD178" s="35" t="n"/>
      <c r="AE178" s="41" t="n"/>
      <c r="AF178" s="35" t="n"/>
      <c r="AG178" s="35" t="n"/>
      <c r="AH178" s="35" t="n"/>
      <c r="AI178" s="35" t="n"/>
      <c r="AJ178" s="35" t="n"/>
      <c r="AK178" s="35" t="n"/>
      <c r="AL178" s="38" t="n"/>
      <c r="AM178" s="19">
        <f t="array" ref="AM178">IF(K178=VLOOKUP(VALUE(K$1),{Questions[#],Questions[Answer]},2,FALSE),1,0)</f>
        <v/>
      </c>
      <c r="AN178" s="41">
        <f t="array" ref="AN178">IF(L178=VLOOKUP(VALUE(L$1),{Questions[#],Questions[Answer]},2,FALSE),1,0)</f>
        <v/>
      </c>
      <c r="AO178" s="41">
        <f t="array" ref="AO178">IF(M178=VLOOKUP(VALUE(M$1),{Questions[#],Questions[Answer]},2,FALSE),1,0)</f>
        <v/>
      </c>
      <c r="AP178" s="41">
        <f t="array" ref="AP178">IF(N178=VLOOKUP(VALUE(N$1),{Questions[#],Questions[Answer]},2,FALSE),1,0)</f>
        <v/>
      </c>
      <c r="AQ178" s="41">
        <f t="array" ref="AQ178">IF(O178=VLOOKUP(VALUE(O$1),{Questions[#],Questions[Answer]},2,FALSE),1,0)</f>
        <v/>
      </c>
      <c r="AR178" s="41">
        <f t="array" ref="AR178">IF(P178=VLOOKUP(VALUE(P$1),{Questions[#],Questions[Answer]},2,FALSE),1,0)</f>
        <v/>
      </c>
      <c r="AS178" s="41">
        <f t="array" ref="AS178">IF(Q178=VLOOKUP(VALUE(Q$1),{Questions[#],Questions[Answer]},2,FALSE),1,0)</f>
        <v/>
      </c>
      <c r="AT178" s="41">
        <f t="array" ref="AT178">IF(R178=VLOOKUP(VALUE(R$1),{Questions[#],Questions[Answer]},2,FALSE),1,0)</f>
        <v/>
      </c>
      <c r="AU178" s="41">
        <f t="array" ref="AU178">IF(S178=VLOOKUP(VALUE(S$1),{Questions[#],Questions[Answer]},2,FALSE),1,0)</f>
        <v/>
      </c>
      <c r="AV178" s="41">
        <f t="array" ref="AV178">IF(T178=VLOOKUP(VALUE(T$1),{Questions[#],Questions[Answer]},2,FALSE),1,0)</f>
        <v/>
      </c>
      <c r="AW178" s="41">
        <f t="array" ref="AW178">IF(U178=VLOOKUP(VALUE(U$1),{Questions[#],Questions[Answer]},2,FALSE),1,0)</f>
        <v/>
      </c>
      <c r="AX178" s="41">
        <f t="array" ref="AX178">IF(V178=VLOOKUP(VALUE(V$1),{Questions[#],Questions[Answer]},2,FALSE),1,0)</f>
        <v/>
      </c>
      <c r="AY178" s="41">
        <f t="array" ref="AY178">IF(W178=VLOOKUP(VALUE(W$1),{Questions[#],Questions[Answer]},2,FALSE),1,0)</f>
        <v/>
      </c>
      <c r="AZ178" s="41">
        <f t="array" ref="AZ178">IF(X178=VLOOKUP(VALUE(X$1),{Questions[#],Questions[Answer]},2,FALSE),1,0)</f>
        <v/>
      </c>
      <c r="BA178" s="41">
        <f t="array" ref="BA178">IF(Y178=VLOOKUP(VALUE(Y$1),{Questions[#],Questions[Answer]},2,FALSE),1,0)</f>
        <v/>
      </c>
      <c r="BB178" s="41">
        <f t="array" ref="BB178">IF(Z178=VLOOKUP(VALUE(Z$1),{Questions[#],Questions[Answer]},2,FALSE),1,0)</f>
        <v/>
      </c>
      <c r="BC178" s="41">
        <f t="array" ref="BC178">IF(AA178=VLOOKUP(VALUE(AA$1),{Questions[#],Questions[Answer]},2,FALSE),1,0)</f>
        <v/>
      </c>
      <c r="BD178" s="41">
        <f t="array" ref="BD178">IF(AB178=VLOOKUP(VALUE(AB$1),{Questions[#],Questions[Answer]},2,FALSE),1,0)</f>
        <v/>
      </c>
      <c r="BE178" s="41">
        <f t="array" ref="BE178">IF(AC178=VLOOKUP(VALUE(AC$1),{Questions[#],Questions[Answer]},2,FALSE),1,0)</f>
        <v/>
      </c>
      <c r="BF178" s="41">
        <f t="array" ref="BF178">IF(AD178=VLOOKUP(VALUE(AD$1),{Questions[#],Questions[Answer]},2,FALSE),1,0)</f>
        <v/>
      </c>
      <c r="BG178" s="41">
        <f t="array" ref="BG178">IF(AE178=VLOOKUP(VALUE(AE$1),{Questions[#],Questions[Answer]},2,FALSE),1,0)</f>
        <v/>
      </c>
      <c r="BH178" s="41">
        <f t="array" ref="BH178">IF(AF178=VLOOKUP(VALUE(AF$1),{Questions[#],Questions[Answer]},2,FALSE),1,0)</f>
        <v/>
      </c>
      <c r="BI178" s="41">
        <f t="array" ref="BI178">IF(AG178=VLOOKUP(VALUE(AG$1),{Questions[#],Questions[Answer]},2,FALSE),1,0)</f>
        <v/>
      </c>
      <c r="BJ178" s="41">
        <f t="array" ref="BJ178">IF(AH178=VLOOKUP(VALUE(AH$1),{Questions[#],Questions[Answer]},2,FALSE),1,0)</f>
        <v/>
      </c>
      <c r="BK178" s="41">
        <f t="array" ref="BK178">IF(AI178=VLOOKUP(VALUE(AI$1),{Questions[#],Questions[Answer]},2,FALSE),1,0)</f>
        <v/>
      </c>
      <c r="BL178" s="41">
        <f t="array" ref="BL178">IF(AJ178=VLOOKUP(VALUE(AJ$1),{Questions[#],Questions[Answer]},2,FALSE),1,0)</f>
        <v/>
      </c>
      <c r="BM178" s="41">
        <f t="array" ref="BM178">IF(AK178=VLOOKUP(VALUE(AK$1),{Questions[#],Questions[Answer]},2,FALSE),1,0)</f>
        <v/>
      </c>
      <c r="BN178" s="41">
        <f t="array" ref="BN178">IF(AL178=VLOOKUP(VALUE(AL$1),{Questions[#],Questions[Answer]},2,FALSE),1,0)</f>
        <v/>
      </c>
    </row>
    <row r="179" ht="22.5" customHeight="1" s="93">
      <c r="A179" s="42" t="n"/>
      <c r="B179" s="41" t="n"/>
      <c r="C179" s="41" t="n"/>
      <c r="D179" s="43" t="n"/>
      <c r="E179" s="41" t="n"/>
      <c r="F179" s="41" t="n"/>
      <c r="G179" s="11">
        <f>SUM(AM179:BN179)</f>
        <v/>
      </c>
      <c r="H179" s="40">
        <f>G179/9</f>
        <v/>
      </c>
      <c r="I179" s="12">
        <f>0.5+(G179/54)</f>
        <v/>
      </c>
      <c r="J179" s="41">
        <f>COUNTIF(K179:AL179,"")</f>
        <v/>
      </c>
      <c r="K179" s="34" t="n"/>
      <c r="L179" s="35" t="n"/>
      <c r="M179" s="35" t="n"/>
      <c r="N179" s="35" t="n"/>
      <c r="O179" s="35" t="n"/>
      <c r="P179" s="35" t="n"/>
      <c r="Q179" s="35" t="n"/>
      <c r="R179" s="35" t="n"/>
      <c r="S179" s="35" t="n"/>
      <c r="T179" s="35" t="n"/>
      <c r="U179" s="35" t="n"/>
      <c r="V179" s="35" t="n"/>
      <c r="W179" s="35" t="n"/>
      <c r="X179" s="41" t="n"/>
      <c r="Y179" s="35" t="n"/>
      <c r="Z179" s="35" t="n"/>
      <c r="AA179" s="35" t="n"/>
      <c r="AB179" s="35" t="n"/>
      <c r="AC179" s="35" t="n"/>
      <c r="AD179" s="35" t="n"/>
      <c r="AE179" s="41" t="n"/>
      <c r="AF179" s="35" t="n"/>
      <c r="AG179" s="35" t="n"/>
      <c r="AH179" s="35" t="n"/>
      <c r="AI179" s="35" t="n"/>
      <c r="AJ179" s="35" t="n"/>
      <c r="AK179" s="35" t="n"/>
      <c r="AL179" s="38" t="n"/>
      <c r="AM179" s="19">
        <f t="array" ref="AM179">IF(K179=VLOOKUP(VALUE(K$1),{Questions[#],Questions[Answer]},2,FALSE),1,0)</f>
        <v/>
      </c>
      <c r="AN179" s="41">
        <f t="array" ref="AN179">IF(L179=VLOOKUP(VALUE(L$1),{Questions[#],Questions[Answer]},2,FALSE),1,0)</f>
        <v/>
      </c>
      <c r="AO179" s="41">
        <f t="array" ref="AO179">IF(M179=VLOOKUP(VALUE(M$1),{Questions[#],Questions[Answer]},2,FALSE),1,0)</f>
        <v/>
      </c>
      <c r="AP179" s="41">
        <f t="array" ref="AP179">IF(N179=VLOOKUP(VALUE(N$1),{Questions[#],Questions[Answer]},2,FALSE),1,0)</f>
        <v/>
      </c>
      <c r="AQ179" s="41">
        <f t="array" ref="AQ179">IF(O179=VLOOKUP(VALUE(O$1),{Questions[#],Questions[Answer]},2,FALSE),1,0)</f>
        <v/>
      </c>
      <c r="AR179" s="41">
        <f t="array" ref="AR179">IF(P179=VLOOKUP(VALUE(P$1),{Questions[#],Questions[Answer]},2,FALSE),1,0)</f>
        <v/>
      </c>
      <c r="AS179" s="41">
        <f t="array" ref="AS179">IF(Q179=VLOOKUP(VALUE(Q$1),{Questions[#],Questions[Answer]},2,FALSE),1,0)</f>
        <v/>
      </c>
      <c r="AT179" s="41">
        <f t="array" ref="AT179">IF(R179=VLOOKUP(VALUE(R$1),{Questions[#],Questions[Answer]},2,FALSE),1,0)</f>
        <v/>
      </c>
      <c r="AU179" s="41">
        <f t="array" ref="AU179">IF(S179=VLOOKUP(VALUE(S$1),{Questions[#],Questions[Answer]},2,FALSE),1,0)</f>
        <v/>
      </c>
      <c r="AV179" s="41">
        <f t="array" ref="AV179">IF(T179=VLOOKUP(VALUE(T$1),{Questions[#],Questions[Answer]},2,FALSE),1,0)</f>
        <v/>
      </c>
      <c r="AW179" s="41">
        <f t="array" ref="AW179">IF(U179=VLOOKUP(VALUE(U$1),{Questions[#],Questions[Answer]},2,FALSE),1,0)</f>
        <v/>
      </c>
      <c r="AX179" s="41">
        <f t="array" ref="AX179">IF(V179=VLOOKUP(VALUE(V$1),{Questions[#],Questions[Answer]},2,FALSE),1,0)</f>
        <v/>
      </c>
      <c r="AY179" s="41">
        <f t="array" ref="AY179">IF(W179=VLOOKUP(VALUE(W$1),{Questions[#],Questions[Answer]},2,FALSE),1,0)</f>
        <v/>
      </c>
      <c r="AZ179" s="41">
        <f t="array" ref="AZ179">IF(X179=VLOOKUP(VALUE(X$1),{Questions[#],Questions[Answer]},2,FALSE),1,0)</f>
        <v/>
      </c>
      <c r="BA179" s="41">
        <f t="array" ref="BA179">IF(Y179=VLOOKUP(VALUE(Y$1),{Questions[#],Questions[Answer]},2,FALSE),1,0)</f>
        <v/>
      </c>
      <c r="BB179" s="41">
        <f t="array" ref="BB179">IF(Z179=VLOOKUP(VALUE(Z$1),{Questions[#],Questions[Answer]},2,FALSE),1,0)</f>
        <v/>
      </c>
      <c r="BC179" s="41">
        <f t="array" ref="BC179">IF(AA179=VLOOKUP(VALUE(AA$1),{Questions[#],Questions[Answer]},2,FALSE),1,0)</f>
        <v/>
      </c>
      <c r="BD179" s="41">
        <f t="array" ref="BD179">IF(AB179=VLOOKUP(VALUE(AB$1),{Questions[#],Questions[Answer]},2,FALSE),1,0)</f>
        <v/>
      </c>
      <c r="BE179" s="41">
        <f t="array" ref="BE179">IF(AC179=VLOOKUP(VALUE(AC$1),{Questions[#],Questions[Answer]},2,FALSE),1,0)</f>
        <v/>
      </c>
      <c r="BF179" s="41">
        <f t="array" ref="BF179">IF(AD179=VLOOKUP(VALUE(AD$1),{Questions[#],Questions[Answer]},2,FALSE),1,0)</f>
        <v/>
      </c>
      <c r="BG179" s="41">
        <f t="array" ref="BG179">IF(AE179=VLOOKUP(VALUE(AE$1),{Questions[#],Questions[Answer]},2,FALSE),1,0)</f>
        <v/>
      </c>
      <c r="BH179" s="41">
        <f t="array" ref="BH179">IF(AF179=VLOOKUP(VALUE(AF$1),{Questions[#],Questions[Answer]},2,FALSE),1,0)</f>
        <v/>
      </c>
      <c r="BI179" s="41">
        <f t="array" ref="BI179">IF(AG179=VLOOKUP(VALUE(AG$1),{Questions[#],Questions[Answer]},2,FALSE),1,0)</f>
        <v/>
      </c>
      <c r="BJ179" s="41">
        <f t="array" ref="BJ179">IF(AH179=VLOOKUP(VALUE(AH$1),{Questions[#],Questions[Answer]},2,FALSE),1,0)</f>
        <v/>
      </c>
      <c r="BK179" s="41">
        <f t="array" ref="BK179">IF(AI179=VLOOKUP(VALUE(AI$1),{Questions[#],Questions[Answer]},2,FALSE),1,0)</f>
        <v/>
      </c>
      <c r="BL179" s="41">
        <f t="array" ref="BL179">IF(AJ179=VLOOKUP(VALUE(AJ$1),{Questions[#],Questions[Answer]},2,FALSE),1,0)</f>
        <v/>
      </c>
      <c r="BM179" s="41">
        <f t="array" ref="BM179">IF(AK179=VLOOKUP(VALUE(AK$1),{Questions[#],Questions[Answer]},2,FALSE),1,0)</f>
        <v/>
      </c>
      <c r="BN179" s="41">
        <f t="array" ref="BN179">IF(AL179=VLOOKUP(VALUE(AL$1),{Questions[#],Questions[Answer]},2,FALSE),1,0)</f>
        <v/>
      </c>
    </row>
    <row r="180" ht="22.5" customHeight="1" s="93">
      <c r="A180" s="42" t="n"/>
      <c r="B180" s="41" t="n"/>
      <c r="C180" s="41" t="n"/>
      <c r="D180" s="43" t="n"/>
      <c r="E180" s="41" t="n"/>
      <c r="F180" s="41" t="n"/>
      <c r="G180" s="11">
        <f>SUM(AM180:BN180)</f>
        <v/>
      </c>
      <c r="H180" s="40">
        <f>G180/9</f>
        <v/>
      </c>
      <c r="I180" s="12">
        <f>0.5+(G180/54)</f>
        <v/>
      </c>
      <c r="J180" s="41">
        <f>COUNTIF(K180:AL180,"")</f>
        <v/>
      </c>
      <c r="K180" s="34" t="n"/>
      <c r="L180" s="35" t="n"/>
      <c r="M180" s="35" t="n"/>
      <c r="N180" s="35" t="n"/>
      <c r="O180" s="35" t="n"/>
      <c r="P180" s="35" t="n"/>
      <c r="Q180" s="35" t="n"/>
      <c r="R180" s="35" t="n"/>
      <c r="S180" s="35" t="n"/>
      <c r="T180" s="35" t="n"/>
      <c r="U180" s="35" t="n"/>
      <c r="V180" s="35" t="n"/>
      <c r="W180" s="35" t="n"/>
      <c r="X180" s="41" t="n"/>
      <c r="Y180" s="35" t="n"/>
      <c r="Z180" s="35" t="n"/>
      <c r="AA180" s="35" t="n"/>
      <c r="AB180" s="35" t="n"/>
      <c r="AC180" s="35" t="n"/>
      <c r="AD180" s="35" t="n"/>
      <c r="AE180" s="41" t="n"/>
      <c r="AF180" s="35" t="n"/>
      <c r="AG180" s="35" t="n"/>
      <c r="AH180" s="35" t="n"/>
      <c r="AI180" s="35" t="n"/>
      <c r="AJ180" s="35" t="n"/>
      <c r="AK180" s="35" t="n"/>
      <c r="AL180" s="38" t="n"/>
      <c r="AM180" s="19">
        <f t="array" ref="AM180">IF(K180=VLOOKUP(VALUE(K$1),{Questions[#],Questions[Answer]},2,FALSE),1,0)</f>
        <v/>
      </c>
      <c r="AN180" s="41">
        <f t="array" ref="AN180">IF(L180=VLOOKUP(VALUE(L$1),{Questions[#],Questions[Answer]},2,FALSE),1,0)</f>
        <v/>
      </c>
      <c r="AO180" s="41">
        <f t="array" ref="AO180">IF(M180=VLOOKUP(VALUE(M$1),{Questions[#],Questions[Answer]},2,FALSE),1,0)</f>
        <v/>
      </c>
      <c r="AP180" s="41">
        <f t="array" ref="AP180">IF(N180=VLOOKUP(VALUE(N$1),{Questions[#],Questions[Answer]},2,FALSE),1,0)</f>
        <v/>
      </c>
      <c r="AQ180" s="41">
        <f t="array" ref="AQ180">IF(O180=VLOOKUP(VALUE(O$1),{Questions[#],Questions[Answer]},2,FALSE),1,0)</f>
        <v/>
      </c>
      <c r="AR180" s="41">
        <f t="array" ref="AR180">IF(P180=VLOOKUP(VALUE(P$1),{Questions[#],Questions[Answer]},2,FALSE),1,0)</f>
        <v/>
      </c>
      <c r="AS180" s="41">
        <f t="array" ref="AS180">IF(Q180=VLOOKUP(VALUE(Q$1),{Questions[#],Questions[Answer]},2,FALSE),1,0)</f>
        <v/>
      </c>
      <c r="AT180" s="41">
        <f t="array" ref="AT180">IF(R180=VLOOKUP(VALUE(R$1),{Questions[#],Questions[Answer]},2,FALSE),1,0)</f>
        <v/>
      </c>
      <c r="AU180" s="41">
        <f t="array" ref="AU180">IF(S180=VLOOKUP(VALUE(S$1),{Questions[#],Questions[Answer]},2,FALSE),1,0)</f>
        <v/>
      </c>
      <c r="AV180" s="41">
        <f t="array" ref="AV180">IF(T180=VLOOKUP(VALUE(T$1),{Questions[#],Questions[Answer]},2,FALSE),1,0)</f>
        <v/>
      </c>
      <c r="AW180" s="41">
        <f t="array" ref="AW180">IF(U180=VLOOKUP(VALUE(U$1),{Questions[#],Questions[Answer]},2,FALSE),1,0)</f>
        <v/>
      </c>
      <c r="AX180" s="41">
        <f t="array" ref="AX180">IF(V180=VLOOKUP(VALUE(V$1),{Questions[#],Questions[Answer]},2,FALSE),1,0)</f>
        <v/>
      </c>
      <c r="AY180" s="41">
        <f t="array" ref="AY180">IF(W180=VLOOKUP(VALUE(W$1),{Questions[#],Questions[Answer]},2,FALSE),1,0)</f>
        <v/>
      </c>
      <c r="AZ180" s="41">
        <f t="array" ref="AZ180">IF(X180=VLOOKUP(VALUE(X$1),{Questions[#],Questions[Answer]},2,FALSE),1,0)</f>
        <v/>
      </c>
      <c r="BA180" s="41">
        <f t="array" ref="BA180">IF(Y180=VLOOKUP(VALUE(Y$1),{Questions[#],Questions[Answer]},2,FALSE),1,0)</f>
        <v/>
      </c>
      <c r="BB180" s="41">
        <f t="array" ref="BB180">IF(Z180=VLOOKUP(VALUE(Z$1),{Questions[#],Questions[Answer]},2,FALSE),1,0)</f>
        <v/>
      </c>
      <c r="BC180" s="41">
        <f t="array" ref="BC180">IF(AA180=VLOOKUP(VALUE(AA$1),{Questions[#],Questions[Answer]},2,FALSE),1,0)</f>
        <v/>
      </c>
      <c r="BD180" s="41">
        <f t="array" ref="BD180">IF(AB180=VLOOKUP(VALUE(AB$1),{Questions[#],Questions[Answer]},2,FALSE),1,0)</f>
        <v/>
      </c>
      <c r="BE180" s="41">
        <f t="array" ref="BE180">IF(AC180=VLOOKUP(VALUE(AC$1),{Questions[#],Questions[Answer]},2,FALSE),1,0)</f>
        <v/>
      </c>
      <c r="BF180" s="41">
        <f t="array" ref="BF180">IF(AD180=VLOOKUP(VALUE(AD$1),{Questions[#],Questions[Answer]},2,FALSE),1,0)</f>
        <v/>
      </c>
      <c r="BG180" s="41">
        <f t="array" ref="BG180">IF(AE180=VLOOKUP(VALUE(AE$1),{Questions[#],Questions[Answer]},2,FALSE),1,0)</f>
        <v/>
      </c>
      <c r="BH180" s="41">
        <f t="array" ref="BH180">IF(AF180=VLOOKUP(VALUE(AF$1),{Questions[#],Questions[Answer]},2,FALSE),1,0)</f>
        <v/>
      </c>
      <c r="BI180" s="41">
        <f t="array" ref="BI180">IF(AG180=VLOOKUP(VALUE(AG$1),{Questions[#],Questions[Answer]},2,FALSE),1,0)</f>
        <v/>
      </c>
      <c r="BJ180" s="41">
        <f t="array" ref="BJ180">IF(AH180=VLOOKUP(VALUE(AH$1),{Questions[#],Questions[Answer]},2,FALSE),1,0)</f>
        <v/>
      </c>
      <c r="BK180" s="41">
        <f t="array" ref="BK180">IF(AI180=VLOOKUP(VALUE(AI$1),{Questions[#],Questions[Answer]},2,FALSE),1,0)</f>
        <v/>
      </c>
      <c r="BL180" s="41">
        <f t="array" ref="BL180">IF(AJ180=VLOOKUP(VALUE(AJ$1),{Questions[#],Questions[Answer]},2,FALSE),1,0)</f>
        <v/>
      </c>
      <c r="BM180" s="41">
        <f t="array" ref="BM180">IF(AK180=VLOOKUP(VALUE(AK$1),{Questions[#],Questions[Answer]},2,FALSE),1,0)</f>
        <v/>
      </c>
      <c r="BN180" s="41">
        <f t="array" ref="BN180">IF(AL180=VLOOKUP(VALUE(AL$1),{Questions[#],Questions[Answer]},2,FALSE),1,0)</f>
        <v/>
      </c>
    </row>
    <row r="181" ht="22.5" customHeight="1" s="93">
      <c r="A181" s="42" t="n"/>
      <c r="B181" s="41" t="n"/>
      <c r="C181" s="41" t="n"/>
      <c r="D181" s="43" t="n"/>
      <c r="E181" s="41" t="n"/>
      <c r="F181" s="41" t="n"/>
      <c r="G181" s="11">
        <f>SUM(AM181:BN181)</f>
        <v/>
      </c>
      <c r="H181" s="40">
        <f>G181/9</f>
        <v/>
      </c>
      <c r="I181" s="12">
        <f>0.5+(G181/54)</f>
        <v/>
      </c>
      <c r="J181" s="41">
        <f>COUNTIF(K181:AL181,"")</f>
        <v/>
      </c>
      <c r="K181" s="34" t="n"/>
      <c r="L181" s="35" t="n"/>
      <c r="M181" s="35" t="n"/>
      <c r="N181" s="35" t="n"/>
      <c r="O181" s="35" t="n"/>
      <c r="P181" s="35" t="n"/>
      <c r="Q181" s="35" t="n"/>
      <c r="R181" s="35" t="n"/>
      <c r="S181" s="35" t="n"/>
      <c r="T181" s="35" t="n"/>
      <c r="U181" s="35" t="n"/>
      <c r="V181" s="35" t="n"/>
      <c r="W181" s="35" t="n"/>
      <c r="X181" s="41" t="n"/>
      <c r="Y181" s="35" t="n"/>
      <c r="Z181" s="35" t="n"/>
      <c r="AA181" s="35" t="n"/>
      <c r="AB181" s="35" t="n"/>
      <c r="AC181" s="35" t="n"/>
      <c r="AD181" s="35" t="n"/>
      <c r="AE181" s="41" t="n"/>
      <c r="AF181" s="35" t="n"/>
      <c r="AG181" s="35" t="n"/>
      <c r="AH181" s="35" t="n"/>
      <c r="AI181" s="35" t="n"/>
      <c r="AJ181" s="35" t="n"/>
      <c r="AK181" s="35" t="n"/>
      <c r="AL181" s="38" t="n"/>
      <c r="AM181" s="19">
        <f t="array" ref="AM181">IF(K181=VLOOKUP(VALUE(K$1),{Questions[#],Questions[Answer]},2,FALSE),1,0)</f>
        <v/>
      </c>
      <c r="AN181" s="41">
        <f t="array" ref="AN181">IF(L181=VLOOKUP(VALUE(L$1),{Questions[#],Questions[Answer]},2,FALSE),1,0)</f>
        <v/>
      </c>
      <c r="AO181" s="41">
        <f t="array" ref="AO181">IF(M181=VLOOKUP(VALUE(M$1),{Questions[#],Questions[Answer]},2,FALSE),1,0)</f>
        <v/>
      </c>
      <c r="AP181" s="41">
        <f t="array" ref="AP181">IF(N181=VLOOKUP(VALUE(N$1),{Questions[#],Questions[Answer]},2,FALSE),1,0)</f>
        <v/>
      </c>
      <c r="AQ181" s="41">
        <f t="array" ref="AQ181">IF(O181=VLOOKUP(VALUE(O$1),{Questions[#],Questions[Answer]},2,FALSE),1,0)</f>
        <v/>
      </c>
      <c r="AR181" s="41">
        <f t="array" ref="AR181">IF(P181=VLOOKUP(VALUE(P$1),{Questions[#],Questions[Answer]},2,FALSE),1,0)</f>
        <v/>
      </c>
      <c r="AS181" s="41">
        <f t="array" ref="AS181">IF(Q181=VLOOKUP(VALUE(Q$1),{Questions[#],Questions[Answer]},2,FALSE),1,0)</f>
        <v/>
      </c>
      <c r="AT181" s="41">
        <f t="array" ref="AT181">IF(R181=VLOOKUP(VALUE(R$1),{Questions[#],Questions[Answer]},2,FALSE),1,0)</f>
        <v/>
      </c>
      <c r="AU181" s="41">
        <f t="array" ref="AU181">IF(S181=VLOOKUP(VALUE(S$1),{Questions[#],Questions[Answer]},2,FALSE),1,0)</f>
        <v/>
      </c>
      <c r="AV181" s="41">
        <f t="array" ref="AV181">IF(T181=VLOOKUP(VALUE(T$1),{Questions[#],Questions[Answer]},2,FALSE),1,0)</f>
        <v/>
      </c>
      <c r="AW181" s="41">
        <f t="array" ref="AW181">IF(U181=VLOOKUP(VALUE(U$1),{Questions[#],Questions[Answer]},2,FALSE),1,0)</f>
        <v/>
      </c>
      <c r="AX181" s="41">
        <f t="array" ref="AX181">IF(V181=VLOOKUP(VALUE(V$1),{Questions[#],Questions[Answer]},2,FALSE),1,0)</f>
        <v/>
      </c>
      <c r="AY181" s="41">
        <f t="array" ref="AY181">IF(W181=VLOOKUP(VALUE(W$1),{Questions[#],Questions[Answer]},2,FALSE),1,0)</f>
        <v/>
      </c>
      <c r="AZ181" s="41">
        <f t="array" ref="AZ181">IF(X181=VLOOKUP(VALUE(X$1),{Questions[#],Questions[Answer]},2,FALSE),1,0)</f>
        <v/>
      </c>
      <c r="BA181" s="41">
        <f t="array" ref="BA181">IF(Y181=VLOOKUP(VALUE(Y$1),{Questions[#],Questions[Answer]},2,FALSE),1,0)</f>
        <v/>
      </c>
      <c r="BB181" s="41">
        <f t="array" ref="BB181">IF(Z181=VLOOKUP(VALUE(Z$1),{Questions[#],Questions[Answer]},2,FALSE),1,0)</f>
        <v/>
      </c>
      <c r="BC181" s="41">
        <f t="array" ref="BC181">IF(AA181=VLOOKUP(VALUE(AA$1),{Questions[#],Questions[Answer]},2,FALSE),1,0)</f>
        <v/>
      </c>
      <c r="BD181" s="41">
        <f t="array" ref="BD181">IF(AB181=VLOOKUP(VALUE(AB$1),{Questions[#],Questions[Answer]},2,FALSE),1,0)</f>
        <v/>
      </c>
      <c r="BE181" s="41">
        <f t="array" ref="BE181">IF(AC181=VLOOKUP(VALUE(AC$1),{Questions[#],Questions[Answer]},2,FALSE),1,0)</f>
        <v/>
      </c>
      <c r="BF181" s="41">
        <f t="array" ref="BF181">IF(AD181=VLOOKUP(VALUE(AD$1),{Questions[#],Questions[Answer]},2,FALSE),1,0)</f>
        <v/>
      </c>
      <c r="BG181" s="41">
        <f t="array" ref="BG181">IF(AE181=VLOOKUP(VALUE(AE$1),{Questions[#],Questions[Answer]},2,FALSE),1,0)</f>
        <v/>
      </c>
      <c r="BH181" s="41">
        <f t="array" ref="BH181">IF(AF181=VLOOKUP(VALUE(AF$1),{Questions[#],Questions[Answer]},2,FALSE),1,0)</f>
        <v/>
      </c>
      <c r="BI181" s="41">
        <f t="array" ref="BI181">IF(AG181=VLOOKUP(VALUE(AG$1),{Questions[#],Questions[Answer]},2,FALSE),1,0)</f>
        <v/>
      </c>
      <c r="BJ181" s="41">
        <f t="array" ref="BJ181">IF(AH181=VLOOKUP(VALUE(AH$1),{Questions[#],Questions[Answer]},2,FALSE),1,0)</f>
        <v/>
      </c>
      <c r="BK181" s="41">
        <f t="array" ref="BK181">IF(AI181=VLOOKUP(VALUE(AI$1),{Questions[#],Questions[Answer]},2,FALSE),1,0)</f>
        <v/>
      </c>
      <c r="BL181" s="41">
        <f t="array" ref="BL181">IF(AJ181=VLOOKUP(VALUE(AJ$1),{Questions[#],Questions[Answer]},2,FALSE),1,0)</f>
        <v/>
      </c>
      <c r="BM181" s="41">
        <f t="array" ref="BM181">IF(AK181=VLOOKUP(VALUE(AK$1),{Questions[#],Questions[Answer]},2,FALSE),1,0)</f>
        <v/>
      </c>
      <c r="BN181" s="41">
        <f t="array" ref="BN181">IF(AL181=VLOOKUP(VALUE(AL$1),{Questions[#],Questions[Answer]},2,FALSE),1,0)</f>
        <v/>
      </c>
    </row>
    <row r="182" ht="22.5" customHeight="1" s="93">
      <c r="A182" s="42" t="n"/>
      <c r="B182" s="41" t="n"/>
      <c r="C182" s="41" t="n"/>
      <c r="D182" s="43" t="n"/>
      <c r="E182" s="41" t="n"/>
      <c r="F182" s="41" t="n"/>
      <c r="G182" s="11">
        <f>SUM(AM182:BN182)</f>
        <v/>
      </c>
      <c r="H182" s="40">
        <f>G182/9</f>
        <v/>
      </c>
      <c r="I182" s="12">
        <f>0.5+(G182/54)</f>
        <v/>
      </c>
      <c r="J182" s="41">
        <f>COUNTIF(K182:AL182,"")</f>
        <v/>
      </c>
      <c r="K182" s="34" t="n"/>
      <c r="L182" s="35" t="n"/>
      <c r="M182" s="35" t="n"/>
      <c r="N182" s="35" t="n"/>
      <c r="O182" s="35" t="n"/>
      <c r="P182" s="35" t="n"/>
      <c r="Q182" s="35" t="n"/>
      <c r="R182" s="35" t="n"/>
      <c r="S182" s="35" t="n"/>
      <c r="T182" s="35" t="n"/>
      <c r="U182" s="35" t="n"/>
      <c r="V182" s="35" t="n"/>
      <c r="W182" s="35" t="n"/>
      <c r="X182" s="41" t="n"/>
      <c r="Y182" s="35" t="n"/>
      <c r="Z182" s="35" t="n"/>
      <c r="AA182" s="35" t="n"/>
      <c r="AB182" s="35" t="n"/>
      <c r="AC182" s="35" t="n"/>
      <c r="AD182" s="35" t="n"/>
      <c r="AE182" s="41" t="n"/>
      <c r="AF182" s="35" t="n"/>
      <c r="AG182" s="35" t="n"/>
      <c r="AH182" s="35" t="n"/>
      <c r="AI182" s="35" t="n"/>
      <c r="AJ182" s="35" t="n"/>
      <c r="AK182" s="35" t="n"/>
      <c r="AL182" s="38" t="n"/>
      <c r="AM182" s="19">
        <f t="array" ref="AM182">IF(K182=VLOOKUP(VALUE(K$1),{Questions[#],Questions[Answer]},2,FALSE),1,0)</f>
        <v/>
      </c>
      <c r="AN182" s="41">
        <f t="array" ref="AN182">IF(L182=VLOOKUP(VALUE(L$1),{Questions[#],Questions[Answer]},2,FALSE),1,0)</f>
        <v/>
      </c>
      <c r="AO182" s="41">
        <f t="array" ref="AO182">IF(M182=VLOOKUP(VALUE(M$1),{Questions[#],Questions[Answer]},2,FALSE),1,0)</f>
        <v/>
      </c>
      <c r="AP182" s="41">
        <f t="array" ref="AP182">IF(N182=VLOOKUP(VALUE(N$1),{Questions[#],Questions[Answer]},2,FALSE),1,0)</f>
        <v/>
      </c>
      <c r="AQ182" s="41">
        <f t="array" ref="AQ182">IF(O182=VLOOKUP(VALUE(O$1),{Questions[#],Questions[Answer]},2,FALSE),1,0)</f>
        <v/>
      </c>
      <c r="AR182" s="41">
        <f t="array" ref="AR182">IF(P182=VLOOKUP(VALUE(P$1),{Questions[#],Questions[Answer]},2,FALSE),1,0)</f>
        <v/>
      </c>
      <c r="AS182" s="41">
        <f t="array" ref="AS182">IF(Q182=VLOOKUP(VALUE(Q$1),{Questions[#],Questions[Answer]},2,FALSE),1,0)</f>
        <v/>
      </c>
      <c r="AT182" s="41">
        <f t="array" ref="AT182">IF(R182=VLOOKUP(VALUE(R$1),{Questions[#],Questions[Answer]},2,FALSE),1,0)</f>
        <v/>
      </c>
      <c r="AU182" s="41">
        <f t="array" ref="AU182">IF(S182=VLOOKUP(VALUE(S$1),{Questions[#],Questions[Answer]},2,FALSE),1,0)</f>
        <v/>
      </c>
      <c r="AV182" s="41">
        <f t="array" ref="AV182">IF(T182=VLOOKUP(VALUE(T$1),{Questions[#],Questions[Answer]},2,FALSE),1,0)</f>
        <v/>
      </c>
      <c r="AW182" s="41">
        <f t="array" ref="AW182">IF(U182=VLOOKUP(VALUE(U$1),{Questions[#],Questions[Answer]},2,FALSE),1,0)</f>
        <v/>
      </c>
      <c r="AX182" s="41">
        <f t="array" ref="AX182">IF(V182=VLOOKUP(VALUE(V$1),{Questions[#],Questions[Answer]},2,FALSE),1,0)</f>
        <v/>
      </c>
      <c r="AY182" s="41">
        <f t="array" ref="AY182">IF(W182=VLOOKUP(VALUE(W$1),{Questions[#],Questions[Answer]},2,FALSE),1,0)</f>
        <v/>
      </c>
      <c r="AZ182" s="41">
        <f t="array" ref="AZ182">IF(X182=VLOOKUP(VALUE(X$1),{Questions[#],Questions[Answer]},2,FALSE),1,0)</f>
        <v/>
      </c>
      <c r="BA182" s="41">
        <f t="array" ref="BA182">IF(Y182=VLOOKUP(VALUE(Y$1),{Questions[#],Questions[Answer]},2,FALSE),1,0)</f>
        <v/>
      </c>
      <c r="BB182" s="41">
        <f t="array" ref="BB182">IF(Z182=VLOOKUP(VALUE(Z$1),{Questions[#],Questions[Answer]},2,FALSE),1,0)</f>
        <v/>
      </c>
      <c r="BC182" s="41">
        <f t="array" ref="BC182">IF(AA182=VLOOKUP(VALUE(AA$1),{Questions[#],Questions[Answer]},2,FALSE),1,0)</f>
        <v/>
      </c>
      <c r="BD182" s="41">
        <f t="array" ref="BD182">IF(AB182=VLOOKUP(VALUE(AB$1),{Questions[#],Questions[Answer]},2,FALSE),1,0)</f>
        <v/>
      </c>
      <c r="BE182" s="41">
        <f t="array" ref="BE182">IF(AC182=VLOOKUP(VALUE(AC$1),{Questions[#],Questions[Answer]},2,FALSE),1,0)</f>
        <v/>
      </c>
      <c r="BF182" s="41">
        <f t="array" ref="BF182">IF(AD182=VLOOKUP(VALUE(AD$1),{Questions[#],Questions[Answer]},2,FALSE),1,0)</f>
        <v/>
      </c>
      <c r="BG182" s="41">
        <f t="array" ref="BG182">IF(AE182=VLOOKUP(VALUE(AE$1),{Questions[#],Questions[Answer]},2,FALSE),1,0)</f>
        <v/>
      </c>
      <c r="BH182" s="41">
        <f t="array" ref="BH182">IF(AF182=VLOOKUP(VALUE(AF$1),{Questions[#],Questions[Answer]},2,FALSE),1,0)</f>
        <v/>
      </c>
      <c r="BI182" s="41">
        <f t="array" ref="BI182">IF(AG182=VLOOKUP(VALUE(AG$1),{Questions[#],Questions[Answer]},2,FALSE),1,0)</f>
        <v/>
      </c>
      <c r="BJ182" s="41">
        <f t="array" ref="BJ182">IF(AH182=VLOOKUP(VALUE(AH$1),{Questions[#],Questions[Answer]},2,FALSE),1,0)</f>
        <v/>
      </c>
      <c r="BK182" s="41">
        <f t="array" ref="BK182">IF(AI182=VLOOKUP(VALUE(AI$1),{Questions[#],Questions[Answer]},2,FALSE),1,0)</f>
        <v/>
      </c>
      <c r="BL182" s="41">
        <f t="array" ref="BL182">IF(AJ182=VLOOKUP(VALUE(AJ$1),{Questions[#],Questions[Answer]},2,FALSE),1,0)</f>
        <v/>
      </c>
      <c r="BM182" s="41">
        <f t="array" ref="BM182">IF(AK182=VLOOKUP(VALUE(AK$1),{Questions[#],Questions[Answer]},2,FALSE),1,0)</f>
        <v/>
      </c>
      <c r="BN182" s="41">
        <f t="array" ref="BN182">IF(AL182=VLOOKUP(VALUE(AL$1),{Questions[#],Questions[Answer]},2,FALSE),1,0)</f>
        <v/>
      </c>
    </row>
    <row r="183" ht="22.5" customHeight="1" s="93">
      <c r="A183" s="42" t="n"/>
      <c r="B183" s="41" t="n"/>
      <c r="C183" s="41" t="n"/>
      <c r="D183" s="43" t="n"/>
      <c r="E183" s="41" t="n"/>
      <c r="F183" s="41" t="n"/>
      <c r="G183" s="11">
        <f>SUM(AM183:BN183)</f>
        <v/>
      </c>
      <c r="H183" s="40">
        <f>G183/9</f>
        <v/>
      </c>
      <c r="I183" s="12">
        <f>0.5+(G183/54)</f>
        <v/>
      </c>
      <c r="J183" s="41">
        <f>COUNTIF(K183:AL183,"")</f>
        <v/>
      </c>
      <c r="K183" s="34" t="n"/>
      <c r="L183" s="35" t="n"/>
      <c r="M183" s="35" t="n"/>
      <c r="N183" s="35" t="n"/>
      <c r="O183" s="35" t="n"/>
      <c r="P183" s="35" t="n"/>
      <c r="Q183" s="35" t="n"/>
      <c r="R183" s="35" t="n"/>
      <c r="S183" s="35" t="n"/>
      <c r="T183" s="35" t="n"/>
      <c r="U183" s="35" t="n"/>
      <c r="V183" s="35" t="n"/>
      <c r="W183" s="35" t="n"/>
      <c r="X183" s="41" t="n"/>
      <c r="Y183" s="35" t="n"/>
      <c r="Z183" s="35" t="n"/>
      <c r="AA183" s="35" t="n"/>
      <c r="AB183" s="35" t="n"/>
      <c r="AC183" s="35" t="n"/>
      <c r="AD183" s="35" t="n"/>
      <c r="AE183" s="41" t="n"/>
      <c r="AF183" s="35" t="n"/>
      <c r="AG183" s="35" t="n"/>
      <c r="AH183" s="35" t="n"/>
      <c r="AI183" s="35" t="n"/>
      <c r="AJ183" s="35" t="n"/>
      <c r="AK183" s="35" t="n"/>
      <c r="AL183" s="38" t="n"/>
      <c r="AM183" s="19">
        <f t="array" ref="AM183">IF(K183=VLOOKUP(VALUE(K$1),{Questions[#],Questions[Answer]},2,FALSE),1,0)</f>
        <v/>
      </c>
      <c r="AN183" s="41">
        <f t="array" ref="AN183">IF(L183=VLOOKUP(VALUE(L$1),{Questions[#],Questions[Answer]},2,FALSE),1,0)</f>
        <v/>
      </c>
      <c r="AO183" s="41">
        <f t="array" ref="AO183">IF(M183=VLOOKUP(VALUE(M$1),{Questions[#],Questions[Answer]},2,FALSE),1,0)</f>
        <v/>
      </c>
      <c r="AP183" s="41">
        <f t="array" ref="AP183">IF(N183=VLOOKUP(VALUE(N$1),{Questions[#],Questions[Answer]},2,FALSE),1,0)</f>
        <v/>
      </c>
      <c r="AQ183" s="41">
        <f t="array" ref="AQ183">IF(O183=VLOOKUP(VALUE(O$1),{Questions[#],Questions[Answer]},2,FALSE),1,0)</f>
        <v/>
      </c>
      <c r="AR183" s="41">
        <f t="array" ref="AR183">IF(P183=VLOOKUP(VALUE(P$1),{Questions[#],Questions[Answer]},2,FALSE),1,0)</f>
        <v/>
      </c>
      <c r="AS183" s="41">
        <f t="array" ref="AS183">IF(Q183=VLOOKUP(VALUE(Q$1),{Questions[#],Questions[Answer]},2,FALSE),1,0)</f>
        <v/>
      </c>
      <c r="AT183" s="41">
        <f t="array" ref="AT183">IF(R183=VLOOKUP(VALUE(R$1),{Questions[#],Questions[Answer]},2,FALSE),1,0)</f>
        <v/>
      </c>
      <c r="AU183" s="41">
        <f t="array" ref="AU183">IF(S183=VLOOKUP(VALUE(S$1),{Questions[#],Questions[Answer]},2,FALSE),1,0)</f>
        <v/>
      </c>
      <c r="AV183" s="41">
        <f t="array" ref="AV183">IF(T183=VLOOKUP(VALUE(T$1),{Questions[#],Questions[Answer]},2,FALSE),1,0)</f>
        <v/>
      </c>
      <c r="AW183" s="41">
        <f t="array" ref="AW183">IF(U183=VLOOKUP(VALUE(U$1),{Questions[#],Questions[Answer]},2,FALSE),1,0)</f>
        <v/>
      </c>
      <c r="AX183" s="41">
        <f t="array" ref="AX183">IF(V183=VLOOKUP(VALUE(V$1),{Questions[#],Questions[Answer]},2,FALSE),1,0)</f>
        <v/>
      </c>
      <c r="AY183" s="41">
        <f t="array" ref="AY183">IF(W183=VLOOKUP(VALUE(W$1),{Questions[#],Questions[Answer]},2,FALSE),1,0)</f>
        <v/>
      </c>
      <c r="AZ183" s="41">
        <f t="array" ref="AZ183">IF(X183=VLOOKUP(VALUE(X$1),{Questions[#],Questions[Answer]},2,FALSE),1,0)</f>
        <v/>
      </c>
      <c r="BA183" s="41">
        <f t="array" ref="BA183">IF(Y183=VLOOKUP(VALUE(Y$1),{Questions[#],Questions[Answer]},2,FALSE),1,0)</f>
        <v/>
      </c>
      <c r="BB183" s="41">
        <f t="array" ref="BB183">IF(Z183=VLOOKUP(VALUE(Z$1),{Questions[#],Questions[Answer]},2,FALSE),1,0)</f>
        <v/>
      </c>
      <c r="BC183" s="41">
        <f t="array" ref="BC183">IF(AA183=VLOOKUP(VALUE(AA$1),{Questions[#],Questions[Answer]},2,FALSE),1,0)</f>
        <v/>
      </c>
      <c r="BD183" s="41">
        <f t="array" ref="BD183">IF(AB183=VLOOKUP(VALUE(AB$1),{Questions[#],Questions[Answer]},2,FALSE),1,0)</f>
        <v/>
      </c>
      <c r="BE183" s="41">
        <f t="array" ref="BE183">IF(AC183=VLOOKUP(VALUE(AC$1),{Questions[#],Questions[Answer]},2,FALSE),1,0)</f>
        <v/>
      </c>
      <c r="BF183" s="41">
        <f t="array" ref="BF183">IF(AD183=VLOOKUP(VALUE(AD$1),{Questions[#],Questions[Answer]},2,FALSE),1,0)</f>
        <v/>
      </c>
      <c r="BG183" s="41">
        <f t="array" ref="BG183">IF(AE183=VLOOKUP(VALUE(AE$1),{Questions[#],Questions[Answer]},2,FALSE),1,0)</f>
        <v/>
      </c>
      <c r="BH183" s="41">
        <f t="array" ref="BH183">IF(AF183=VLOOKUP(VALUE(AF$1),{Questions[#],Questions[Answer]},2,FALSE),1,0)</f>
        <v/>
      </c>
      <c r="BI183" s="41">
        <f t="array" ref="BI183">IF(AG183=VLOOKUP(VALUE(AG$1),{Questions[#],Questions[Answer]},2,FALSE),1,0)</f>
        <v/>
      </c>
      <c r="BJ183" s="41">
        <f t="array" ref="BJ183">IF(AH183=VLOOKUP(VALUE(AH$1),{Questions[#],Questions[Answer]},2,FALSE),1,0)</f>
        <v/>
      </c>
      <c r="BK183" s="41">
        <f t="array" ref="BK183">IF(AI183=VLOOKUP(VALUE(AI$1),{Questions[#],Questions[Answer]},2,FALSE),1,0)</f>
        <v/>
      </c>
      <c r="BL183" s="41">
        <f t="array" ref="BL183">IF(AJ183=VLOOKUP(VALUE(AJ$1),{Questions[#],Questions[Answer]},2,FALSE),1,0)</f>
        <v/>
      </c>
      <c r="BM183" s="41">
        <f t="array" ref="BM183">IF(AK183=VLOOKUP(VALUE(AK$1),{Questions[#],Questions[Answer]},2,FALSE),1,0)</f>
        <v/>
      </c>
      <c r="BN183" s="41">
        <f t="array" ref="BN183">IF(AL183=VLOOKUP(VALUE(AL$1),{Questions[#],Questions[Answer]},2,FALSE),1,0)</f>
        <v/>
      </c>
    </row>
    <row r="184" ht="22.5" customHeight="1" s="93">
      <c r="A184" s="42" t="n"/>
      <c r="B184" s="41" t="n"/>
      <c r="C184" s="41" t="n"/>
      <c r="D184" s="43" t="n"/>
      <c r="E184" s="41" t="n"/>
      <c r="F184" s="41" t="n"/>
      <c r="G184" s="11">
        <f>SUM(AM184:BN184)</f>
        <v/>
      </c>
      <c r="H184" s="40">
        <f>G184/9</f>
        <v/>
      </c>
      <c r="I184" s="12">
        <f>0.5+(G184/54)</f>
        <v/>
      </c>
      <c r="J184" s="41">
        <f>COUNTIF(K184:AL184,"")</f>
        <v/>
      </c>
      <c r="K184" s="34" t="n"/>
      <c r="L184" s="35" t="n"/>
      <c r="M184" s="35" t="n"/>
      <c r="N184" s="35" t="n"/>
      <c r="O184" s="35" t="n"/>
      <c r="P184" s="35" t="n"/>
      <c r="Q184" s="35" t="n"/>
      <c r="R184" s="35" t="n"/>
      <c r="S184" s="35" t="n"/>
      <c r="T184" s="35" t="n"/>
      <c r="U184" s="35" t="n"/>
      <c r="V184" s="35" t="n"/>
      <c r="W184" s="35" t="n"/>
      <c r="X184" s="41" t="n"/>
      <c r="Y184" s="35" t="n"/>
      <c r="Z184" s="35" t="n"/>
      <c r="AA184" s="35" t="n"/>
      <c r="AB184" s="35" t="n"/>
      <c r="AC184" s="35" t="n"/>
      <c r="AD184" s="35" t="n"/>
      <c r="AE184" s="41" t="n"/>
      <c r="AF184" s="35" t="n"/>
      <c r="AG184" s="35" t="n"/>
      <c r="AH184" s="35" t="n"/>
      <c r="AI184" s="35" t="n"/>
      <c r="AJ184" s="35" t="n"/>
      <c r="AK184" s="35" t="n"/>
      <c r="AL184" s="38" t="n"/>
      <c r="AM184" s="19">
        <f t="array" ref="AM184">IF(K184=VLOOKUP(VALUE(K$1),{Questions[#],Questions[Answer]},2,FALSE),1,0)</f>
        <v/>
      </c>
      <c r="AN184" s="41">
        <f t="array" ref="AN184">IF(L184=VLOOKUP(VALUE(L$1),{Questions[#],Questions[Answer]},2,FALSE),1,0)</f>
        <v/>
      </c>
      <c r="AO184" s="41">
        <f t="array" ref="AO184">IF(M184=VLOOKUP(VALUE(M$1),{Questions[#],Questions[Answer]},2,FALSE),1,0)</f>
        <v/>
      </c>
      <c r="AP184" s="41">
        <f t="array" ref="AP184">IF(N184=VLOOKUP(VALUE(N$1),{Questions[#],Questions[Answer]},2,FALSE),1,0)</f>
        <v/>
      </c>
      <c r="AQ184" s="41">
        <f t="array" ref="AQ184">IF(O184=VLOOKUP(VALUE(O$1),{Questions[#],Questions[Answer]},2,FALSE),1,0)</f>
        <v/>
      </c>
      <c r="AR184" s="41">
        <f t="array" ref="AR184">IF(P184=VLOOKUP(VALUE(P$1),{Questions[#],Questions[Answer]},2,FALSE),1,0)</f>
        <v/>
      </c>
      <c r="AS184" s="41">
        <f t="array" ref="AS184">IF(Q184=VLOOKUP(VALUE(Q$1),{Questions[#],Questions[Answer]},2,FALSE),1,0)</f>
        <v/>
      </c>
      <c r="AT184" s="41">
        <f t="array" ref="AT184">IF(R184=VLOOKUP(VALUE(R$1),{Questions[#],Questions[Answer]},2,FALSE),1,0)</f>
        <v/>
      </c>
      <c r="AU184" s="41">
        <f t="array" ref="AU184">IF(S184=VLOOKUP(VALUE(S$1),{Questions[#],Questions[Answer]},2,FALSE),1,0)</f>
        <v/>
      </c>
      <c r="AV184" s="41">
        <f t="array" ref="AV184">IF(T184=VLOOKUP(VALUE(T$1),{Questions[#],Questions[Answer]},2,FALSE),1,0)</f>
        <v/>
      </c>
      <c r="AW184" s="41">
        <f t="array" ref="AW184">IF(U184=VLOOKUP(VALUE(U$1),{Questions[#],Questions[Answer]},2,FALSE),1,0)</f>
        <v/>
      </c>
      <c r="AX184" s="41">
        <f t="array" ref="AX184">IF(V184=VLOOKUP(VALUE(V$1),{Questions[#],Questions[Answer]},2,FALSE),1,0)</f>
        <v/>
      </c>
      <c r="AY184" s="41">
        <f t="array" ref="AY184">IF(W184=VLOOKUP(VALUE(W$1),{Questions[#],Questions[Answer]},2,FALSE),1,0)</f>
        <v/>
      </c>
      <c r="AZ184" s="41">
        <f t="array" ref="AZ184">IF(X184=VLOOKUP(VALUE(X$1),{Questions[#],Questions[Answer]},2,FALSE),1,0)</f>
        <v/>
      </c>
      <c r="BA184" s="41">
        <f t="array" ref="BA184">IF(Y184=VLOOKUP(VALUE(Y$1),{Questions[#],Questions[Answer]},2,FALSE),1,0)</f>
        <v/>
      </c>
      <c r="BB184" s="41">
        <f t="array" ref="BB184">IF(Z184=VLOOKUP(VALUE(Z$1),{Questions[#],Questions[Answer]},2,FALSE),1,0)</f>
        <v/>
      </c>
      <c r="BC184" s="41">
        <f t="array" ref="BC184">IF(AA184=VLOOKUP(VALUE(AA$1),{Questions[#],Questions[Answer]},2,FALSE),1,0)</f>
        <v/>
      </c>
      <c r="BD184" s="41">
        <f t="array" ref="BD184">IF(AB184=VLOOKUP(VALUE(AB$1),{Questions[#],Questions[Answer]},2,FALSE),1,0)</f>
        <v/>
      </c>
      <c r="BE184" s="41">
        <f t="array" ref="BE184">IF(AC184=VLOOKUP(VALUE(AC$1),{Questions[#],Questions[Answer]},2,FALSE),1,0)</f>
        <v/>
      </c>
      <c r="BF184" s="41">
        <f t="array" ref="BF184">IF(AD184=VLOOKUP(VALUE(AD$1),{Questions[#],Questions[Answer]},2,FALSE),1,0)</f>
        <v/>
      </c>
      <c r="BG184" s="41">
        <f t="array" ref="BG184">IF(AE184=VLOOKUP(VALUE(AE$1),{Questions[#],Questions[Answer]},2,FALSE),1,0)</f>
        <v/>
      </c>
      <c r="BH184" s="41">
        <f t="array" ref="BH184">IF(AF184=VLOOKUP(VALUE(AF$1),{Questions[#],Questions[Answer]},2,FALSE),1,0)</f>
        <v/>
      </c>
      <c r="BI184" s="41">
        <f t="array" ref="BI184">IF(AG184=VLOOKUP(VALUE(AG$1),{Questions[#],Questions[Answer]},2,FALSE),1,0)</f>
        <v/>
      </c>
      <c r="BJ184" s="41">
        <f t="array" ref="BJ184">IF(AH184=VLOOKUP(VALUE(AH$1),{Questions[#],Questions[Answer]},2,FALSE),1,0)</f>
        <v/>
      </c>
      <c r="BK184" s="41">
        <f t="array" ref="BK184">IF(AI184=VLOOKUP(VALUE(AI$1),{Questions[#],Questions[Answer]},2,FALSE),1,0)</f>
        <v/>
      </c>
      <c r="BL184" s="41">
        <f t="array" ref="BL184">IF(AJ184=VLOOKUP(VALUE(AJ$1),{Questions[#],Questions[Answer]},2,FALSE),1,0)</f>
        <v/>
      </c>
      <c r="BM184" s="41">
        <f t="array" ref="BM184">IF(AK184=VLOOKUP(VALUE(AK$1),{Questions[#],Questions[Answer]},2,FALSE),1,0)</f>
        <v/>
      </c>
      <c r="BN184" s="41">
        <f t="array" ref="BN184">IF(AL184=VLOOKUP(VALUE(AL$1),{Questions[#],Questions[Answer]},2,FALSE),1,0)</f>
        <v/>
      </c>
    </row>
    <row r="185" ht="22.5" customHeight="1" s="93">
      <c r="A185" s="42" t="n"/>
      <c r="B185" s="41" t="n"/>
      <c r="C185" s="41" t="n"/>
      <c r="D185" s="43" t="n"/>
      <c r="E185" s="41" t="n"/>
      <c r="F185" s="41" t="n"/>
      <c r="G185" s="11">
        <f>SUM(AM185:BN185)</f>
        <v/>
      </c>
      <c r="H185" s="40">
        <f>G185/9</f>
        <v/>
      </c>
      <c r="I185" s="12">
        <f>0.5+(G185/54)</f>
        <v/>
      </c>
      <c r="J185" s="41">
        <f>COUNTIF(K185:AL185,"")</f>
        <v/>
      </c>
      <c r="K185" s="34" t="n"/>
      <c r="L185" s="35" t="n"/>
      <c r="M185" s="35" t="n"/>
      <c r="N185" s="35" t="n"/>
      <c r="O185" s="35" t="n"/>
      <c r="P185" s="35" t="n"/>
      <c r="Q185" s="35" t="n"/>
      <c r="R185" s="35" t="n"/>
      <c r="S185" s="35" t="n"/>
      <c r="T185" s="35" t="n"/>
      <c r="U185" s="35" t="n"/>
      <c r="V185" s="35" t="n"/>
      <c r="W185" s="35" t="n"/>
      <c r="X185" s="41" t="n"/>
      <c r="Y185" s="35" t="n"/>
      <c r="Z185" s="35" t="n"/>
      <c r="AA185" s="35" t="n"/>
      <c r="AB185" s="35" t="n"/>
      <c r="AC185" s="35" t="n"/>
      <c r="AD185" s="35" t="n"/>
      <c r="AE185" s="41" t="n"/>
      <c r="AF185" s="35" t="n"/>
      <c r="AG185" s="35" t="n"/>
      <c r="AH185" s="35" t="n"/>
      <c r="AI185" s="35" t="n"/>
      <c r="AJ185" s="35" t="n"/>
      <c r="AK185" s="35" t="n"/>
      <c r="AL185" s="38" t="n"/>
      <c r="AM185" s="19">
        <f t="array" ref="AM185">IF(K185=VLOOKUP(VALUE(K$1),{Questions[#],Questions[Answer]},2,FALSE),1,0)</f>
        <v/>
      </c>
      <c r="AN185" s="41">
        <f t="array" ref="AN185">IF(L185=VLOOKUP(VALUE(L$1),{Questions[#],Questions[Answer]},2,FALSE),1,0)</f>
        <v/>
      </c>
      <c r="AO185" s="41">
        <f t="array" ref="AO185">IF(M185=VLOOKUP(VALUE(M$1),{Questions[#],Questions[Answer]},2,FALSE),1,0)</f>
        <v/>
      </c>
      <c r="AP185" s="41">
        <f t="array" ref="AP185">IF(N185=VLOOKUP(VALUE(N$1),{Questions[#],Questions[Answer]},2,FALSE),1,0)</f>
        <v/>
      </c>
      <c r="AQ185" s="41">
        <f t="array" ref="AQ185">IF(O185=VLOOKUP(VALUE(O$1),{Questions[#],Questions[Answer]},2,FALSE),1,0)</f>
        <v/>
      </c>
      <c r="AR185" s="41">
        <f t="array" ref="AR185">IF(P185=VLOOKUP(VALUE(P$1),{Questions[#],Questions[Answer]},2,FALSE),1,0)</f>
        <v/>
      </c>
      <c r="AS185" s="41">
        <f t="array" ref="AS185">IF(Q185=VLOOKUP(VALUE(Q$1),{Questions[#],Questions[Answer]},2,FALSE),1,0)</f>
        <v/>
      </c>
      <c r="AT185" s="41">
        <f t="array" ref="AT185">IF(R185=VLOOKUP(VALUE(R$1),{Questions[#],Questions[Answer]},2,FALSE),1,0)</f>
        <v/>
      </c>
      <c r="AU185" s="41">
        <f t="array" ref="AU185">IF(S185=VLOOKUP(VALUE(S$1),{Questions[#],Questions[Answer]},2,FALSE),1,0)</f>
        <v/>
      </c>
      <c r="AV185" s="41">
        <f t="array" ref="AV185">IF(T185=VLOOKUP(VALUE(T$1),{Questions[#],Questions[Answer]},2,FALSE),1,0)</f>
        <v/>
      </c>
      <c r="AW185" s="41">
        <f t="array" ref="AW185">IF(U185=VLOOKUP(VALUE(U$1),{Questions[#],Questions[Answer]},2,FALSE),1,0)</f>
        <v/>
      </c>
      <c r="AX185" s="41">
        <f t="array" ref="AX185">IF(V185=VLOOKUP(VALUE(V$1),{Questions[#],Questions[Answer]},2,FALSE),1,0)</f>
        <v/>
      </c>
      <c r="AY185" s="41">
        <f t="array" ref="AY185">IF(W185=VLOOKUP(VALUE(W$1),{Questions[#],Questions[Answer]},2,FALSE),1,0)</f>
        <v/>
      </c>
      <c r="AZ185" s="41">
        <f t="array" ref="AZ185">IF(X185=VLOOKUP(VALUE(X$1),{Questions[#],Questions[Answer]},2,FALSE),1,0)</f>
        <v/>
      </c>
      <c r="BA185" s="41">
        <f t="array" ref="BA185">IF(Y185=VLOOKUP(VALUE(Y$1),{Questions[#],Questions[Answer]},2,FALSE),1,0)</f>
        <v/>
      </c>
      <c r="BB185" s="41">
        <f t="array" ref="BB185">IF(Z185=VLOOKUP(VALUE(Z$1),{Questions[#],Questions[Answer]},2,FALSE),1,0)</f>
        <v/>
      </c>
      <c r="BC185" s="41">
        <f t="array" ref="BC185">IF(AA185=VLOOKUP(VALUE(AA$1),{Questions[#],Questions[Answer]},2,FALSE),1,0)</f>
        <v/>
      </c>
      <c r="BD185" s="41">
        <f t="array" ref="BD185">IF(AB185=VLOOKUP(VALUE(AB$1),{Questions[#],Questions[Answer]},2,FALSE),1,0)</f>
        <v/>
      </c>
      <c r="BE185" s="41">
        <f t="array" ref="BE185">IF(AC185=VLOOKUP(VALUE(AC$1),{Questions[#],Questions[Answer]},2,FALSE),1,0)</f>
        <v/>
      </c>
      <c r="BF185" s="41">
        <f t="array" ref="BF185">IF(AD185=VLOOKUP(VALUE(AD$1),{Questions[#],Questions[Answer]},2,FALSE),1,0)</f>
        <v/>
      </c>
      <c r="BG185" s="41">
        <f t="array" ref="BG185">IF(AE185=VLOOKUP(VALUE(AE$1),{Questions[#],Questions[Answer]},2,FALSE),1,0)</f>
        <v/>
      </c>
      <c r="BH185" s="41">
        <f t="array" ref="BH185">IF(AF185=VLOOKUP(VALUE(AF$1),{Questions[#],Questions[Answer]},2,FALSE),1,0)</f>
        <v/>
      </c>
      <c r="BI185" s="41">
        <f t="array" ref="BI185">IF(AG185=VLOOKUP(VALUE(AG$1),{Questions[#],Questions[Answer]},2,FALSE),1,0)</f>
        <v/>
      </c>
      <c r="BJ185" s="41">
        <f t="array" ref="BJ185">IF(AH185=VLOOKUP(VALUE(AH$1),{Questions[#],Questions[Answer]},2,FALSE),1,0)</f>
        <v/>
      </c>
      <c r="BK185" s="41">
        <f t="array" ref="BK185">IF(AI185=VLOOKUP(VALUE(AI$1),{Questions[#],Questions[Answer]},2,FALSE),1,0)</f>
        <v/>
      </c>
      <c r="BL185" s="41">
        <f t="array" ref="BL185">IF(AJ185=VLOOKUP(VALUE(AJ$1),{Questions[#],Questions[Answer]},2,FALSE),1,0)</f>
        <v/>
      </c>
      <c r="BM185" s="41">
        <f t="array" ref="BM185">IF(AK185=VLOOKUP(VALUE(AK$1),{Questions[#],Questions[Answer]},2,FALSE),1,0)</f>
        <v/>
      </c>
      <c r="BN185" s="41">
        <f t="array" ref="BN185">IF(AL185=VLOOKUP(VALUE(AL$1),{Questions[#],Questions[Answer]},2,FALSE),1,0)</f>
        <v/>
      </c>
    </row>
    <row r="186" ht="22.5" customHeight="1" s="93">
      <c r="A186" s="42" t="n"/>
      <c r="B186" s="41" t="n"/>
      <c r="C186" s="41" t="n"/>
      <c r="D186" s="43" t="n"/>
      <c r="E186" s="41" t="n"/>
      <c r="F186" s="41" t="n"/>
      <c r="G186" s="11">
        <f>SUM(AM186:BN186)</f>
        <v/>
      </c>
      <c r="H186" s="40">
        <f>G186/9</f>
        <v/>
      </c>
      <c r="I186" s="12">
        <f>0.5+(G186/54)</f>
        <v/>
      </c>
      <c r="J186" s="41">
        <f>COUNTIF(K186:AL186,"")</f>
        <v/>
      </c>
      <c r="K186" s="34" t="n"/>
      <c r="L186" s="35" t="n"/>
      <c r="M186" s="35" t="n"/>
      <c r="N186" s="35" t="n"/>
      <c r="O186" s="35" t="n"/>
      <c r="P186" s="35" t="n"/>
      <c r="Q186" s="35" t="n"/>
      <c r="R186" s="35" t="n"/>
      <c r="S186" s="35" t="n"/>
      <c r="T186" s="35" t="n"/>
      <c r="U186" s="35" t="n"/>
      <c r="V186" s="35" t="n"/>
      <c r="W186" s="35" t="n"/>
      <c r="X186" s="41" t="n"/>
      <c r="Y186" s="35" t="n"/>
      <c r="Z186" s="35" t="n"/>
      <c r="AA186" s="35" t="n"/>
      <c r="AB186" s="35" t="n"/>
      <c r="AC186" s="35" t="n"/>
      <c r="AD186" s="35" t="n"/>
      <c r="AE186" s="41" t="n"/>
      <c r="AF186" s="35" t="n"/>
      <c r="AG186" s="35" t="n"/>
      <c r="AH186" s="35" t="n"/>
      <c r="AI186" s="35" t="n"/>
      <c r="AJ186" s="35" t="n"/>
      <c r="AK186" s="35" t="n"/>
      <c r="AL186" s="38" t="n"/>
      <c r="AM186" s="19">
        <f t="array" ref="AM186">IF(K186=VLOOKUP(VALUE(K$1),{Questions[#],Questions[Answer]},2,FALSE),1,0)</f>
        <v/>
      </c>
      <c r="AN186" s="41">
        <f t="array" ref="AN186">IF(L186=VLOOKUP(VALUE(L$1),{Questions[#],Questions[Answer]},2,FALSE),1,0)</f>
        <v/>
      </c>
      <c r="AO186" s="41">
        <f t="array" ref="AO186">IF(M186=VLOOKUP(VALUE(M$1),{Questions[#],Questions[Answer]},2,FALSE),1,0)</f>
        <v/>
      </c>
      <c r="AP186" s="41">
        <f t="array" ref="AP186">IF(N186=VLOOKUP(VALUE(N$1),{Questions[#],Questions[Answer]},2,FALSE),1,0)</f>
        <v/>
      </c>
      <c r="AQ186" s="41">
        <f t="array" ref="AQ186">IF(O186=VLOOKUP(VALUE(O$1),{Questions[#],Questions[Answer]},2,FALSE),1,0)</f>
        <v/>
      </c>
      <c r="AR186" s="41">
        <f t="array" ref="AR186">IF(P186=VLOOKUP(VALUE(P$1),{Questions[#],Questions[Answer]},2,FALSE),1,0)</f>
        <v/>
      </c>
      <c r="AS186" s="41">
        <f t="array" ref="AS186">IF(Q186=VLOOKUP(VALUE(Q$1),{Questions[#],Questions[Answer]},2,FALSE),1,0)</f>
        <v/>
      </c>
      <c r="AT186" s="41">
        <f t="array" ref="AT186">IF(R186=VLOOKUP(VALUE(R$1),{Questions[#],Questions[Answer]},2,FALSE),1,0)</f>
        <v/>
      </c>
      <c r="AU186" s="41">
        <f t="array" ref="AU186">IF(S186=VLOOKUP(VALUE(S$1),{Questions[#],Questions[Answer]},2,FALSE),1,0)</f>
        <v/>
      </c>
      <c r="AV186" s="41">
        <f t="array" ref="AV186">IF(T186=VLOOKUP(VALUE(T$1),{Questions[#],Questions[Answer]},2,FALSE),1,0)</f>
        <v/>
      </c>
      <c r="AW186" s="41">
        <f t="array" ref="AW186">IF(U186=VLOOKUP(VALUE(U$1),{Questions[#],Questions[Answer]},2,FALSE),1,0)</f>
        <v/>
      </c>
      <c r="AX186" s="41">
        <f t="array" ref="AX186">IF(V186=VLOOKUP(VALUE(V$1),{Questions[#],Questions[Answer]},2,FALSE),1,0)</f>
        <v/>
      </c>
      <c r="AY186" s="41">
        <f t="array" ref="AY186">IF(W186=VLOOKUP(VALUE(W$1),{Questions[#],Questions[Answer]},2,FALSE),1,0)</f>
        <v/>
      </c>
      <c r="AZ186" s="41">
        <f t="array" ref="AZ186">IF(X186=VLOOKUP(VALUE(X$1),{Questions[#],Questions[Answer]},2,FALSE),1,0)</f>
        <v/>
      </c>
      <c r="BA186" s="41">
        <f t="array" ref="BA186">IF(Y186=VLOOKUP(VALUE(Y$1),{Questions[#],Questions[Answer]},2,FALSE),1,0)</f>
        <v/>
      </c>
      <c r="BB186" s="41">
        <f t="array" ref="BB186">IF(Z186=VLOOKUP(VALUE(Z$1),{Questions[#],Questions[Answer]},2,FALSE),1,0)</f>
        <v/>
      </c>
      <c r="BC186" s="41">
        <f t="array" ref="BC186">IF(AA186=VLOOKUP(VALUE(AA$1),{Questions[#],Questions[Answer]},2,FALSE),1,0)</f>
        <v/>
      </c>
      <c r="BD186" s="41">
        <f t="array" ref="BD186">IF(AB186=VLOOKUP(VALUE(AB$1),{Questions[#],Questions[Answer]},2,FALSE),1,0)</f>
        <v/>
      </c>
      <c r="BE186" s="41">
        <f t="array" ref="BE186">IF(AC186=VLOOKUP(VALUE(AC$1),{Questions[#],Questions[Answer]},2,FALSE),1,0)</f>
        <v/>
      </c>
      <c r="BF186" s="41">
        <f t="array" ref="BF186">IF(AD186=VLOOKUP(VALUE(AD$1),{Questions[#],Questions[Answer]},2,FALSE),1,0)</f>
        <v/>
      </c>
      <c r="BG186" s="41">
        <f t="array" ref="BG186">IF(AE186=VLOOKUP(VALUE(AE$1),{Questions[#],Questions[Answer]},2,FALSE),1,0)</f>
        <v/>
      </c>
      <c r="BH186" s="41">
        <f t="array" ref="BH186">IF(AF186=VLOOKUP(VALUE(AF$1),{Questions[#],Questions[Answer]},2,FALSE),1,0)</f>
        <v/>
      </c>
      <c r="BI186" s="41">
        <f t="array" ref="BI186">IF(AG186=VLOOKUP(VALUE(AG$1),{Questions[#],Questions[Answer]},2,FALSE),1,0)</f>
        <v/>
      </c>
      <c r="BJ186" s="41">
        <f t="array" ref="BJ186">IF(AH186=VLOOKUP(VALUE(AH$1),{Questions[#],Questions[Answer]},2,FALSE),1,0)</f>
        <v/>
      </c>
      <c r="BK186" s="41">
        <f t="array" ref="BK186">IF(AI186=VLOOKUP(VALUE(AI$1),{Questions[#],Questions[Answer]},2,FALSE),1,0)</f>
        <v/>
      </c>
      <c r="BL186" s="41">
        <f t="array" ref="BL186">IF(AJ186=VLOOKUP(VALUE(AJ$1),{Questions[#],Questions[Answer]},2,FALSE),1,0)</f>
        <v/>
      </c>
      <c r="BM186" s="41">
        <f t="array" ref="BM186">IF(AK186=VLOOKUP(VALUE(AK$1),{Questions[#],Questions[Answer]},2,FALSE),1,0)</f>
        <v/>
      </c>
      <c r="BN186" s="41">
        <f t="array" ref="BN186">IF(AL186=VLOOKUP(VALUE(AL$1),{Questions[#],Questions[Answer]},2,FALSE),1,0)</f>
        <v/>
      </c>
    </row>
    <row r="187" ht="22.5" customHeight="1" s="93">
      <c r="A187" s="42" t="n"/>
      <c r="B187" s="41" t="n"/>
      <c r="C187" s="41" t="n"/>
      <c r="D187" s="43" t="n"/>
      <c r="E187" s="41" t="n"/>
      <c r="F187" s="41" t="n"/>
      <c r="G187" s="11">
        <f>SUM(AM187:BN187)</f>
        <v/>
      </c>
      <c r="H187" s="40">
        <f>G187/9</f>
        <v/>
      </c>
      <c r="I187" s="12">
        <f>0.5+(G187/54)</f>
        <v/>
      </c>
      <c r="J187" s="41">
        <f>COUNTIF(K187:AL187,"")</f>
        <v/>
      </c>
      <c r="K187" s="34" t="n"/>
      <c r="L187" s="35" t="n"/>
      <c r="M187" s="35" t="n"/>
      <c r="N187" s="35" t="n"/>
      <c r="O187" s="35" t="n"/>
      <c r="P187" s="35" t="n"/>
      <c r="Q187" s="35" t="n"/>
      <c r="R187" s="35" t="n"/>
      <c r="S187" s="35" t="n"/>
      <c r="T187" s="35" t="n"/>
      <c r="U187" s="35" t="n"/>
      <c r="V187" s="35" t="n"/>
      <c r="W187" s="35" t="n"/>
      <c r="X187" s="41" t="n"/>
      <c r="Y187" s="35" t="n"/>
      <c r="Z187" s="35" t="n"/>
      <c r="AA187" s="35" t="n"/>
      <c r="AB187" s="35" t="n"/>
      <c r="AC187" s="35" t="n"/>
      <c r="AD187" s="35" t="n"/>
      <c r="AE187" s="41" t="n"/>
      <c r="AF187" s="35" t="n"/>
      <c r="AG187" s="35" t="n"/>
      <c r="AH187" s="35" t="n"/>
      <c r="AI187" s="35" t="n"/>
      <c r="AJ187" s="35" t="n"/>
      <c r="AK187" s="35" t="n"/>
      <c r="AL187" s="38" t="n"/>
      <c r="AM187" s="19">
        <f t="array" ref="AM187">IF(K187=VLOOKUP(VALUE(K$1),{Questions[#],Questions[Answer]},2,FALSE),1,0)</f>
        <v/>
      </c>
      <c r="AN187" s="41">
        <f t="array" ref="AN187">IF(L187=VLOOKUP(VALUE(L$1),{Questions[#],Questions[Answer]},2,FALSE),1,0)</f>
        <v/>
      </c>
      <c r="AO187" s="41">
        <f t="array" ref="AO187">IF(M187=VLOOKUP(VALUE(M$1),{Questions[#],Questions[Answer]},2,FALSE),1,0)</f>
        <v/>
      </c>
      <c r="AP187" s="41">
        <f t="array" ref="AP187">IF(N187=VLOOKUP(VALUE(N$1),{Questions[#],Questions[Answer]},2,FALSE),1,0)</f>
        <v/>
      </c>
      <c r="AQ187" s="41">
        <f t="array" ref="AQ187">IF(O187=VLOOKUP(VALUE(O$1),{Questions[#],Questions[Answer]},2,FALSE),1,0)</f>
        <v/>
      </c>
      <c r="AR187" s="41">
        <f t="array" ref="AR187">IF(P187=VLOOKUP(VALUE(P$1),{Questions[#],Questions[Answer]},2,FALSE),1,0)</f>
        <v/>
      </c>
      <c r="AS187" s="41">
        <f t="array" ref="AS187">IF(Q187=VLOOKUP(VALUE(Q$1),{Questions[#],Questions[Answer]},2,FALSE),1,0)</f>
        <v/>
      </c>
      <c r="AT187" s="41">
        <f t="array" ref="AT187">IF(R187=VLOOKUP(VALUE(R$1),{Questions[#],Questions[Answer]},2,FALSE),1,0)</f>
        <v/>
      </c>
      <c r="AU187" s="41">
        <f t="array" ref="AU187">IF(S187=VLOOKUP(VALUE(S$1),{Questions[#],Questions[Answer]},2,FALSE),1,0)</f>
        <v/>
      </c>
      <c r="AV187" s="41">
        <f t="array" ref="AV187">IF(T187=VLOOKUP(VALUE(T$1),{Questions[#],Questions[Answer]},2,FALSE),1,0)</f>
        <v/>
      </c>
      <c r="AW187" s="41">
        <f t="array" ref="AW187">IF(U187=VLOOKUP(VALUE(U$1),{Questions[#],Questions[Answer]},2,FALSE),1,0)</f>
        <v/>
      </c>
      <c r="AX187" s="41">
        <f t="array" ref="AX187">IF(V187=VLOOKUP(VALUE(V$1),{Questions[#],Questions[Answer]},2,FALSE),1,0)</f>
        <v/>
      </c>
      <c r="AY187" s="41">
        <f t="array" ref="AY187">IF(W187=VLOOKUP(VALUE(W$1),{Questions[#],Questions[Answer]},2,FALSE),1,0)</f>
        <v/>
      </c>
      <c r="AZ187" s="41">
        <f t="array" ref="AZ187">IF(X187=VLOOKUP(VALUE(X$1),{Questions[#],Questions[Answer]},2,FALSE),1,0)</f>
        <v/>
      </c>
      <c r="BA187" s="41">
        <f t="array" ref="BA187">IF(Y187=VLOOKUP(VALUE(Y$1),{Questions[#],Questions[Answer]},2,FALSE),1,0)</f>
        <v/>
      </c>
      <c r="BB187" s="41">
        <f t="array" ref="BB187">IF(Z187=VLOOKUP(VALUE(Z$1),{Questions[#],Questions[Answer]},2,FALSE),1,0)</f>
        <v/>
      </c>
      <c r="BC187" s="41">
        <f t="array" ref="BC187">IF(AA187=VLOOKUP(VALUE(AA$1),{Questions[#],Questions[Answer]},2,FALSE),1,0)</f>
        <v/>
      </c>
      <c r="BD187" s="41">
        <f t="array" ref="BD187">IF(AB187=VLOOKUP(VALUE(AB$1),{Questions[#],Questions[Answer]},2,FALSE),1,0)</f>
        <v/>
      </c>
      <c r="BE187" s="41">
        <f t="array" ref="BE187">IF(AC187=VLOOKUP(VALUE(AC$1),{Questions[#],Questions[Answer]},2,FALSE),1,0)</f>
        <v/>
      </c>
      <c r="BF187" s="41">
        <f t="array" ref="BF187">IF(AD187=VLOOKUP(VALUE(AD$1),{Questions[#],Questions[Answer]},2,FALSE),1,0)</f>
        <v/>
      </c>
      <c r="BG187" s="41">
        <f t="array" ref="BG187">IF(AE187=VLOOKUP(VALUE(AE$1),{Questions[#],Questions[Answer]},2,FALSE),1,0)</f>
        <v/>
      </c>
      <c r="BH187" s="41">
        <f t="array" ref="BH187">IF(AF187=VLOOKUP(VALUE(AF$1),{Questions[#],Questions[Answer]},2,FALSE),1,0)</f>
        <v/>
      </c>
      <c r="BI187" s="41">
        <f t="array" ref="BI187">IF(AG187=VLOOKUP(VALUE(AG$1),{Questions[#],Questions[Answer]},2,FALSE),1,0)</f>
        <v/>
      </c>
      <c r="BJ187" s="41">
        <f t="array" ref="BJ187">IF(AH187=VLOOKUP(VALUE(AH$1),{Questions[#],Questions[Answer]},2,FALSE),1,0)</f>
        <v/>
      </c>
      <c r="BK187" s="41">
        <f t="array" ref="BK187">IF(AI187=VLOOKUP(VALUE(AI$1),{Questions[#],Questions[Answer]},2,FALSE),1,0)</f>
        <v/>
      </c>
      <c r="BL187" s="41">
        <f t="array" ref="BL187">IF(AJ187=VLOOKUP(VALUE(AJ$1),{Questions[#],Questions[Answer]},2,FALSE),1,0)</f>
        <v/>
      </c>
      <c r="BM187" s="41">
        <f t="array" ref="BM187">IF(AK187=VLOOKUP(VALUE(AK$1),{Questions[#],Questions[Answer]},2,FALSE),1,0)</f>
        <v/>
      </c>
      <c r="BN187" s="41">
        <f t="array" ref="BN187">IF(AL187=VLOOKUP(VALUE(AL$1),{Questions[#],Questions[Answer]},2,FALSE),1,0)</f>
        <v/>
      </c>
    </row>
    <row r="188" ht="22.5" customHeight="1" s="93">
      <c r="A188" s="42" t="n"/>
      <c r="B188" s="41" t="n"/>
      <c r="C188" s="41" t="n"/>
      <c r="D188" s="43" t="n"/>
      <c r="E188" s="41" t="n"/>
      <c r="F188" s="41" t="n"/>
      <c r="G188" s="11">
        <f>SUM(AM188:BN188)</f>
        <v/>
      </c>
      <c r="H188" s="40">
        <f>G188/9</f>
        <v/>
      </c>
      <c r="I188" s="12">
        <f>0.5+(G188/54)</f>
        <v/>
      </c>
      <c r="J188" s="41">
        <f>COUNTIF(K188:AL188,"")</f>
        <v/>
      </c>
      <c r="K188" s="34" t="n"/>
      <c r="L188" s="35" t="n"/>
      <c r="M188" s="35" t="n"/>
      <c r="N188" s="35" t="n"/>
      <c r="O188" s="35" t="n"/>
      <c r="P188" s="35" t="n"/>
      <c r="Q188" s="35" t="n"/>
      <c r="R188" s="35" t="n"/>
      <c r="S188" s="35" t="n"/>
      <c r="T188" s="35" t="n"/>
      <c r="U188" s="35" t="n"/>
      <c r="V188" s="35" t="n"/>
      <c r="W188" s="35" t="n"/>
      <c r="X188" s="41" t="n"/>
      <c r="Y188" s="35" t="n"/>
      <c r="Z188" s="35" t="n"/>
      <c r="AA188" s="35" t="n"/>
      <c r="AB188" s="35" t="n"/>
      <c r="AC188" s="35" t="n"/>
      <c r="AD188" s="35" t="n"/>
      <c r="AE188" s="41" t="n"/>
      <c r="AF188" s="35" t="n"/>
      <c r="AG188" s="35" t="n"/>
      <c r="AH188" s="35" t="n"/>
      <c r="AI188" s="35" t="n"/>
      <c r="AJ188" s="35" t="n"/>
      <c r="AK188" s="35" t="n"/>
      <c r="AL188" s="38" t="n"/>
      <c r="AM188" s="19">
        <f t="array" ref="AM188">IF(K188=VLOOKUP(VALUE(K$1),{Questions[#],Questions[Answer]},2,FALSE),1,0)</f>
        <v/>
      </c>
      <c r="AN188" s="41">
        <f t="array" ref="AN188">IF(L188=VLOOKUP(VALUE(L$1),{Questions[#],Questions[Answer]},2,FALSE),1,0)</f>
        <v/>
      </c>
      <c r="AO188" s="41">
        <f t="array" ref="AO188">IF(M188=VLOOKUP(VALUE(M$1),{Questions[#],Questions[Answer]},2,FALSE),1,0)</f>
        <v/>
      </c>
      <c r="AP188" s="41">
        <f t="array" ref="AP188">IF(N188=VLOOKUP(VALUE(N$1),{Questions[#],Questions[Answer]},2,FALSE),1,0)</f>
        <v/>
      </c>
      <c r="AQ188" s="41">
        <f t="array" ref="AQ188">IF(O188=VLOOKUP(VALUE(O$1),{Questions[#],Questions[Answer]},2,FALSE),1,0)</f>
        <v/>
      </c>
      <c r="AR188" s="41">
        <f t="array" ref="AR188">IF(P188=VLOOKUP(VALUE(P$1),{Questions[#],Questions[Answer]},2,FALSE),1,0)</f>
        <v/>
      </c>
      <c r="AS188" s="41">
        <f t="array" ref="AS188">IF(Q188=VLOOKUP(VALUE(Q$1),{Questions[#],Questions[Answer]},2,FALSE),1,0)</f>
        <v/>
      </c>
      <c r="AT188" s="41">
        <f t="array" ref="AT188">IF(R188=VLOOKUP(VALUE(R$1),{Questions[#],Questions[Answer]},2,FALSE),1,0)</f>
        <v/>
      </c>
      <c r="AU188" s="41">
        <f t="array" ref="AU188">IF(S188=VLOOKUP(VALUE(S$1),{Questions[#],Questions[Answer]},2,FALSE),1,0)</f>
        <v/>
      </c>
      <c r="AV188" s="41">
        <f t="array" ref="AV188">IF(T188=VLOOKUP(VALUE(T$1),{Questions[#],Questions[Answer]},2,FALSE),1,0)</f>
        <v/>
      </c>
      <c r="AW188" s="41">
        <f t="array" ref="AW188">IF(U188=VLOOKUP(VALUE(U$1),{Questions[#],Questions[Answer]},2,FALSE),1,0)</f>
        <v/>
      </c>
      <c r="AX188" s="41">
        <f t="array" ref="AX188">IF(V188=VLOOKUP(VALUE(V$1),{Questions[#],Questions[Answer]},2,FALSE),1,0)</f>
        <v/>
      </c>
      <c r="AY188" s="41">
        <f t="array" ref="AY188">IF(W188=VLOOKUP(VALUE(W$1),{Questions[#],Questions[Answer]},2,FALSE),1,0)</f>
        <v/>
      </c>
      <c r="AZ188" s="41">
        <f t="array" ref="AZ188">IF(X188=VLOOKUP(VALUE(X$1),{Questions[#],Questions[Answer]},2,FALSE),1,0)</f>
        <v/>
      </c>
      <c r="BA188" s="41">
        <f t="array" ref="BA188">IF(Y188=VLOOKUP(VALUE(Y$1),{Questions[#],Questions[Answer]},2,FALSE),1,0)</f>
        <v/>
      </c>
      <c r="BB188" s="41">
        <f t="array" ref="BB188">IF(Z188=VLOOKUP(VALUE(Z$1),{Questions[#],Questions[Answer]},2,FALSE),1,0)</f>
        <v/>
      </c>
      <c r="BC188" s="41">
        <f t="array" ref="BC188">IF(AA188=VLOOKUP(VALUE(AA$1),{Questions[#],Questions[Answer]},2,FALSE),1,0)</f>
        <v/>
      </c>
      <c r="BD188" s="41">
        <f t="array" ref="BD188">IF(AB188=VLOOKUP(VALUE(AB$1),{Questions[#],Questions[Answer]},2,FALSE),1,0)</f>
        <v/>
      </c>
      <c r="BE188" s="41">
        <f t="array" ref="BE188">IF(AC188=VLOOKUP(VALUE(AC$1),{Questions[#],Questions[Answer]},2,FALSE),1,0)</f>
        <v/>
      </c>
      <c r="BF188" s="41">
        <f t="array" ref="BF188">IF(AD188=VLOOKUP(VALUE(AD$1),{Questions[#],Questions[Answer]},2,FALSE),1,0)</f>
        <v/>
      </c>
      <c r="BG188" s="41">
        <f t="array" ref="BG188">IF(AE188=VLOOKUP(VALUE(AE$1),{Questions[#],Questions[Answer]},2,FALSE),1,0)</f>
        <v/>
      </c>
      <c r="BH188" s="41">
        <f t="array" ref="BH188">IF(AF188=VLOOKUP(VALUE(AF$1),{Questions[#],Questions[Answer]},2,FALSE),1,0)</f>
        <v/>
      </c>
      <c r="BI188" s="41">
        <f t="array" ref="BI188">IF(AG188=VLOOKUP(VALUE(AG$1),{Questions[#],Questions[Answer]},2,FALSE),1,0)</f>
        <v/>
      </c>
      <c r="BJ188" s="41">
        <f t="array" ref="BJ188">IF(AH188=VLOOKUP(VALUE(AH$1),{Questions[#],Questions[Answer]},2,FALSE),1,0)</f>
        <v/>
      </c>
      <c r="BK188" s="41">
        <f t="array" ref="BK188">IF(AI188=VLOOKUP(VALUE(AI$1),{Questions[#],Questions[Answer]},2,FALSE),1,0)</f>
        <v/>
      </c>
      <c r="BL188" s="41">
        <f t="array" ref="BL188">IF(AJ188=VLOOKUP(VALUE(AJ$1),{Questions[#],Questions[Answer]},2,FALSE),1,0)</f>
        <v/>
      </c>
      <c r="BM188" s="41">
        <f t="array" ref="BM188">IF(AK188=VLOOKUP(VALUE(AK$1),{Questions[#],Questions[Answer]},2,FALSE),1,0)</f>
        <v/>
      </c>
      <c r="BN188" s="41">
        <f t="array" ref="BN188">IF(AL188=VLOOKUP(VALUE(AL$1),{Questions[#],Questions[Answer]},2,FALSE),1,0)</f>
        <v/>
      </c>
    </row>
    <row r="189" ht="22.5" customHeight="1" s="93">
      <c r="A189" s="42" t="n"/>
      <c r="B189" s="41" t="n"/>
      <c r="C189" s="41" t="n"/>
      <c r="D189" s="43" t="n"/>
      <c r="E189" s="41" t="n"/>
      <c r="F189" s="41" t="n"/>
      <c r="G189" s="11">
        <f>SUM(AM189:BN189)</f>
        <v/>
      </c>
      <c r="H189" s="40">
        <f>G189/9</f>
        <v/>
      </c>
      <c r="I189" s="12">
        <f>0.5+(G189/54)</f>
        <v/>
      </c>
      <c r="J189" s="41">
        <f>COUNTIF(K189:AL189,"")</f>
        <v/>
      </c>
      <c r="K189" s="34" t="n"/>
      <c r="L189" s="35" t="n"/>
      <c r="M189" s="35" t="n"/>
      <c r="N189" s="35" t="n"/>
      <c r="O189" s="35" t="n"/>
      <c r="P189" s="35" t="n"/>
      <c r="Q189" s="35" t="n"/>
      <c r="R189" s="35" t="n"/>
      <c r="S189" s="35" t="n"/>
      <c r="T189" s="35" t="n"/>
      <c r="U189" s="35" t="n"/>
      <c r="V189" s="35" t="n"/>
      <c r="W189" s="35" t="n"/>
      <c r="X189" s="41" t="n"/>
      <c r="Y189" s="35" t="n"/>
      <c r="Z189" s="35" t="n"/>
      <c r="AA189" s="35" t="n"/>
      <c r="AB189" s="35" t="n"/>
      <c r="AC189" s="35" t="n"/>
      <c r="AD189" s="35" t="n"/>
      <c r="AE189" s="41" t="n"/>
      <c r="AF189" s="35" t="n"/>
      <c r="AG189" s="35" t="n"/>
      <c r="AH189" s="35" t="n"/>
      <c r="AI189" s="35" t="n"/>
      <c r="AJ189" s="35" t="n"/>
      <c r="AK189" s="35" t="n"/>
      <c r="AL189" s="38" t="n"/>
      <c r="AM189" s="19">
        <f t="array" ref="AM189">IF(K189=VLOOKUP(VALUE(K$1),{Questions[#],Questions[Answer]},2,FALSE),1,0)</f>
        <v/>
      </c>
      <c r="AN189" s="41">
        <f t="array" ref="AN189">IF(L189=VLOOKUP(VALUE(L$1),{Questions[#],Questions[Answer]},2,FALSE),1,0)</f>
        <v/>
      </c>
      <c r="AO189" s="41">
        <f t="array" ref="AO189">IF(M189=VLOOKUP(VALUE(M$1),{Questions[#],Questions[Answer]},2,FALSE),1,0)</f>
        <v/>
      </c>
      <c r="AP189" s="41">
        <f t="array" ref="AP189">IF(N189=VLOOKUP(VALUE(N$1),{Questions[#],Questions[Answer]},2,FALSE),1,0)</f>
        <v/>
      </c>
      <c r="AQ189" s="41">
        <f t="array" ref="AQ189">IF(O189=VLOOKUP(VALUE(O$1),{Questions[#],Questions[Answer]},2,FALSE),1,0)</f>
        <v/>
      </c>
      <c r="AR189" s="41">
        <f t="array" ref="AR189">IF(P189=VLOOKUP(VALUE(P$1),{Questions[#],Questions[Answer]},2,FALSE),1,0)</f>
        <v/>
      </c>
      <c r="AS189" s="41">
        <f t="array" ref="AS189">IF(Q189=VLOOKUP(VALUE(Q$1),{Questions[#],Questions[Answer]},2,FALSE),1,0)</f>
        <v/>
      </c>
      <c r="AT189" s="41">
        <f t="array" ref="AT189">IF(R189=VLOOKUP(VALUE(R$1),{Questions[#],Questions[Answer]},2,FALSE),1,0)</f>
        <v/>
      </c>
      <c r="AU189" s="41">
        <f t="array" ref="AU189">IF(S189=VLOOKUP(VALUE(S$1),{Questions[#],Questions[Answer]},2,FALSE),1,0)</f>
        <v/>
      </c>
      <c r="AV189" s="41">
        <f t="array" ref="AV189">IF(T189=VLOOKUP(VALUE(T$1),{Questions[#],Questions[Answer]},2,FALSE),1,0)</f>
        <v/>
      </c>
      <c r="AW189" s="41">
        <f t="array" ref="AW189">IF(U189=VLOOKUP(VALUE(U$1),{Questions[#],Questions[Answer]},2,FALSE),1,0)</f>
        <v/>
      </c>
      <c r="AX189" s="41">
        <f t="array" ref="AX189">IF(V189=VLOOKUP(VALUE(V$1),{Questions[#],Questions[Answer]},2,FALSE),1,0)</f>
        <v/>
      </c>
      <c r="AY189" s="41">
        <f t="array" ref="AY189">IF(W189=VLOOKUP(VALUE(W$1),{Questions[#],Questions[Answer]},2,FALSE),1,0)</f>
        <v/>
      </c>
      <c r="AZ189" s="41">
        <f t="array" ref="AZ189">IF(X189=VLOOKUP(VALUE(X$1),{Questions[#],Questions[Answer]},2,FALSE),1,0)</f>
        <v/>
      </c>
      <c r="BA189" s="41">
        <f t="array" ref="BA189">IF(Y189=VLOOKUP(VALUE(Y$1),{Questions[#],Questions[Answer]},2,FALSE),1,0)</f>
        <v/>
      </c>
      <c r="BB189" s="41">
        <f t="array" ref="BB189">IF(Z189=VLOOKUP(VALUE(Z$1),{Questions[#],Questions[Answer]},2,FALSE),1,0)</f>
        <v/>
      </c>
      <c r="BC189" s="41">
        <f t="array" ref="BC189">IF(AA189=VLOOKUP(VALUE(AA$1),{Questions[#],Questions[Answer]},2,FALSE),1,0)</f>
        <v/>
      </c>
      <c r="BD189" s="41">
        <f t="array" ref="BD189">IF(AB189=VLOOKUP(VALUE(AB$1),{Questions[#],Questions[Answer]},2,FALSE),1,0)</f>
        <v/>
      </c>
      <c r="BE189" s="41">
        <f t="array" ref="BE189">IF(AC189=VLOOKUP(VALUE(AC$1),{Questions[#],Questions[Answer]},2,FALSE),1,0)</f>
        <v/>
      </c>
      <c r="BF189" s="41">
        <f t="array" ref="BF189">IF(AD189=VLOOKUP(VALUE(AD$1),{Questions[#],Questions[Answer]},2,FALSE),1,0)</f>
        <v/>
      </c>
      <c r="BG189" s="41">
        <f t="array" ref="BG189">IF(AE189=VLOOKUP(VALUE(AE$1),{Questions[#],Questions[Answer]},2,FALSE),1,0)</f>
        <v/>
      </c>
      <c r="BH189" s="41">
        <f t="array" ref="BH189">IF(AF189=VLOOKUP(VALUE(AF$1),{Questions[#],Questions[Answer]},2,FALSE),1,0)</f>
        <v/>
      </c>
      <c r="BI189" s="41">
        <f t="array" ref="BI189">IF(AG189=VLOOKUP(VALUE(AG$1),{Questions[#],Questions[Answer]},2,FALSE),1,0)</f>
        <v/>
      </c>
      <c r="BJ189" s="41">
        <f t="array" ref="BJ189">IF(AH189=VLOOKUP(VALUE(AH$1),{Questions[#],Questions[Answer]},2,FALSE),1,0)</f>
        <v/>
      </c>
      <c r="BK189" s="41">
        <f t="array" ref="BK189">IF(AI189=VLOOKUP(VALUE(AI$1),{Questions[#],Questions[Answer]},2,FALSE),1,0)</f>
        <v/>
      </c>
      <c r="BL189" s="41">
        <f t="array" ref="BL189">IF(AJ189=VLOOKUP(VALUE(AJ$1),{Questions[#],Questions[Answer]},2,FALSE),1,0)</f>
        <v/>
      </c>
      <c r="BM189" s="41">
        <f t="array" ref="BM189">IF(AK189=VLOOKUP(VALUE(AK$1),{Questions[#],Questions[Answer]},2,FALSE),1,0)</f>
        <v/>
      </c>
      <c r="BN189" s="41">
        <f t="array" ref="BN189">IF(AL189=VLOOKUP(VALUE(AL$1),{Questions[#],Questions[Answer]},2,FALSE),1,0)</f>
        <v/>
      </c>
    </row>
    <row r="190" ht="22.5" customHeight="1" s="93">
      <c r="A190" s="42" t="n"/>
      <c r="B190" s="41" t="n"/>
      <c r="C190" s="41" t="n"/>
      <c r="D190" s="43" t="n"/>
      <c r="E190" s="41" t="n"/>
      <c r="F190" s="41" t="n"/>
      <c r="G190" s="11">
        <f>SUM(AM190:BN190)</f>
        <v/>
      </c>
      <c r="H190" s="40">
        <f>G190/9</f>
        <v/>
      </c>
      <c r="I190" s="12">
        <f>0.5+(G190/54)</f>
        <v/>
      </c>
      <c r="J190" s="41">
        <f>COUNTIF(K190:AL190,"")</f>
        <v/>
      </c>
      <c r="K190" s="34" t="n"/>
      <c r="L190" s="35" t="n"/>
      <c r="M190" s="35" t="n"/>
      <c r="N190" s="35" t="n"/>
      <c r="O190" s="35" t="n"/>
      <c r="P190" s="35" t="n"/>
      <c r="Q190" s="35" t="n"/>
      <c r="R190" s="35" t="n"/>
      <c r="S190" s="35" t="n"/>
      <c r="T190" s="35" t="n"/>
      <c r="U190" s="35" t="n"/>
      <c r="V190" s="35" t="n"/>
      <c r="W190" s="35" t="n"/>
      <c r="X190" s="41" t="n"/>
      <c r="Y190" s="35" t="n"/>
      <c r="Z190" s="35" t="n"/>
      <c r="AA190" s="35" t="n"/>
      <c r="AB190" s="35" t="n"/>
      <c r="AC190" s="35" t="n"/>
      <c r="AD190" s="35" t="n"/>
      <c r="AE190" s="41" t="n"/>
      <c r="AF190" s="35" t="n"/>
      <c r="AG190" s="35" t="n"/>
      <c r="AH190" s="35" t="n"/>
      <c r="AI190" s="35" t="n"/>
      <c r="AJ190" s="35" t="n"/>
      <c r="AK190" s="35" t="n"/>
      <c r="AL190" s="38" t="n"/>
      <c r="AM190" s="19">
        <f t="array" ref="AM190">IF(K190=VLOOKUP(VALUE(K$1),{Questions[#],Questions[Answer]},2,FALSE),1,0)</f>
        <v/>
      </c>
      <c r="AN190" s="41">
        <f t="array" ref="AN190">IF(L190=VLOOKUP(VALUE(L$1),{Questions[#],Questions[Answer]},2,FALSE),1,0)</f>
        <v/>
      </c>
      <c r="AO190" s="41">
        <f t="array" ref="AO190">IF(M190=VLOOKUP(VALUE(M$1),{Questions[#],Questions[Answer]},2,FALSE),1,0)</f>
        <v/>
      </c>
      <c r="AP190" s="41">
        <f t="array" ref="AP190">IF(N190=VLOOKUP(VALUE(N$1),{Questions[#],Questions[Answer]},2,FALSE),1,0)</f>
        <v/>
      </c>
      <c r="AQ190" s="41">
        <f t="array" ref="AQ190">IF(O190=VLOOKUP(VALUE(O$1),{Questions[#],Questions[Answer]},2,FALSE),1,0)</f>
        <v/>
      </c>
      <c r="AR190" s="41">
        <f t="array" ref="AR190">IF(P190=VLOOKUP(VALUE(P$1),{Questions[#],Questions[Answer]},2,FALSE),1,0)</f>
        <v/>
      </c>
      <c r="AS190" s="41">
        <f t="array" ref="AS190">IF(Q190=VLOOKUP(VALUE(Q$1),{Questions[#],Questions[Answer]},2,FALSE),1,0)</f>
        <v/>
      </c>
      <c r="AT190" s="41">
        <f t="array" ref="AT190">IF(R190=VLOOKUP(VALUE(R$1),{Questions[#],Questions[Answer]},2,FALSE),1,0)</f>
        <v/>
      </c>
      <c r="AU190" s="41">
        <f t="array" ref="AU190">IF(S190=VLOOKUP(VALUE(S$1),{Questions[#],Questions[Answer]},2,FALSE),1,0)</f>
        <v/>
      </c>
      <c r="AV190" s="41">
        <f t="array" ref="AV190">IF(T190=VLOOKUP(VALUE(T$1),{Questions[#],Questions[Answer]},2,FALSE),1,0)</f>
        <v/>
      </c>
      <c r="AW190" s="41">
        <f t="array" ref="AW190">IF(U190=VLOOKUP(VALUE(U$1),{Questions[#],Questions[Answer]},2,FALSE),1,0)</f>
        <v/>
      </c>
      <c r="AX190" s="41">
        <f t="array" ref="AX190">IF(V190=VLOOKUP(VALUE(V$1),{Questions[#],Questions[Answer]},2,FALSE),1,0)</f>
        <v/>
      </c>
      <c r="AY190" s="41">
        <f t="array" ref="AY190">IF(W190=VLOOKUP(VALUE(W$1),{Questions[#],Questions[Answer]},2,FALSE),1,0)</f>
        <v/>
      </c>
      <c r="AZ190" s="41">
        <f t="array" ref="AZ190">IF(X190=VLOOKUP(VALUE(X$1),{Questions[#],Questions[Answer]},2,FALSE),1,0)</f>
        <v/>
      </c>
      <c r="BA190" s="41">
        <f t="array" ref="BA190">IF(Y190=VLOOKUP(VALUE(Y$1),{Questions[#],Questions[Answer]},2,FALSE),1,0)</f>
        <v/>
      </c>
      <c r="BB190" s="41">
        <f t="array" ref="BB190">IF(Z190=VLOOKUP(VALUE(Z$1),{Questions[#],Questions[Answer]},2,FALSE),1,0)</f>
        <v/>
      </c>
      <c r="BC190" s="41">
        <f t="array" ref="BC190">IF(AA190=VLOOKUP(VALUE(AA$1),{Questions[#],Questions[Answer]},2,FALSE),1,0)</f>
        <v/>
      </c>
      <c r="BD190" s="41">
        <f t="array" ref="BD190">IF(AB190=VLOOKUP(VALUE(AB$1),{Questions[#],Questions[Answer]},2,FALSE),1,0)</f>
        <v/>
      </c>
      <c r="BE190" s="41">
        <f t="array" ref="BE190">IF(AC190=VLOOKUP(VALUE(AC$1),{Questions[#],Questions[Answer]},2,FALSE),1,0)</f>
        <v/>
      </c>
      <c r="BF190" s="41">
        <f t="array" ref="BF190">IF(AD190=VLOOKUP(VALUE(AD$1),{Questions[#],Questions[Answer]},2,FALSE),1,0)</f>
        <v/>
      </c>
      <c r="BG190" s="41">
        <f t="array" ref="BG190">IF(AE190=VLOOKUP(VALUE(AE$1),{Questions[#],Questions[Answer]},2,FALSE),1,0)</f>
        <v/>
      </c>
      <c r="BH190" s="41">
        <f t="array" ref="BH190">IF(AF190=VLOOKUP(VALUE(AF$1),{Questions[#],Questions[Answer]},2,FALSE),1,0)</f>
        <v/>
      </c>
      <c r="BI190" s="41">
        <f t="array" ref="BI190">IF(AG190=VLOOKUP(VALUE(AG$1),{Questions[#],Questions[Answer]},2,FALSE),1,0)</f>
        <v/>
      </c>
      <c r="BJ190" s="41">
        <f t="array" ref="BJ190">IF(AH190=VLOOKUP(VALUE(AH$1),{Questions[#],Questions[Answer]},2,FALSE),1,0)</f>
        <v/>
      </c>
      <c r="BK190" s="41">
        <f t="array" ref="BK190">IF(AI190=VLOOKUP(VALUE(AI$1),{Questions[#],Questions[Answer]},2,FALSE),1,0)</f>
        <v/>
      </c>
      <c r="BL190" s="41">
        <f t="array" ref="BL190">IF(AJ190=VLOOKUP(VALUE(AJ$1),{Questions[#],Questions[Answer]},2,FALSE),1,0)</f>
        <v/>
      </c>
      <c r="BM190" s="41">
        <f t="array" ref="BM190">IF(AK190=VLOOKUP(VALUE(AK$1),{Questions[#],Questions[Answer]},2,FALSE),1,0)</f>
        <v/>
      </c>
      <c r="BN190" s="41">
        <f t="array" ref="BN190">IF(AL190=VLOOKUP(VALUE(AL$1),{Questions[#],Questions[Answer]},2,FALSE),1,0)</f>
        <v/>
      </c>
    </row>
    <row r="191" ht="22.5" customHeight="1" s="93">
      <c r="A191" s="42" t="n"/>
      <c r="B191" s="41" t="n"/>
      <c r="C191" s="41" t="n"/>
      <c r="D191" s="43" t="n"/>
      <c r="E191" s="41" t="n"/>
      <c r="F191" s="41" t="n"/>
      <c r="G191" s="11">
        <f>SUM(AM191:BN191)</f>
        <v/>
      </c>
      <c r="H191" s="40">
        <f>G191/9</f>
        <v/>
      </c>
      <c r="I191" s="12">
        <f>0.5+(G191/54)</f>
        <v/>
      </c>
      <c r="J191" s="41">
        <f>COUNTIF(K191:AL191,"")</f>
        <v/>
      </c>
      <c r="K191" s="34" t="n"/>
      <c r="L191" s="35" t="n"/>
      <c r="M191" s="35" t="n"/>
      <c r="N191" s="35" t="n"/>
      <c r="O191" s="35" t="n"/>
      <c r="P191" s="35" t="n"/>
      <c r="Q191" s="35" t="n"/>
      <c r="R191" s="35" t="n"/>
      <c r="S191" s="35" t="n"/>
      <c r="T191" s="35" t="n"/>
      <c r="U191" s="35" t="n"/>
      <c r="V191" s="35" t="n"/>
      <c r="W191" s="35" t="n"/>
      <c r="X191" s="41" t="n"/>
      <c r="Y191" s="35" t="n"/>
      <c r="Z191" s="35" t="n"/>
      <c r="AA191" s="35" t="n"/>
      <c r="AB191" s="35" t="n"/>
      <c r="AC191" s="35" t="n"/>
      <c r="AD191" s="35" t="n"/>
      <c r="AE191" s="41" t="n"/>
      <c r="AF191" s="35" t="n"/>
      <c r="AG191" s="35" t="n"/>
      <c r="AH191" s="35" t="n"/>
      <c r="AI191" s="35" t="n"/>
      <c r="AJ191" s="35" t="n"/>
      <c r="AK191" s="35" t="n"/>
      <c r="AL191" s="38" t="n"/>
      <c r="AM191" s="19">
        <f t="array" ref="AM191">IF(K191=VLOOKUP(VALUE(K$1),{Questions[#],Questions[Answer]},2,FALSE),1,0)</f>
        <v/>
      </c>
      <c r="AN191" s="41">
        <f t="array" ref="AN191">IF(L191=VLOOKUP(VALUE(L$1),{Questions[#],Questions[Answer]},2,FALSE),1,0)</f>
        <v/>
      </c>
      <c r="AO191" s="41">
        <f t="array" ref="AO191">IF(M191=VLOOKUP(VALUE(M$1),{Questions[#],Questions[Answer]},2,FALSE),1,0)</f>
        <v/>
      </c>
      <c r="AP191" s="41">
        <f t="array" ref="AP191">IF(N191=VLOOKUP(VALUE(N$1),{Questions[#],Questions[Answer]},2,FALSE),1,0)</f>
        <v/>
      </c>
      <c r="AQ191" s="41">
        <f t="array" ref="AQ191">IF(O191=VLOOKUP(VALUE(O$1),{Questions[#],Questions[Answer]},2,FALSE),1,0)</f>
        <v/>
      </c>
      <c r="AR191" s="41">
        <f t="array" ref="AR191">IF(P191=VLOOKUP(VALUE(P$1),{Questions[#],Questions[Answer]},2,FALSE),1,0)</f>
        <v/>
      </c>
      <c r="AS191" s="41">
        <f t="array" ref="AS191">IF(Q191=VLOOKUP(VALUE(Q$1),{Questions[#],Questions[Answer]},2,FALSE),1,0)</f>
        <v/>
      </c>
      <c r="AT191" s="41">
        <f t="array" ref="AT191">IF(R191=VLOOKUP(VALUE(R$1),{Questions[#],Questions[Answer]},2,FALSE),1,0)</f>
        <v/>
      </c>
      <c r="AU191" s="41">
        <f t="array" ref="AU191">IF(S191=VLOOKUP(VALUE(S$1),{Questions[#],Questions[Answer]},2,FALSE),1,0)</f>
        <v/>
      </c>
      <c r="AV191" s="41">
        <f t="array" ref="AV191">IF(T191=VLOOKUP(VALUE(T$1),{Questions[#],Questions[Answer]},2,FALSE),1,0)</f>
        <v/>
      </c>
      <c r="AW191" s="41">
        <f t="array" ref="AW191">IF(U191=VLOOKUP(VALUE(U$1),{Questions[#],Questions[Answer]},2,FALSE),1,0)</f>
        <v/>
      </c>
      <c r="AX191" s="41">
        <f t="array" ref="AX191">IF(V191=VLOOKUP(VALUE(V$1),{Questions[#],Questions[Answer]},2,FALSE),1,0)</f>
        <v/>
      </c>
      <c r="AY191" s="41">
        <f t="array" ref="AY191">IF(W191=VLOOKUP(VALUE(W$1),{Questions[#],Questions[Answer]},2,FALSE),1,0)</f>
        <v/>
      </c>
      <c r="AZ191" s="41">
        <f t="array" ref="AZ191">IF(X191=VLOOKUP(VALUE(X$1),{Questions[#],Questions[Answer]},2,FALSE),1,0)</f>
        <v/>
      </c>
      <c r="BA191" s="41">
        <f t="array" ref="BA191">IF(Y191=VLOOKUP(VALUE(Y$1),{Questions[#],Questions[Answer]},2,FALSE),1,0)</f>
        <v/>
      </c>
      <c r="BB191" s="41">
        <f t="array" ref="BB191">IF(Z191=VLOOKUP(VALUE(Z$1),{Questions[#],Questions[Answer]},2,FALSE),1,0)</f>
        <v/>
      </c>
      <c r="BC191" s="41">
        <f t="array" ref="BC191">IF(AA191=VLOOKUP(VALUE(AA$1),{Questions[#],Questions[Answer]},2,FALSE),1,0)</f>
        <v/>
      </c>
      <c r="BD191" s="41">
        <f t="array" ref="BD191">IF(AB191=VLOOKUP(VALUE(AB$1),{Questions[#],Questions[Answer]},2,FALSE),1,0)</f>
        <v/>
      </c>
      <c r="BE191" s="41">
        <f t="array" ref="BE191">IF(AC191=VLOOKUP(VALUE(AC$1),{Questions[#],Questions[Answer]},2,FALSE),1,0)</f>
        <v/>
      </c>
      <c r="BF191" s="41">
        <f t="array" ref="BF191">IF(AD191=VLOOKUP(VALUE(AD$1),{Questions[#],Questions[Answer]},2,FALSE),1,0)</f>
        <v/>
      </c>
      <c r="BG191" s="41">
        <f t="array" ref="BG191">IF(AE191=VLOOKUP(VALUE(AE$1),{Questions[#],Questions[Answer]},2,FALSE),1,0)</f>
        <v/>
      </c>
      <c r="BH191" s="41">
        <f t="array" ref="BH191">IF(AF191=VLOOKUP(VALUE(AF$1),{Questions[#],Questions[Answer]},2,FALSE),1,0)</f>
        <v/>
      </c>
      <c r="BI191" s="41">
        <f t="array" ref="BI191">IF(AG191=VLOOKUP(VALUE(AG$1),{Questions[#],Questions[Answer]},2,FALSE),1,0)</f>
        <v/>
      </c>
      <c r="BJ191" s="41">
        <f t="array" ref="BJ191">IF(AH191=VLOOKUP(VALUE(AH$1),{Questions[#],Questions[Answer]},2,FALSE),1,0)</f>
        <v/>
      </c>
      <c r="BK191" s="41">
        <f t="array" ref="BK191">IF(AI191=VLOOKUP(VALUE(AI$1),{Questions[#],Questions[Answer]},2,FALSE),1,0)</f>
        <v/>
      </c>
      <c r="BL191" s="41">
        <f t="array" ref="BL191">IF(AJ191=VLOOKUP(VALUE(AJ$1),{Questions[#],Questions[Answer]},2,FALSE),1,0)</f>
        <v/>
      </c>
      <c r="BM191" s="41">
        <f t="array" ref="BM191">IF(AK191=VLOOKUP(VALUE(AK$1),{Questions[#],Questions[Answer]},2,FALSE),1,0)</f>
        <v/>
      </c>
      <c r="BN191" s="41">
        <f t="array" ref="BN191">IF(AL191=VLOOKUP(VALUE(AL$1),{Questions[#],Questions[Answer]},2,FALSE),1,0)</f>
        <v/>
      </c>
    </row>
    <row r="192" ht="22.5" customHeight="1" s="93">
      <c r="A192" s="42" t="n"/>
      <c r="B192" s="41" t="n"/>
      <c r="C192" s="41" t="n"/>
      <c r="D192" s="43" t="n"/>
      <c r="E192" s="41" t="n"/>
      <c r="F192" s="41" t="n"/>
      <c r="G192" s="11">
        <f>SUM(AM192:BN192)</f>
        <v/>
      </c>
      <c r="H192" s="40">
        <f>G192/9</f>
        <v/>
      </c>
      <c r="I192" s="12">
        <f>0.5+(G192/54)</f>
        <v/>
      </c>
      <c r="J192" s="41">
        <f>COUNTIF(K192:AL192,"")</f>
        <v/>
      </c>
      <c r="K192" s="34" t="n"/>
      <c r="L192" s="35" t="n"/>
      <c r="M192" s="35" t="n"/>
      <c r="N192" s="35" t="n"/>
      <c r="O192" s="35" t="n"/>
      <c r="P192" s="35" t="n"/>
      <c r="Q192" s="35" t="n"/>
      <c r="R192" s="35" t="n"/>
      <c r="S192" s="35" t="n"/>
      <c r="T192" s="35" t="n"/>
      <c r="U192" s="35" t="n"/>
      <c r="V192" s="35" t="n"/>
      <c r="W192" s="35" t="n"/>
      <c r="X192" s="41" t="n"/>
      <c r="Y192" s="35" t="n"/>
      <c r="Z192" s="35" t="n"/>
      <c r="AA192" s="35" t="n"/>
      <c r="AB192" s="35" t="n"/>
      <c r="AC192" s="35" t="n"/>
      <c r="AD192" s="35" t="n"/>
      <c r="AE192" s="41" t="n"/>
      <c r="AF192" s="35" t="n"/>
      <c r="AG192" s="35" t="n"/>
      <c r="AH192" s="35" t="n"/>
      <c r="AI192" s="35" t="n"/>
      <c r="AJ192" s="35" t="n"/>
      <c r="AK192" s="35" t="n"/>
      <c r="AL192" s="38" t="n"/>
      <c r="AM192" s="19">
        <f t="array" ref="AM192">IF(K192=VLOOKUP(VALUE(K$1),{Questions[#],Questions[Answer]},2,FALSE),1,0)</f>
        <v/>
      </c>
      <c r="AN192" s="41">
        <f t="array" ref="AN192">IF(L192=VLOOKUP(VALUE(L$1),{Questions[#],Questions[Answer]},2,FALSE),1,0)</f>
        <v/>
      </c>
      <c r="AO192" s="41">
        <f t="array" ref="AO192">IF(M192=VLOOKUP(VALUE(M$1),{Questions[#],Questions[Answer]},2,FALSE),1,0)</f>
        <v/>
      </c>
      <c r="AP192" s="41">
        <f t="array" ref="AP192">IF(N192=VLOOKUP(VALUE(N$1),{Questions[#],Questions[Answer]},2,FALSE),1,0)</f>
        <v/>
      </c>
      <c r="AQ192" s="41">
        <f t="array" ref="AQ192">IF(O192=VLOOKUP(VALUE(O$1),{Questions[#],Questions[Answer]},2,FALSE),1,0)</f>
        <v/>
      </c>
      <c r="AR192" s="41">
        <f t="array" ref="AR192">IF(P192=VLOOKUP(VALUE(P$1),{Questions[#],Questions[Answer]},2,FALSE),1,0)</f>
        <v/>
      </c>
      <c r="AS192" s="41">
        <f t="array" ref="AS192">IF(Q192=VLOOKUP(VALUE(Q$1),{Questions[#],Questions[Answer]},2,FALSE),1,0)</f>
        <v/>
      </c>
      <c r="AT192" s="41">
        <f t="array" ref="AT192">IF(R192=VLOOKUP(VALUE(R$1),{Questions[#],Questions[Answer]},2,FALSE),1,0)</f>
        <v/>
      </c>
      <c r="AU192" s="41">
        <f t="array" ref="AU192">IF(S192=VLOOKUP(VALUE(S$1),{Questions[#],Questions[Answer]},2,FALSE),1,0)</f>
        <v/>
      </c>
      <c r="AV192" s="41">
        <f t="array" ref="AV192">IF(T192=VLOOKUP(VALUE(T$1),{Questions[#],Questions[Answer]},2,FALSE),1,0)</f>
        <v/>
      </c>
      <c r="AW192" s="41">
        <f t="array" ref="AW192">IF(U192=VLOOKUP(VALUE(U$1),{Questions[#],Questions[Answer]},2,FALSE),1,0)</f>
        <v/>
      </c>
      <c r="AX192" s="41">
        <f t="array" ref="AX192">IF(V192=VLOOKUP(VALUE(V$1),{Questions[#],Questions[Answer]},2,FALSE),1,0)</f>
        <v/>
      </c>
      <c r="AY192" s="41">
        <f t="array" ref="AY192">IF(W192=VLOOKUP(VALUE(W$1),{Questions[#],Questions[Answer]},2,FALSE),1,0)</f>
        <v/>
      </c>
      <c r="AZ192" s="41">
        <f t="array" ref="AZ192">IF(X192=VLOOKUP(VALUE(X$1),{Questions[#],Questions[Answer]},2,FALSE),1,0)</f>
        <v/>
      </c>
      <c r="BA192" s="41">
        <f t="array" ref="BA192">IF(Y192=VLOOKUP(VALUE(Y$1),{Questions[#],Questions[Answer]},2,FALSE),1,0)</f>
        <v/>
      </c>
      <c r="BB192" s="41">
        <f t="array" ref="BB192">IF(Z192=VLOOKUP(VALUE(Z$1),{Questions[#],Questions[Answer]},2,FALSE),1,0)</f>
        <v/>
      </c>
      <c r="BC192" s="41">
        <f t="array" ref="BC192">IF(AA192=VLOOKUP(VALUE(AA$1),{Questions[#],Questions[Answer]},2,FALSE),1,0)</f>
        <v/>
      </c>
      <c r="BD192" s="41">
        <f t="array" ref="BD192">IF(AB192=VLOOKUP(VALUE(AB$1),{Questions[#],Questions[Answer]},2,FALSE),1,0)</f>
        <v/>
      </c>
      <c r="BE192" s="41">
        <f t="array" ref="BE192">IF(AC192=VLOOKUP(VALUE(AC$1),{Questions[#],Questions[Answer]},2,FALSE),1,0)</f>
        <v/>
      </c>
      <c r="BF192" s="41">
        <f t="array" ref="BF192">IF(AD192=VLOOKUP(VALUE(AD$1),{Questions[#],Questions[Answer]},2,FALSE),1,0)</f>
        <v/>
      </c>
      <c r="BG192" s="41">
        <f t="array" ref="BG192">IF(AE192=VLOOKUP(VALUE(AE$1),{Questions[#],Questions[Answer]},2,FALSE),1,0)</f>
        <v/>
      </c>
      <c r="BH192" s="41">
        <f t="array" ref="BH192">IF(AF192=VLOOKUP(VALUE(AF$1),{Questions[#],Questions[Answer]},2,FALSE),1,0)</f>
        <v/>
      </c>
      <c r="BI192" s="41">
        <f t="array" ref="BI192">IF(AG192=VLOOKUP(VALUE(AG$1),{Questions[#],Questions[Answer]},2,FALSE),1,0)</f>
        <v/>
      </c>
      <c r="BJ192" s="41">
        <f t="array" ref="BJ192">IF(AH192=VLOOKUP(VALUE(AH$1),{Questions[#],Questions[Answer]},2,FALSE),1,0)</f>
        <v/>
      </c>
      <c r="BK192" s="41">
        <f t="array" ref="BK192">IF(AI192=VLOOKUP(VALUE(AI$1),{Questions[#],Questions[Answer]},2,FALSE),1,0)</f>
        <v/>
      </c>
      <c r="BL192" s="41">
        <f t="array" ref="BL192">IF(AJ192=VLOOKUP(VALUE(AJ$1),{Questions[#],Questions[Answer]},2,FALSE),1,0)</f>
        <v/>
      </c>
      <c r="BM192" s="41">
        <f t="array" ref="BM192">IF(AK192=VLOOKUP(VALUE(AK$1),{Questions[#],Questions[Answer]},2,FALSE),1,0)</f>
        <v/>
      </c>
      <c r="BN192" s="41">
        <f t="array" ref="BN192">IF(AL192=VLOOKUP(VALUE(AL$1),{Questions[#],Questions[Answer]},2,FALSE),1,0)</f>
        <v/>
      </c>
    </row>
    <row r="193" ht="22.5" customHeight="1" s="93">
      <c r="A193" s="42" t="n"/>
      <c r="B193" s="41" t="n"/>
      <c r="C193" s="41" t="n"/>
      <c r="D193" s="43" t="n"/>
      <c r="E193" s="41" t="n"/>
      <c r="F193" s="41" t="n"/>
      <c r="G193" s="11">
        <f>SUM(AM193:BN193)</f>
        <v/>
      </c>
      <c r="H193" s="40">
        <f>G193/9</f>
        <v/>
      </c>
      <c r="I193" s="12">
        <f>0.5+(G193/54)</f>
        <v/>
      </c>
      <c r="J193" s="41">
        <f>COUNTIF(K193:AL193,"")</f>
        <v/>
      </c>
      <c r="K193" s="34" t="n"/>
      <c r="L193" s="35" t="n"/>
      <c r="M193" s="35" t="n"/>
      <c r="N193" s="35" t="n"/>
      <c r="O193" s="35" t="n"/>
      <c r="P193" s="35" t="n"/>
      <c r="Q193" s="35" t="n"/>
      <c r="R193" s="35" t="n"/>
      <c r="S193" s="35" t="n"/>
      <c r="T193" s="35" t="n"/>
      <c r="U193" s="35" t="n"/>
      <c r="V193" s="35" t="n"/>
      <c r="W193" s="35" t="n"/>
      <c r="X193" s="41" t="n"/>
      <c r="Y193" s="35" t="n"/>
      <c r="Z193" s="35" t="n"/>
      <c r="AA193" s="35" t="n"/>
      <c r="AB193" s="35" t="n"/>
      <c r="AC193" s="35" t="n"/>
      <c r="AD193" s="35" t="n"/>
      <c r="AE193" s="41" t="n"/>
      <c r="AF193" s="35" t="n"/>
      <c r="AG193" s="35" t="n"/>
      <c r="AH193" s="35" t="n"/>
      <c r="AI193" s="35" t="n"/>
      <c r="AJ193" s="35" t="n"/>
      <c r="AK193" s="35" t="n"/>
      <c r="AL193" s="38" t="n"/>
      <c r="AM193" s="19">
        <f t="array" ref="AM193">IF(K193=VLOOKUP(VALUE(K$1),{Questions[#],Questions[Answer]},2,FALSE),1,0)</f>
        <v/>
      </c>
      <c r="AN193" s="41">
        <f t="array" ref="AN193">IF(L193=VLOOKUP(VALUE(L$1),{Questions[#],Questions[Answer]},2,FALSE),1,0)</f>
        <v/>
      </c>
      <c r="AO193" s="41">
        <f t="array" ref="AO193">IF(M193=VLOOKUP(VALUE(M$1),{Questions[#],Questions[Answer]},2,FALSE),1,0)</f>
        <v/>
      </c>
      <c r="AP193" s="41">
        <f t="array" ref="AP193">IF(N193=VLOOKUP(VALUE(N$1),{Questions[#],Questions[Answer]},2,FALSE),1,0)</f>
        <v/>
      </c>
      <c r="AQ193" s="41">
        <f t="array" ref="AQ193">IF(O193=VLOOKUP(VALUE(O$1),{Questions[#],Questions[Answer]},2,FALSE),1,0)</f>
        <v/>
      </c>
      <c r="AR193" s="41">
        <f t="array" ref="AR193">IF(P193=VLOOKUP(VALUE(P$1),{Questions[#],Questions[Answer]},2,FALSE),1,0)</f>
        <v/>
      </c>
      <c r="AS193" s="41">
        <f t="array" ref="AS193">IF(Q193=VLOOKUP(VALUE(Q$1),{Questions[#],Questions[Answer]},2,FALSE),1,0)</f>
        <v/>
      </c>
      <c r="AT193" s="41">
        <f t="array" ref="AT193">IF(R193=VLOOKUP(VALUE(R$1),{Questions[#],Questions[Answer]},2,FALSE),1,0)</f>
        <v/>
      </c>
      <c r="AU193" s="41">
        <f t="array" ref="AU193">IF(S193=VLOOKUP(VALUE(S$1),{Questions[#],Questions[Answer]},2,FALSE),1,0)</f>
        <v/>
      </c>
      <c r="AV193" s="41">
        <f t="array" ref="AV193">IF(T193=VLOOKUP(VALUE(T$1),{Questions[#],Questions[Answer]},2,FALSE),1,0)</f>
        <v/>
      </c>
      <c r="AW193" s="41">
        <f t="array" ref="AW193">IF(U193=VLOOKUP(VALUE(U$1),{Questions[#],Questions[Answer]},2,FALSE),1,0)</f>
        <v/>
      </c>
      <c r="AX193" s="41">
        <f t="array" ref="AX193">IF(V193=VLOOKUP(VALUE(V$1),{Questions[#],Questions[Answer]},2,FALSE),1,0)</f>
        <v/>
      </c>
      <c r="AY193" s="41">
        <f t="array" ref="AY193">IF(W193=VLOOKUP(VALUE(W$1),{Questions[#],Questions[Answer]},2,FALSE),1,0)</f>
        <v/>
      </c>
      <c r="AZ193" s="41">
        <f t="array" ref="AZ193">IF(X193=VLOOKUP(VALUE(X$1),{Questions[#],Questions[Answer]},2,FALSE),1,0)</f>
        <v/>
      </c>
      <c r="BA193" s="41">
        <f t="array" ref="BA193">IF(Y193=VLOOKUP(VALUE(Y$1),{Questions[#],Questions[Answer]},2,FALSE),1,0)</f>
        <v/>
      </c>
      <c r="BB193" s="41">
        <f t="array" ref="BB193">IF(Z193=VLOOKUP(VALUE(Z$1),{Questions[#],Questions[Answer]},2,FALSE),1,0)</f>
        <v/>
      </c>
      <c r="BC193" s="41">
        <f t="array" ref="BC193">IF(AA193=VLOOKUP(VALUE(AA$1),{Questions[#],Questions[Answer]},2,FALSE),1,0)</f>
        <v/>
      </c>
      <c r="BD193" s="41">
        <f t="array" ref="BD193">IF(AB193=VLOOKUP(VALUE(AB$1),{Questions[#],Questions[Answer]},2,FALSE),1,0)</f>
        <v/>
      </c>
      <c r="BE193" s="41">
        <f t="array" ref="BE193">IF(AC193=VLOOKUP(VALUE(AC$1),{Questions[#],Questions[Answer]},2,FALSE),1,0)</f>
        <v/>
      </c>
      <c r="BF193" s="41">
        <f t="array" ref="BF193">IF(AD193=VLOOKUP(VALUE(AD$1),{Questions[#],Questions[Answer]},2,FALSE),1,0)</f>
        <v/>
      </c>
      <c r="BG193" s="41">
        <f t="array" ref="BG193">IF(AE193=VLOOKUP(VALUE(AE$1),{Questions[#],Questions[Answer]},2,FALSE),1,0)</f>
        <v/>
      </c>
      <c r="BH193" s="41">
        <f t="array" ref="BH193">IF(AF193=VLOOKUP(VALUE(AF$1),{Questions[#],Questions[Answer]},2,FALSE),1,0)</f>
        <v/>
      </c>
      <c r="BI193" s="41">
        <f t="array" ref="BI193">IF(AG193=VLOOKUP(VALUE(AG$1),{Questions[#],Questions[Answer]},2,FALSE),1,0)</f>
        <v/>
      </c>
      <c r="BJ193" s="41">
        <f t="array" ref="BJ193">IF(AH193=VLOOKUP(VALUE(AH$1),{Questions[#],Questions[Answer]},2,FALSE),1,0)</f>
        <v/>
      </c>
      <c r="BK193" s="41">
        <f t="array" ref="BK193">IF(AI193=VLOOKUP(VALUE(AI$1),{Questions[#],Questions[Answer]},2,FALSE),1,0)</f>
        <v/>
      </c>
      <c r="BL193" s="41">
        <f t="array" ref="BL193">IF(AJ193=VLOOKUP(VALUE(AJ$1),{Questions[#],Questions[Answer]},2,FALSE),1,0)</f>
        <v/>
      </c>
      <c r="BM193" s="41">
        <f t="array" ref="BM193">IF(AK193=VLOOKUP(VALUE(AK$1),{Questions[#],Questions[Answer]},2,FALSE),1,0)</f>
        <v/>
      </c>
      <c r="BN193" s="41">
        <f t="array" ref="BN193">IF(AL193=VLOOKUP(VALUE(AL$1),{Questions[#],Questions[Answer]},2,FALSE),1,0)</f>
        <v/>
      </c>
    </row>
    <row r="194" ht="22.5" customHeight="1" s="93">
      <c r="A194" s="42" t="n"/>
      <c r="B194" s="41" t="n"/>
      <c r="C194" s="41" t="n"/>
      <c r="D194" s="43" t="n"/>
      <c r="E194" s="41" t="n"/>
      <c r="F194" s="41" t="n"/>
      <c r="G194" s="11">
        <f>SUM(AM194:BN194)</f>
        <v/>
      </c>
      <c r="H194" s="40">
        <f>G194/9</f>
        <v/>
      </c>
      <c r="I194" s="12">
        <f>0.5+(G194/54)</f>
        <v/>
      </c>
      <c r="J194" s="41">
        <f>COUNTIF(K194:AL194,"")</f>
        <v/>
      </c>
      <c r="K194" s="34" t="n"/>
      <c r="L194" s="35" t="n"/>
      <c r="M194" s="35" t="n"/>
      <c r="N194" s="35" t="n"/>
      <c r="O194" s="35" t="n"/>
      <c r="P194" s="35" t="n"/>
      <c r="Q194" s="35" t="n"/>
      <c r="R194" s="35" t="n"/>
      <c r="S194" s="35" t="n"/>
      <c r="T194" s="35" t="n"/>
      <c r="U194" s="35" t="n"/>
      <c r="V194" s="35" t="n"/>
      <c r="W194" s="35" t="n"/>
      <c r="X194" s="41" t="n"/>
      <c r="Y194" s="35" t="n"/>
      <c r="Z194" s="35" t="n"/>
      <c r="AA194" s="35" t="n"/>
      <c r="AB194" s="35" t="n"/>
      <c r="AC194" s="35" t="n"/>
      <c r="AD194" s="35" t="n"/>
      <c r="AE194" s="41" t="n"/>
      <c r="AF194" s="35" t="n"/>
      <c r="AG194" s="35" t="n"/>
      <c r="AH194" s="35" t="n"/>
      <c r="AI194" s="35" t="n"/>
      <c r="AJ194" s="35" t="n"/>
      <c r="AK194" s="35" t="n"/>
      <c r="AL194" s="38" t="n"/>
      <c r="AM194" s="19">
        <f t="array" ref="AM194">IF(K194=VLOOKUP(VALUE(K$1),{Questions[#],Questions[Answer]},2,FALSE),1,0)</f>
        <v/>
      </c>
      <c r="AN194" s="41">
        <f t="array" ref="AN194">IF(L194=VLOOKUP(VALUE(L$1),{Questions[#],Questions[Answer]},2,FALSE),1,0)</f>
        <v/>
      </c>
      <c r="AO194" s="41">
        <f t="array" ref="AO194">IF(M194=VLOOKUP(VALUE(M$1),{Questions[#],Questions[Answer]},2,FALSE),1,0)</f>
        <v/>
      </c>
      <c r="AP194" s="41">
        <f t="array" ref="AP194">IF(N194=VLOOKUP(VALUE(N$1),{Questions[#],Questions[Answer]},2,FALSE),1,0)</f>
        <v/>
      </c>
      <c r="AQ194" s="41">
        <f t="array" ref="AQ194">IF(O194=VLOOKUP(VALUE(O$1),{Questions[#],Questions[Answer]},2,FALSE),1,0)</f>
        <v/>
      </c>
      <c r="AR194" s="41">
        <f t="array" ref="AR194">IF(P194=VLOOKUP(VALUE(P$1),{Questions[#],Questions[Answer]},2,FALSE),1,0)</f>
        <v/>
      </c>
      <c r="AS194" s="41">
        <f t="array" ref="AS194">IF(Q194=VLOOKUP(VALUE(Q$1),{Questions[#],Questions[Answer]},2,FALSE),1,0)</f>
        <v/>
      </c>
      <c r="AT194" s="41">
        <f t="array" ref="AT194">IF(R194=VLOOKUP(VALUE(R$1),{Questions[#],Questions[Answer]},2,FALSE),1,0)</f>
        <v/>
      </c>
      <c r="AU194" s="41">
        <f t="array" ref="AU194">IF(S194=VLOOKUP(VALUE(S$1),{Questions[#],Questions[Answer]},2,FALSE),1,0)</f>
        <v/>
      </c>
      <c r="AV194" s="41">
        <f t="array" ref="AV194">IF(T194=VLOOKUP(VALUE(T$1),{Questions[#],Questions[Answer]},2,FALSE),1,0)</f>
        <v/>
      </c>
      <c r="AW194" s="41">
        <f t="array" ref="AW194">IF(U194=VLOOKUP(VALUE(U$1),{Questions[#],Questions[Answer]},2,FALSE),1,0)</f>
        <v/>
      </c>
      <c r="AX194" s="41">
        <f t="array" ref="AX194">IF(V194=VLOOKUP(VALUE(V$1),{Questions[#],Questions[Answer]},2,FALSE),1,0)</f>
        <v/>
      </c>
      <c r="AY194" s="41">
        <f t="array" ref="AY194">IF(W194=VLOOKUP(VALUE(W$1),{Questions[#],Questions[Answer]},2,FALSE),1,0)</f>
        <v/>
      </c>
      <c r="AZ194" s="41">
        <f t="array" ref="AZ194">IF(X194=VLOOKUP(VALUE(X$1),{Questions[#],Questions[Answer]},2,FALSE),1,0)</f>
        <v/>
      </c>
      <c r="BA194" s="41">
        <f t="array" ref="BA194">IF(Y194=VLOOKUP(VALUE(Y$1),{Questions[#],Questions[Answer]},2,FALSE),1,0)</f>
        <v/>
      </c>
      <c r="BB194" s="41">
        <f t="array" ref="BB194">IF(Z194=VLOOKUP(VALUE(Z$1),{Questions[#],Questions[Answer]},2,FALSE),1,0)</f>
        <v/>
      </c>
      <c r="BC194" s="41">
        <f t="array" ref="BC194">IF(AA194=VLOOKUP(VALUE(AA$1),{Questions[#],Questions[Answer]},2,FALSE),1,0)</f>
        <v/>
      </c>
      <c r="BD194" s="41">
        <f t="array" ref="BD194">IF(AB194=VLOOKUP(VALUE(AB$1),{Questions[#],Questions[Answer]},2,FALSE),1,0)</f>
        <v/>
      </c>
      <c r="BE194" s="41">
        <f t="array" ref="BE194">IF(AC194=VLOOKUP(VALUE(AC$1),{Questions[#],Questions[Answer]},2,FALSE),1,0)</f>
        <v/>
      </c>
      <c r="BF194" s="41">
        <f t="array" ref="BF194">IF(AD194=VLOOKUP(VALUE(AD$1),{Questions[#],Questions[Answer]},2,FALSE),1,0)</f>
        <v/>
      </c>
      <c r="BG194" s="41">
        <f t="array" ref="BG194">IF(AE194=VLOOKUP(VALUE(AE$1),{Questions[#],Questions[Answer]},2,FALSE),1,0)</f>
        <v/>
      </c>
      <c r="BH194" s="41">
        <f t="array" ref="BH194">IF(AF194=VLOOKUP(VALUE(AF$1),{Questions[#],Questions[Answer]},2,FALSE),1,0)</f>
        <v/>
      </c>
      <c r="BI194" s="41">
        <f t="array" ref="BI194">IF(AG194=VLOOKUP(VALUE(AG$1),{Questions[#],Questions[Answer]},2,FALSE),1,0)</f>
        <v/>
      </c>
      <c r="BJ194" s="41">
        <f t="array" ref="BJ194">IF(AH194=VLOOKUP(VALUE(AH$1),{Questions[#],Questions[Answer]},2,FALSE),1,0)</f>
        <v/>
      </c>
      <c r="BK194" s="41">
        <f t="array" ref="BK194">IF(AI194=VLOOKUP(VALUE(AI$1),{Questions[#],Questions[Answer]},2,FALSE),1,0)</f>
        <v/>
      </c>
      <c r="BL194" s="41">
        <f t="array" ref="BL194">IF(AJ194=VLOOKUP(VALUE(AJ$1),{Questions[#],Questions[Answer]},2,FALSE),1,0)</f>
        <v/>
      </c>
      <c r="BM194" s="41">
        <f t="array" ref="BM194">IF(AK194=VLOOKUP(VALUE(AK$1),{Questions[#],Questions[Answer]},2,FALSE),1,0)</f>
        <v/>
      </c>
      <c r="BN194" s="41">
        <f t="array" ref="BN194">IF(AL194=VLOOKUP(VALUE(AL$1),{Questions[#],Questions[Answer]},2,FALSE),1,0)</f>
        <v/>
      </c>
    </row>
    <row r="195" ht="21.75" customHeight="1" s="93">
      <c r="A195" s="42" t="n"/>
      <c r="B195" s="41" t="n"/>
      <c r="C195" s="41" t="n"/>
      <c r="D195" s="43" t="n"/>
      <c r="E195" s="41" t="n"/>
      <c r="F195" s="41" t="n"/>
      <c r="G195" s="44" t="n"/>
      <c r="H195" s="40" t="n"/>
      <c r="I195" s="45" t="n"/>
      <c r="J195" s="41" t="n"/>
      <c r="K195" s="19" t="n"/>
      <c r="L195" s="41" t="n"/>
      <c r="M195" s="41" t="n"/>
      <c r="N195" s="41" t="n"/>
      <c r="O195" s="41" t="n"/>
      <c r="P195" s="41" t="n"/>
      <c r="Q195" s="41" t="n"/>
      <c r="R195" s="41" t="n"/>
      <c r="S195" s="41" t="n"/>
      <c r="T195" s="41" t="n"/>
      <c r="U195" s="41" t="n"/>
      <c r="V195" s="41" t="n"/>
      <c r="W195" s="41" t="n"/>
      <c r="X195" s="41" t="n"/>
      <c r="Y195" s="41" t="n"/>
      <c r="Z195" s="41" t="n"/>
      <c r="AA195" s="41" t="n"/>
      <c r="AB195" s="41" t="n"/>
      <c r="AC195" s="41" t="n"/>
      <c r="AD195" s="41" t="n"/>
      <c r="AE195" s="41" t="n"/>
      <c r="AF195" s="41" t="n"/>
      <c r="AG195" s="41" t="n"/>
      <c r="AH195" s="41" t="n"/>
      <c r="AI195" s="41" t="n"/>
      <c r="AJ195" s="41" t="n"/>
      <c r="AK195" s="41" t="n"/>
      <c r="AL195" s="46" t="n"/>
      <c r="AM195" s="19" t="n"/>
      <c r="AN195" s="41" t="n"/>
      <c r="AO195" s="41" t="n"/>
      <c r="AP195" s="41" t="n"/>
      <c r="AQ195" s="41" t="n"/>
      <c r="AR195" s="41" t="n"/>
      <c r="AS195" s="41" t="n"/>
      <c r="AT195" s="41" t="n"/>
      <c r="AU195" s="41" t="n"/>
      <c r="AV195" s="41" t="n"/>
      <c r="AW195" s="41" t="n"/>
      <c r="AX195" s="41" t="n"/>
      <c r="AY195" s="41" t="n"/>
      <c r="AZ195" s="41" t="n"/>
      <c r="BA195" s="41" t="n"/>
      <c r="BB195" s="41" t="n"/>
      <c r="BC195" s="41" t="n"/>
      <c r="BD195" s="41" t="n"/>
      <c r="BE195" s="41" t="n"/>
      <c r="BF195" s="41" t="n"/>
      <c r="BG195" s="41" t="n"/>
      <c r="BH195" s="41" t="n"/>
      <c r="BI195" s="41" t="n"/>
      <c r="BJ195" s="41" t="n"/>
      <c r="BK195" s="41" t="n"/>
      <c r="BL195" s="41" t="n"/>
      <c r="BM195" s="41" t="n"/>
      <c r="BN195" s="41" t="n"/>
    </row>
    <row r="196">
      <c r="A196" s="47" t="n"/>
      <c r="B196" s="48" t="n"/>
      <c r="C196" s="48" t="n"/>
      <c r="D196" s="49" t="n"/>
      <c r="E196" s="48" t="n"/>
      <c r="F196" s="48" t="n"/>
      <c r="G196" s="50" t="n"/>
      <c r="H196" s="51" t="n"/>
      <c r="I196" s="51" t="n"/>
      <c r="J196" s="48" t="n"/>
      <c r="K196" s="52" t="n"/>
      <c r="L196" s="48" t="n"/>
      <c r="M196" s="48" t="n"/>
      <c r="N196" s="48" t="n"/>
      <c r="O196" s="48" t="n"/>
      <c r="P196" s="48" t="n"/>
      <c r="Q196" s="48" t="n"/>
      <c r="R196" s="48" t="n"/>
      <c r="S196" s="48" t="n"/>
      <c r="T196" s="48" t="n"/>
      <c r="U196" s="48" t="n"/>
      <c r="V196" s="48" t="n"/>
      <c r="W196" s="48" t="n"/>
      <c r="X196" s="48" t="n"/>
      <c r="Y196" s="48" t="n"/>
      <c r="Z196" s="48" t="n"/>
      <c r="AA196" s="48" t="n"/>
      <c r="AB196" s="48" t="n"/>
      <c r="AC196" s="48" t="n"/>
      <c r="AD196" s="48" t="n"/>
      <c r="AE196" s="48" t="n"/>
      <c r="AF196" s="48" t="n"/>
      <c r="AG196" s="48" t="n"/>
      <c r="AH196" s="48" t="n"/>
      <c r="AI196" s="48" t="n"/>
      <c r="AJ196" s="48" t="n"/>
      <c r="AK196" s="48" t="n"/>
      <c r="AL196" s="53" t="n"/>
      <c r="AM196" s="52" t="n"/>
      <c r="AN196" s="48" t="n"/>
      <c r="AO196" s="48" t="n"/>
      <c r="AP196" s="48" t="n"/>
      <c r="AQ196" s="48" t="n"/>
      <c r="AR196" s="48" t="n"/>
      <c r="AS196" s="48" t="n"/>
      <c r="AT196" s="48" t="n"/>
      <c r="AU196" s="48" t="n"/>
      <c r="AV196" s="48" t="n"/>
      <c r="AW196" s="48" t="n"/>
      <c r="AX196" s="48" t="n"/>
      <c r="AY196" s="48" t="n"/>
      <c r="AZ196" s="48" t="n"/>
      <c r="BA196" s="48" t="n"/>
      <c r="BB196" s="48" t="n"/>
      <c r="BC196" s="48" t="n"/>
      <c r="BD196" s="48" t="n"/>
      <c r="BE196" s="48" t="n"/>
      <c r="BF196" s="48" t="n"/>
      <c r="BG196" s="48" t="n"/>
      <c r="BH196" s="48" t="n"/>
      <c r="BI196" s="48" t="n"/>
      <c r="BJ196" s="48" t="n"/>
      <c r="BK196" s="48" t="n"/>
      <c r="BL196" s="48" t="n"/>
      <c r="BM196" s="48" t="n"/>
      <c r="BN196" s="48" t="n"/>
    </row>
    <row r="197">
      <c r="A197" s="47" t="n"/>
      <c r="B197" s="48" t="n"/>
      <c r="C197" s="48" t="n"/>
      <c r="D197" s="49" t="n"/>
      <c r="E197" s="48" t="n"/>
      <c r="F197" s="48" t="n"/>
      <c r="G197" s="50" t="n"/>
      <c r="H197" s="51" t="n"/>
      <c r="I197" s="51" t="n"/>
      <c r="J197" s="48" t="n"/>
      <c r="K197" s="52" t="n"/>
      <c r="L197" s="48" t="n"/>
      <c r="M197" s="48" t="n"/>
      <c r="N197" s="48" t="n"/>
      <c r="O197" s="48" t="n"/>
      <c r="P197" s="48" t="n"/>
      <c r="Q197" s="48" t="n"/>
      <c r="R197" s="48" t="n"/>
      <c r="S197" s="48" t="n"/>
      <c r="T197" s="48" t="n"/>
      <c r="U197" s="48" t="n"/>
      <c r="V197" s="48" t="n"/>
      <c r="W197" s="48" t="n"/>
      <c r="X197" s="48" t="n"/>
      <c r="Y197" s="48" t="n"/>
      <c r="Z197" s="48" t="n"/>
      <c r="AA197" s="48" t="n"/>
      <c r="AB197" s="48" t="n"/>
      <c r="AC197" s="48" t="n"/>
      <c r="AD197" s="48" t="n"/>
      <c r="AE197" s="48" t="n"/>
      <c r="AF197" s="48" t="n"/>
      <c r="AG197" s="48" t="n"/>
      <c r="AH197" s="48" t="n"/>
      <c r="AI197" s="48" t="n"/>
      <c r="AJ197" s="48" t="n"/>
      <c r="AK197" s="48" t="n"/>
      <c r="AL197" s="53" t="n"/>
      <c r="AM197" s="52" t="n"/>
      <c r="AN197" s="48" t="n"/>
      <c r="AO197" s="48" t="n"/>
      <c r="AP197" s="48" t="n"/>
      <c r="AQ197" s="48" t="n"/>
      <c r="AR197" s="48" t="n"/>
      <c r="AS197" s="48" t="n"/>
      <c r="AT197" s="48" t="n"/>
      <c r="AU197" s="48" t="n"/>
      <c r="AV197" s="48" t="n"/>
      <c r="AW197" s="48" t="n"/>
      <c r="AX197" s="48" t="n"/>
      <c r="AY197" s="48" t="n"/>
      <c r="AZ197" s="48" t="n"/>
      <c r="BA197" s="48" t="n"/>
      <c r="BB197" s="48" t="n"/>
      <c r="BC197" s="48" t="n"/>
      <c r="BD197" s="48" t="n"/>
      <c r="BE197" s="48" t="n"/>
      <c r="BF197" s="48" t="n"/>
      <c r="BG197" s="48" t="n"/>
      <c r="BH197" s="48" t="n"/>
      <c r="BI197" s="48" t="n"/>
      <c r="BJ197" s="48" t="n"/>
      <c r="BK197" s="48" t="n"/>
      <c r="BL197" s="48" t="n"/>
      <c r="BM197" s="48" t="n"/>
      <c r="BN197" s="48" t="n"/>
    </row>
    <row r="198">
      <c r="A198" s="47" t="n"/>
      <c r="B198" s="48" t="n"/>
      <c r="C198" s="48" t="n"/>
      <c r="D198" s="49" t="n"/>
      <c r="E198" s="48" t="n"/>
      <c r="F198" s="48" t="n"/>
      <c r="G198" s="50" t="n"/>
      <c r="H198" s="51" t="n"/>
      <c r="I198" s="51" t="n"/>
      <c r="J198" s="48" t="n"/>
      <c r="K198" s="52" t="n"/>
      <c r="L198" s="48" t="n"/>
      <c r="M198" s="48" t="n"/>
      <c r="N198" s="48" t="n"/>
      <c r="O198" s="48" t="n"/>
      <c r="P198" s="48" t="n"/>
      <c r="Q198" s="48" t="n"/>
      <c r="R198" s="48" t="n"/>
      <c r="S198" s="48" t="n"/>
      <c r="T198" s="48" t="n"/>
      <c r="U198" s="48" t="n"/>
      <c r="V198" s="48" t="n"/>
      <c r="W198" s="48" t="n"/>
      <c r="X198" s="48" t="n"/>
      <c r="Y198" s="48" t="n"/>
      <c r="Z198" s="48" t="n"/>
      <c r="AA198" s="48" t="n"/>
      <c r="AB198" s="48" t="n"/>
      <c r="AC198" s="48" t="n"/>
      <c r="AD198" s="48" t="n"/>
      <c r="AE198" s="48" t="n"/>
      <c r="AF198" s="48" t="n"/>
      <c r="AG198" s="48" t="n"/>
      <c r="AH198" s="48" t="n"/>
      <c r="AI198" s="48" t="n"/>
      <c r="AJ198" s="48" t="n"/>
      <c r="AK198" s="48" t="n"/>
      <c r="AL198" s="53" t="n"/>
      <c r="AM198" s="52" t="n"/>
      <c r="AN198" s="48" t="n"/>
      <c r="AO198" s="48" t="n"/>
      <c r="AP198" s="48" t="n"/>
      <c r="AQ198" s="48" t="n"/>
      <c r="AR198" s="48" t="n"/>
      <c r="AS198" s="48" t="n"/>
      <c r="AT198" s="48" t="n"/>
      <c r="AU198" s="48" t="n"/>
      <c r="AV198" s="48" t="n"/>
      <c r="AW198" s="48" t="n"/>
      <c r="AX198" s="48" t="n"/>
      <c r="AY198" s="48" t="n"/>
      <c r="AZ198" s="48" t="n"/>
      <c r="BA198" s="48" t="n"/>
      <c r="BB198" s="48" t="n"/>
      <c r="BC198" s="48" t="n"/>
      <c r="BD198" s="48" t="n"/>
      <c r="BE198" s="48" t="n"/>
      <c r="BF198" s="48" t="n"/>
      <c r="BG198" s="48" t="n"/>
      <c r="BH198" s="48" t="n"/>
      <c r="BI198" s="48" t="n"/>
      <c r="BJ198" s="48" t="n"/>
      <c r="BK198" s="48" t="n"/>
      <c r="BL198" s="48" t="n"/>
      <c r="BM198" s="48" t="n"/>
      <c r="BN198" s="48" t="n"/>
    </row>
    <row r="199">
      <c r="A199" s="47" t="n"/>
      <c r="B199" s="48" t="n"/>
      <c r="C199" s="48" t="n"/>
      <c r="D199" s="49" t="n"/>
      <c r="E199" s="48" t="n"/>
      <c r="F199" s="48" t="n"/>
      <c r="G199" s="50" t="n"/>
      <c r="H199" s="51" t="n"/>
      <c r="I199" s="51" t="n"/>
      <c r="J199" s="48" t="n"/>
      <c r="K199" s="52" t="n"/>
      <c r="L199" s="48" t="n"/>
      <c r="M199" s="48" t="n"/>
      <c r="N199" s="48" t="n"/>
      <c r="O199" s="48" t="n"/>
      <c r="P199" s="48" t="n"/>
      <c r="Q199" s="48" t="n"/>
      <c r="R199" s="48" t="n"/>
      <c r="S199" s="48" t="n"/>
      <c r="T199" s="48" t="n"/>
      <c r="U199" s="48" t="n"/>
      <c r="V199" s="48" t="n"/>
      <c r="W199" s="48" t="n"/>
      <c r="X199" s="48" t="n"/>
      <c r="Y199" s="48" t="n"/>
      <c r="Z199" s="48" t="n"/>
      <c r="AA199" s="48" t="n"/>
      <c r="AB199" s="48" t="n"/>
      <c r="AC199" s="48" t="n"/>
      <c r="AD199" s="48" t="n"/>
      <c r="AE199" s="48" t="n"/>
      <c r="AF199" s="48" t="n"/>
      <c r="AG199" s="48" t="n"/>
      <c r="AH199" s="48" t="n"/>
      <c r="AI199" s="48" t="n"/>
      <c r="AJ199" s="48" t="n"/>
      <c r="AK199" s="48" t="n"/>
      <c r="AL199" s="53" t="n"/>
      <c r="AM199" s="52" t="n"/>
      <c r="AN199" s="48" t="n"/>
      <c r="AO199" s="48" t="n"/>
      <c r="AP199" s="48" t="n"/>
      <c r="AQ199" s="48" t="n"/>
      <c r="AR199" s="48" t="n"/>
      <c r="AS199" s="48" t="n"/>
      <c r="AT199" s="48" t="n"/>
      <c r="AU199" s="48" t="n"/>
      <c r="AV199" s="48" t="n"/>
      <c r="AW199" s="48" t="n"/>
      <c r="AX199" s="48" t="n"/>
      <c r="AY199" s="48" t="n"/>
      <c r="AZ199" s="48" t="n"/>
      <c r="BA199" s="48" t="n"/>
      <c r="BB199" s="48" t="n"/>
      <c r="BC199" s="48" t="n"/>
      <c r="BD199" s="48" t="n"/>
      <c r="BE199" s="48" t="n"/>
      <c r="BF199" s="48" t="n"/>
      <c r="BG199" s="48" t="n"/>
      <c r="BH199" s="48" t="n"/>
      <c r="BI199" s="48" t="n"/>
      <c r="BJ199" s="48" t="n"/>
      <c r="BK199" s="48" t="n"/>
      <c r="BL199" s="48" t="n"/>
      <c r="BM199" s="48" t="n"/>
      <c r="BN199" s="48" t="n"/>
    </row>
    <row r="200">
      <c r="A200" s="47" t="n"/>
      <c r="B200" s="48" t="n"/>
      <c r="C200" s="48" t="n"/>
      <c r="D200" s="49" t="n"/>
      <c r="E200" s="48" t="n"/>
      <c r="F200" s="48" t="n"/>
      <c r="G200" s="50" t="n"/>
      <c r="H200" s="51" t="n"/>
      <c r="I200" s="51" t="n"/>
      <c r="J200" s="48" t="n"/>
      <c r="K200" s="52" t="n"/>
      <c r="L200" s="48" t="n"/>
      <c r="M200" s="48" t="n"/>
      <c r="N200" s="48" t="n"/>
      <c r="O200" s="48" t="n"/>
      <c r="P200" s="48" t="n"/>
      <c r="Q200" s="48" t="n"/>
      <c r="R200" s="48" t="n"/>
      <c r="S200" s="48" t="n"/>
      <c r="T200" s="48" t="n"/>
      <c r="U200" s="48" t="n"/>
      <c r="V200" s="48" t="n"/>
      <c r="W200" s="48" t="n"/>
      <c r="X200" s="48" t="n"/>
      <c r="Y200" s="48" t="n"/>
      <c r="Z200" s="48" t="n"/>
      <c r="AA200" s="48" t="n"/>
      <c r="AB200" s="48" t="n"/>
      <c r="AC200" s="48" t="n"/>
      <c r="AD200" s="48" t="n"/>
      <c r="AE200" s="48" t="n"/>
      <c r="AF200" s="48" t="n"/>
      <c r="AG200" s="48" t="n"/>
      <c r="AH200" s="48" t="n"/>
      <c r="AI200" s="48" t="n"/>
      <c r="AJ200" s="48" t="n"/>
      <c r="AK200" s="48" t="n"/>
      <c r="AL200" s="53" t="n"/>
      <c r="AM200" s="52" t="n"/>
      <c r="AN200" s="48" t="n"/>
      <c r="AO200" s="48" t="n"/>
      <c r="AP200" s="48" t="n"/>
      <c r="AQ200" s="48" t="n"/>
      <c r="AR200" s="48" t="n"/>
      <c r="AS200" s="48" t="n"/>
      <c r="AT200" s="48" t="n"/>
      <c r="AU200" s="48" t="n"/>
      <c r="AV200" s="48" t="n"/>
      <c r="AW200" s="48" t="n"/>
      <c r="AX200" s="48" t="n"/>
      <c r="AY200" s="48" t="n"/>
      <c r="AZ200" s="48" t="n"/>
      <c r="BA200" s="48" t="n"/>
      <c r="BB200" s="48" t="n"/>
      <c r="BC200" s="48" t="n"/>
      <c r="BD200" s="48" t="n"/>
      <c r="BE200" s="48" t="n"/>
      <c r="BF200" s="48" t="n"/>
      <c r="BG200" s="48" t="n"/>
      <c r="BH200" s="48" t="n"/>
      <c r="BI200" s="48" t="n"/>
      <c r="BJ200" s="48" t="n"/>
      <c r="BK200" s="48" t="n"/>
      <c r="BL200" s="48" t="n"/>
      <c r="BM200" s="48" t="n"/>
      <c r="BN200" s="48" t="n"/>
    </row>
    <row r="201">
      <c r="A201" s="47" t="n"/>
      <c r="B201" s="48" t="n"/>
      <c r="C201" s="48" t="n"/>
      <c r="D201" s="49" t="n"/>
      <c r="E201" s="48" t="n"/>
      <c r="F201" s="48" t="n"/>
      <c r="G201" s="50" t="n"/>
      <c r="H201" s="51" t="n"/>
      <c r="I201" s="51" t="n"/>
      <c r="J201" s="48" t="n"/>
      <c r="K201" s="52" t="n"/>
      <c r="L201" s="48" t="n"/>
      <c r="M201" s="48" t="n"/>
      <c r="N201" s="48" t="n"/>
      <c r="O201" s="48" t="n"/>
      <c r="P201" s="48" t="n"/>
      <c r="Q201" s="48" t="n"/>
      <c r="R201" s="48" t="n"/>
      <c r="S201" s="48" t="n"/>
      <c r="T201" s="48" t="n"/>
      <c r="U201" s="48" t="n"/>
      <c r="V201" s="48" t="n"/>
      <c r="W201" s="48" t="n"/>
      <c r="X201" s="48" t="n"/>
      <c r="Y201" s="48" t="n"/>
      <c r="Z201" s="48" t="n"/>
      <c r="AA201" s="48" t="n"/>
      <c r="AB201" s="48" t="n"/>
      <c r="AC201" s="48" t="n"/>
      <c r="AD201" s="48" t="n"/>
      <c r="AE201" s="48" t="n"/>
      <c r="AF201" s="48" t="n"/>
      <c r="AG201" s="48" t="n"/>
      <c r="AH201" s="48" t="n"/>
      <c r="AI201" s="48" t="n"/>
      <c r="AJ201" s="48" t="n"/>
      <c r="AK201" s="48" t="n"/>
      <c r="AL201" s="53" t="n"/>
      <c r="AM201" s="52" t="n"/>
      <c r="AN201" s="48" t="n"/>
      <c r="AO201" s="48" t="n"/>
      <c r="AP201" s="48" t="n"/>
      <c r="AQ201" s="48" t="n"/>
      <c r="AR201" s="48" t="n"/>
      <c r="AS201" s="48" t="n"/>
      <c r="AT201" s="48" t="n"/>
      <c r="AU201" s="48" t="n"/>
      <c r="AV201" s="48" t="n"/>
      <c r="AW201" s="48" t="n"/>
      <c r="AX201" s="48" t="n"/>
      <c r="AY201" s="48" t="n"/>
      <c r="AZ201" s="48" t="n"/>
      <c r="BA201" s="48" t="n"/>
      <c r="BB201" s="48" t="n"/>
      <c r="BC201" s="48" t="n"/>
      <c r="BD201" s="48" t="n"/>
      <c r="BE201" s="48" t="n"/>
      <c r="BF201" s="48" t="n"/>
      <c r="BG201" s="48" t="n"/>
      <c r="BH201" s="48" t="n"/>
      <c r="BI201" s="48" t="n"/>
      <c r="BJ201" s="48" t="n"/>
      <c r="BK201" s="48" t="n"/>
      <c r="BL201" s="48" t="n"/>
      <c r="BM201" s="48" t="n"/>
      <c r="BN201" s="48" t="n"/>
    </row>
    <row r="202">
      <c r="A202" s="47" t="n"/>
      <c r="B202" s="48" t="n"/>
      <c r="C202" s="48" t="n"/>
      <c r="D202" s="49" t="n"/>
      <c r="E202" s="48" t="n"/>
      <c r="F202" s="48" t="n"/>
      <c r="G202" s="50" t="n"/>
      <c r="H202" s="51" t="n"/>
      <c r="I202" s="51" t="n"/>
      <c r="J202" s="48" t="n"/>
      <c r="K202" s="52" t="n"/>
      <c r="L202" s="48" t="n"/>
      <c r="M202" s="48" t="n"/>
      <c r="N202" s="48" t="n"/>
      <c r="O202" s="48" t="n"/>
      <c r="P202" s="48" t="n"/>
      <c r="Q202" s="48" t="n"/>
      <c r="R202" s="48" t="n"/>
      <c r="S202" s="48" t="n"/>
      <c r="T202" s="48" t="n"/>
      <c r="U202" s="48" t="n"/>
      <c r="V202" s="48" t="n"/>
      <c r="W202" s="48" t="n"/>
      <c r="X202" s="48" t="n"/>
      <c r="Y202" s="48" t="n"/>
      <c r="Z202" s="48" t="n"/>
      <c r="AA202" s="48" t="n"/>
      <c r="AB202" s="48" t="n"/>
      <c r="AC202" s="48" t="n"/>
      <c r="AD202" s="48" t="n"/>
      <c r="AE202" s="48" t="n"/>
      <c r="AF202" s="48" t="n"/>
      <c r="AG202" s="48" t="n"/>
      <c r="AH202" s="48" t="n"/>
      <c r="AI202" s="48" t="n"/>
      <c r="AJ202" s="48" t="n"/>
      <c r="AK202" s="48" t="n"/>
      <c r="AL202" s="53" t="n"/>
      <c r="AM202" s="52" t="n"/>
      <c r="AN202" s="48" t="n"/>
      <c r="AO202" s="48" t="n"/>
      <c r="AP202" s="48" t="n"/>
      <c r="AQ202" s="48" t="n"/>
      <c r="AR202" s="48" t="n"/>
      <c r="AS202" s="48" t="n"/>
      <c r="AT202" s="48" t="n"/>
      <c r="AU202" s="48" t="n"/>
      <c r="AV202" s="48" t="n"/>
      <c r="AW202" s="48" t="n"/>
      <c r="AX202" s="48" t="n"/>
      <c r="AY202" s="48" t="n"/>
      <c r="AZ202" s="48" t="n"/>
      <c r="BA202" s="48" t="n"/>
      <c r="BB202" s="48" t="n"/>
      <c r="BC202" s="48" t="n"/>
      <c r="BD202" s="48" t="n"/>
      <c r="BE202" s="48" t="n"/>
      <c r="BF202" s="48" t="n"/>
      <c r="BG202" s="48" t="n"/>
      <c r="BH202" s="48" t="n"/>
      <c r="BI202" s="48" t="n"/>
      <c r="BJ202" s="48" t="n"/>
      <c r="BK202" s="48" t="n"/>
      <c r="BL202" s="48" t="n"/>
      <c r="BM202" s="48" t="n"/>
      <c r="BN202" s="48" t="n"/>
    </row>
    <row r="203">
      <c r="A203" s="47" t="n"/>
      <c r="B203" s="48" t="n"/>
      <c r="C203" s="48" t="n"/>
      <c r="D203" s="49" t="n"/>
      <c r="E203" s="48" t="n"/>
      <c r="F203" s="48" t="n"/>
      <c r="G203" s="50" t="n"/>
      <c r="H203" s="51" t="n"/>
      <c r="I203" s="51" t="n"/>
      <c r="J203" s="48" t="n"/>
      <c r="K203" s="52" t="n"/>
      <c r="L203" s="48" t="n"/>
      <c r="M203" s="48" t="n"/>
      <c r="N203" s="48" t="n"/>
      <c r="O203" s="48" t="n"/>
      <c r="P203" s="48" t="n"/>
      <c r="Q203" s="48" t="n"/>
      <c r="R203" s="48" t="n"/>
      <c r="S203" s="48" t="n"/>
      <c r="T203" s="48" t="n"/>
      <c r="U203" s="48" t="n"/>
      <c r="V203" s="48" t="n"/>
      <c r="W203" s="48" t="n"/>
      <c r="X203" s="48" t="n"/>
      <c r="Y203" s="48" t="n"/>
      <c r="Z203" s="48" t="n"/>
      <c r="AA203" s="48" t="n"/>
      <c r="AB203" s="48" t="n"/>
      <c r="AC203" s="48" t="n"/>
      <c r="AD203" s="48" t="n"/>
      <c r="AE203" s="48" t="n"/>
      <c r="AF203" s="48" t="n"/>
      <c r="AG203" s="48" t="n"/>
      <c r="AH203" s="48" t="n"/>
      <c r="AI203" s="48" t="n"/>
      <c r="AJ203" s="48" t="n"/>
      <c r="AK203" s="48" t="n"/>
      <c r="AL203" s="53" t="n"/>
      <c r="AM203" s="52" t="n"/>
      <c r="AN203" s="48" t="n"/>
      <c r="AO203" s="48" t="n"/>
      <c r="AP203" s="48" t="n"/>
      <c r="AQ203" s="48" t="n"/>
      <c r="AR203" s="48" t="n"/>
      <c r="AS203" s="48" t="n"/>
      <c r="AT203" s="48" t="n"/>
      <c r="AU203" s="48" t="n"/>
      <c r="AV203" s="48" t="n"/>
      <c r="AW203" s="48" t="n"/>
      <c r="AX203" s="48" t="n"/>
      <c r="AY203" s="48" t="n"/>
      <c r="AZ203" s="48" t="n"/>
      <c r="BA203" s="48" t="n"/>
      <c r="BB203" s="48" t="n"/>
      <c r="BC203" s="48" t="n"/>
      <c r="BD203" s="48" t="n"/>
      <c r="BE203" s="48" t="n"/>
      <c r="BF203" s="48" t="n"/>
      <c r="BG203" s="48" t="n"/>
      <c r="BH203" s="48" t="n"/>
      <c r="BI203" s="48" t="n"/>
      <c r="BJ203" s="48" t="n"/>
      <c r="BK203" s="48" t="n"/>
      <c r="BL203" s="48" t="n"/>
      <c r="BM203" s="48" t="n"/>
      <c r="BN203" s="48" t="n"/>
    </row>
    <row r="204">
      <c r="A204" s="47" t="n"/>
      <c r="B204" s="48" t="n"/>
      <c r="C204" s="48" t="n"/>
      <c r="D204" s="49" t="n"/>
      <c r="E204" s="48" t="n"/>
      <c r="F204" s="48" t="n"/>
      <c r="G204" s="50" t="n"/>
      <c r="H204" s="51" t="n"/>
      <c r="I204" s="51" t="n"/>
      <c r="J204" s="48" t="n"/>
      <c r="K204" s="52" t="n"/>
      <c r="L204" s="48" t="n"/>
      <c r="M204" s="48" t="n"/>
      <c r="N204" s="48" t="n"/>
      <c r="O204" s="48" t="n"/>
      <c r="P204" s="48" t="n"/>
      <c r="Q204" s="48" t="n"/>
      <c r="R204" s="48" t="n"/>
      <c r="S204" s="48" t="n"/>
      <c r="T204" s="48" t="n"/>
      <c r="U204" s="48" t="n"/>
      <c r="V204" s="48" t="n"/>
      <c r="W204" s="48" t="n"/>
      <c r="X204" s="48" t="n"/>
      <c r="Y204" s="48" t="n"/>
      <c r="Z204" s="48" t="n"/>
      <c r="AA204" s="48" t="n"/>
      <c r="AB204" s="48" t="n"/>
      <c r="AC204" s="48" t="n"/>
      <c r="AD204" s="48" t="n"/>
      <c r="AE204" s="48" t="n"/>
      <c r="AF204" s="48" t="n"/>
      <c r="AG204" s="48" t="n"/>
      <c r="AH204" s="48" t="n"/>
      <c r="AI204" s="48" t="n"/>
      <c r="AJ204" s="48" t="n"/>
      <c r="AK204" s="48" t="n"/>
      <c r="AL204" s="53" t="n"/>
      <c r="AM204" s="52" t="n"/>
      <c r="AN204" s="48" t="n"/>
      <c r="AO204" s="48" t="n"/>
      <c r="AP204" s="48" t="n"/>
      <c r="AQ204" s="48" t="n"/>
      <c r="AR204" s="48" t="n"/>
      <c r="AS204" s="48" t="n"/>
      <c r="AT204" s="48" t="n"/>
      <c r="AU204" s="48" t="n"/>
      <c r="AV204" s="48" t="n"/>
      <c r="AW204" s="48" t="n"/>
      <c r="AX204" s="48" t="n"/>
      <c r="AY204" s="48" t="n"/>
      <c r="AZ204" s="48" t="n"/>
      <c r="BA204" s="48" t="n"/>
      <c r="BB204" s="48" t="n"/>
      <c r="BC204" s="48" t="n"/>
      <c r="BD204" s="48" t="n"/>
      <c r="BE204" s="48" t="n"/>
      <c r="BF204" s="48" t="n"/>
      <c r="BG204" s="48" t="n"/>
      <c r="BH204" s="48" t="n"/>
      <c r="BI204" s="48" t="n"/>
      <c r="BJ204" s="48" t="n"/>
      <c r="BK204" s="48" t="n"/>
      <c r="BL204" s="48" t="n"/>
      <c r="BM204" s="48" t="n"/>
      <c r="BN204" s="48" t="n"/>
    </row>
    <row r="205">
      <c r="A205" s="47" t="n"/>
      <c r="B205" s="48" t="n"/>
      <c r="C205" s="48" t="n"/>
      <c r="D205" s="49" t="n"/>
      <c r="E205" s="48" t="n"/>
      <c r="F205" s="48" t="n"/>
      <c r="G205" s="50" t="n"/>
      <c r="H205" s="51" t="n"/>
      <c r="I205" s="51" t="n"/>
      <c r="J205" s="48" t="n"/>
      <c r="K205" s="52" t="n"/>
      <c r="L205" s="48" t="n"/>
      <c r="M205" s="48" t="n"/>
      <c r="N205" s="48" t="n"/>
      <c r="O205" s="48" t="n"/>
      <c r="P205" s="48" t="n"/>
      <c r="Q205" s="48" t="n"/>
      <c r="R205" s="48" t="n"/>
      <c r="S205" s="48" t="n"/>
      <c r="T205" s="48" t="n"/>
      <c r="U205" s="48" t="n"/>
      <c r="V205" s="48" t="n"/>
      <c r="W205" s="48" t="n"/>
      <c r="X205" s="48" t="n"/>
      <c r="Y205" s="48" t="n"/>
      <c r="Z205" s="48" t="n"/>
      <c r="AA205" s="48" t="n"/>
      <c r="AB205" s="48" t="n"/>
      <c r="AC205" s="48" t="n"/>
      <c r="AD205" s="48" t="n"/>
      <c r="AE205" s="48" t="n"/>
      <c r="AF205" s="48" t="n"/>
      <c r="AG205" s="48" t="n"/>
      <c r="AH205" s="48" t="n"/>
      <c r="AI205" s="48" t="n"/>
      <c r="AJ205" s="48" t="n"/>
      <c r="AK205" s="48" t="n"/>
      <c r="AL205" s="53" t="n"/>
      <c r="AM205" s="52" t="n"/>
      <c r="AN205" s="48" t="n"/>
      <c r="AO205" s="48" t="n"/>
      <c r="AP205" s="48" t="n"/>
      <c r="AQ205" s="48" t="n"/>
      <c r="AR205" s="48" t="n"/>
      <c r="AS205" s="48" t="n"/>
      <c r="AT205" s="48" t="n"/>
      <c r="AU205" s="48" t="n"/>
      <c r="AV205" s="48" t="n"/>
      <c r="AW205" s="48" t="n"/>
      <c r="AX205" s="48" t="n"/>
      <c r="AY205" s="48" t="n"/>
      <c r="AZ205" s="48" t="n"/>
      <c r="BA205" s="48" t="n"/>
      <c r="BB205" s="48" t="n"/>
      <c r="BC205" s="48" t="n"/>
      <c r="BD205" s="48" t="n"/>
      <c r="BE205" s="48" t="n"/>
      <c r="BF205" s="48" t="n"/>
      <c r="BG205" s="48" t="n"/>
      <c r="BH205" s="48" t="n"/>
      <c r="BI205" s="48" t="n"/>
      <c r="BJ205" s="48" t="n"/>
      <c r="BK205" s="48" t="n"/>
      <c r="BL205" s="48" t="n"/>
      <c r="BM205" s="48" t="n"/>
      <c r="BN205" s="48" t="n"/>
    </row>
    <row r="206">
      <c r="A206" s="47" t="n"/>
      <c r="B206" s="48" t="n"/>
      <c r="C206" s="48" t="n"/>
      <c r="D206" s="49" t="n"/>
      <c r="E206" s="48" t="n"/>
      <c r="F206" s="48" t="n"/>
      <c r="G206" s="50" t="n"/>
      <c r="H206" s="51" t="n"/>
      <c r="I206" s="51" t="n"/>
      <c r="J206" s="48" t="n"/>
      <c r="K206" s="52" t="n"/>
      <c r="L206" s="48" t="n"/>
      <c r="M206" s="48" t="n"/>
      <c r="N206" s="48" t="n"/>
      <c r="O206" s="48" t="n"/>
      <c r="P206" s="48" t="n"/>
      <c r="Q206" s="48" t="n"/>
      <c r="R206" s="48" t="n"/>
      <c r="S206" s="48" t="n"/>
      <c r="T206" s="48" t="n"/>
      <c r="U206" s="48" t="n"/>
      <c r="V206" s="48" t="n"/>
      <c r="W206" s="48" t="n"/>
      <c r="X206" s="48" t="n"/>
      <c r="Y206" s="48" t="n"/>
      <c r="Z206" s="48" t="n"/>
      <c r="AA206" s="48" t="n"/>
      <c r="AB206" s="48" t="n"/>
      <c r="AC206" s="48" t="n"/>
      <c r="AD206" s="48" t="n"/>
      <c r="AE206" s="48" t="n"/>
      <c r="AF206" s="48" t="n"/>
      <c r="AG206" s="48" t="n"/>
      <c r="AH206" s="48" t="n"/>
      <c r="AI206" s="48" t="n"/>
      <c r="AJ206" s="48" t="n"/>
      <c r="AK206" s="48" t="n"/>
      <c r="AL206" s="53" t="n"/>
      <c r="AM206" s="52" t="n"/>
      <c r="AN206" s="48" t="n"/>
      <c r="AO206" s="48" t="n"/>
      <c r="AP206" s="48" t="n"/>
      <c r="AQ206" s="48" t="n"/>
      <c r="AR206" s="48" t="n"/>
      <c r="AS206" s="48" t="n"/>
      <c r="AT206" s="48" t="n"/>
      <c r="AU206" s="48" t="n"/>
      <c r="AV206" s="48" t="n"/>
      <c r="AW206" s="48" t="n"/>
      <c r="AX206" s="48" t="n"/>
      <c r="AY206" s="48" t="n"/>
      <c r="AZ206" s="48" t="n"/>
      <c r="BA206" s="48" t="n"/>
      <c r="BB206" s="48" t="n"/>
      <c r="BC206" s="48" t="n"/>
      <c r="BD206" s="48" t="n"/>
      <c r="BE206" s="48" t="n"/>
      <c r="BF206" s="48" t="n"/>
      <c r="BG206" s="48" t="n"/>
      <c r="BH206" s="48" t="n"/>
      <c r="BI206" s="48" t="n"/>
      <c r="BJ206" s="48" t="n"/>
      <c r="BK206" s="48" t="n"/>
      <c r="BL206" s="48" t="n"/>
      <c r="BM206" s="48" t="n"/>
      <c r="BN206" s="48" t="n"/>
    </row>
    <row r="207">
      <c r="A207" s="47" t="n"/>
      <c r="B207" s="48" t="n"/>
      <c r="C207" s="48" t="n"/>
      <c r="D207" s="49" t="n"/>
      <c r="E207" s="48" t="n"/>
      <c r="F207" s="48" t="n"/>
      <c r="G207" s="50" t="n"/>
      <c r="H207" s="51" t="n"/>
      <c r="I207" s="51" t="n"/>
      <c r="J207" s="48" t="n"/>
      <c r="K207" s="52" t="n"/>
      <c r="L207" s="48" t="n"/>
      <c r="M207" s="48" t="n"/>
      <c r="N207" s="48" t="n"/>
      <c r="O207" s="48" t="n"/>
      <c r="P207" s="48" t="n"/>
      <c r="Q207" s="48" t="n"/>
      <c r="R207" s="48" t="n"/>
      <c r="S207" s="48" t="n"/>
      <c r="T207" s="48" t="n"/>
      <c r="U207" s="48" t="n"/>
      <c r="V207" s="48" t="n"/>
      <c r="W207" s="48" t="n"/>
      <c r="X207" s="48" t="n"/>
      <c r="Y207" s="48" t="n"/>
      <c r="Z207" s="48" t="n"/>
      <c r="AA207" s="48" t="n"/>
      <c r="AB207" s="48" t="n"/>
      <c r="AC207" s="48" t="n"/>
      <c r="AD207" s="48" t="n"/>
      <c r="AE207" s="48" t="n"/>
      <c r="AF207" s="48" t="n"/>
      <c r="AG207" s="48" t="n"/>
      <c r="AH207" s="48" t="n"/>
      <c r="AI207" s="48" t="n"/>
      <c r="AJ207" s="48" t="n"/>
      <c r="AK207" s="48" t="n"/>
      <c r="AL207" s="53" t="n"/>
      <c r="AM207" s="52" t="n"/>
      <c r="AN207" s="48" t="n"/>
      <c r="AO207" s="48" t="n"/>
      <c r="AP207" s="48" t="n"/>
      <c r="AQ207" s="48" t="n"/>
      <c r="AR207" s="48" t="n"/>
      <c r="AS207" s="48" t="n"/>
      <c r="AT207" s="48" t="n"/>
      <c r="AU207" s="48" t="n"/>
      <c r="AV207" s="48" t="n"/>
      <c r="AW207" s="48" t="n"/>
      <c r="AX207" s="48" t="n"/>
      <c r="AY207" s="48" t="n"/>
      <c r="AZ207" s="48" t="n"/>
      <c r="BA207" s="48" t="n"/>
      <c r="BB207" s="48" t="n"/>
      <c r="BC207" s="48" t="n"/>
      <c r="BD207" s="48" t="n"/>
      <c r="BE207" s="48" t="n"/>
      <c r="BF207" s="48" t="n"/>
      <c r="BG207" s="48" t="n"/>
      <c r="BH207" s="48" t="n"/>
      <c r="BI207" s="48" t="n"/>
      <c r="BJ207" s="48" t="n"/>
      <c r="BK207" s="48" t="n"/>
      <c r="BL207" s="48" t="n"/>
      <c r="BM207" s="48" t="n"/>
      <c r="BN207" s="48" t="n"/>
    </row>
    <row r="208">
      <c r="A208" s="47" t="n"/>
      <c r="B208" s="48" t="n"/>
      <c r="C208" s="48" t="n"/>
      <c r="D208" s="49" t="n"/>
      <c r="E208" s="48" t="n"/>
      <c r="F208" s="48" t="n"/>
      <c r="G208" s="50" t="n"/>
      <c r="H208" s="51" t="n"/>
      <c r="I208" s="51" t="n"/>
      <c r="J208" s="48" t="n"/>
      <c r="K208" s="52" t="n"/>
      <c r="L208" s="48" t="n"/>
      <c r="M208" s="48" t="n"/>
      <c r="N208" s="48" t="n"/>
      <c r="O208" s="48" t="n"/>
      <c r="P208" s="48" t="n"/>
      <c r="Q208" s="48" t="n"/>
      <c r="R208" s="48" t="n"/>
      <c r="S208" s="48" t="n"/>
      <c r="T208" s="48" t="n"/>
      <c r="U208" s="48" t="n"/>
      <c r="V208" s="48" t="n"/>
      <c r="W208" s="48" t="n"/>
      <c r="X208" s="48" t="n"/>
      <c r="Y208" s="48" t="n"/>
      <c r="Z208" s="48" t="n"/>
      <c r="AA208" s="48" t="n"/>
      <c r="AB208" s="48" t="n"/>
      <c r="AC208" s="48" t="n"/>
      <c r="AD208" s="48" t="n"/>
      <c r="AE208" s="48" t="n"/>
      <c r="AF208" s="48" t="n"/>
      <c r="AG208" s="48" t="n"/>
      <c r="AH208" s="48" t="n"/>
      <c r="AI208" s="48" t="n"/>
      <c r="AJ208" s="48" t="n"/>
      <c r="AK208" s="48" t="n"/>
      <c r="AL208" s="53" t="n"/>
      <c r="AM208" s="52" t="n"/>
      <c r="AN208" s="48" t="n"/>
      <c r="AO208" s="48" t="n"/>
      <c r="AP208" s="48" t="n"/>
      <c r="AQ208" s="48" t="n"/>
      <c r="AR208" s="48" t="n"/>
      <c r="AS208" s="48" t="n"/>
      <c r="AT208" s="48" t="n"/>
      <c r="AU208" s="48" t="n"/>
      <c r="AV208" s="48" t="n"/>
      <c r="AW208" s="48" t="n"/>
      <c r="AX208" s="48" t="n"/>
      <c r="AY208" s="48" t="n"/>
      <c r="AZ208" s="48" t="n"/>
      <c r="BA208" s="48" t="n"/>
      <c r="BB208" s="48" t="n"/>
      <c r="BC208" s="48" t="n"/>
      <c r="BD208" s="48" t="n"/>
      <c r="BE208" s="48" t="n"/>
      <c r="BF208" s="48" t="n"/>
      <c r="BG208" s="48" t="n"/>
      <c r="BH208" s="48" t="n"/>
      <c r="BI208" s="48" t="n"/>
      <c r="BJ208" s="48" t="n"/>
      <c r="BK208" s="48" t="n"/>
      <c r="BL208" s="48" t="n"/>
      <c r="BM208" s="48" t="n"/>
      <c r="BN208" s="48" t="n"/>
    </row>
    <row r="209">
      <c r="A209" s="47" t="n"/>
      <c r="B209" s="48" t="n"/>
      <c r="C209" s="48" t="n"/>
      <c r="D209" s="49" t="n"/>
      <c r="E209" s="48" t="n"/>
      <c r="F209" s="48" t="n"/>
      <c r="G209" s="50" t="n"/>
      <c r="H209" s="51" t="n"/>
      <c r="I209" s="51" t="n"/>
      <c r="J209" s="48" t="n"/>
      <c r="K209" s="52" t="n"/>
      <c r="L209" s="48" t="n"/>
      <c r="M209" s="48" t="n"/>
      <c r="N209" s="48" t="n"/>
      <c r="O209" s="48" t="n"/>
      <c r="P209" s="48" t="n"/>
      <c r="Q209" s="48" t="n"/>
      <c r="R209" s="48" t="n"/>
      <c r="S209" s="48" t="n"/>
      <c r="T209" s="48" t="n"/>
      <c r="U209" s="48" t="n"/>
      <c r="V209" s="48" t="n"/>
      <c r="W209" s="48" t="n"/>
      <c r="X209" s="48" t="n"/>
      <c r="Y209" s="48" t="n"/>
      <c r="Z209" s="48" t="n"/>
      <c r="AA209" s="48" t="n"/>
      <c r="AB209" s="48" t="n"/>
      <c r="AC209" s="48" t="n"/>
      <c r="AD209" s="48" t="n"/>
      <c r="AE209" s="48" t="n"/>
      <c r="AF209" s="48" t="n"/>
      <c r="AG209" s="48" t="n"/>
      <c r="AH209" s="48" t="n"/>
      <c r="AI209" s="48" t="n"/>
      <c r="AJ209" s="48" t="n"/>
      <c r="AK209" s="48" t="n"/>
      <c r="AL209" s="53" t="n"/>
      <c r="AM209" s="52" t="n"/>
      <c r="AN209" s="48" t="n"/>
      <c r="AO209" s="48" t="n"/>
      <c r="AP209" s="48" t="n"/>
      <c r="AQ209" s="48" t="n"/>
      <c r="AR209" s="48" t="n"/>
      <c r="AS209" s="48" t="n"/>
      <c r="AT209" s="48" t="n"/>
      <c r="AU209" s="48" t="n"/>
      <c r="AV209" s="48" t="n"/>
      <c r="AW209" s="48" t="n"/>
      <c r="AX209" s="48" t="n"/>
      <c r="AY209" s="48" t="n"/>
      <c r="AZ209" s="48" t="n"/>
      <c r="BA209" s="48" t="n"/>
      <c r="BB209" s="48" t="n"/>
      <c r="BC209" s="48" t="n"/>
      <c r="BD209" s="48" t="n"/>
      <c r="BE209" s="48" t="n"/>
      <c r="BF209" s="48" t="n"/>
      <c r="BG209" s="48" t="n"/>
      <c r="BH209" s="48" t="n"/>
      <c r="BI209" s="48" t="n"/>
      <c r="BJ209" s="48" t="n"/>
      <c r="BK209" s="48" t="n"/>
      <c r="BL209" s="48" t="n"/>
      <c r="BM209" s="48" t="n"/>
      <c r="BN209" s="48" t="n"/>
    </row>
    <row r="210">
      <c r="A210" s="47" t="n"/>
      <c r="B210" s="48" t="n"/>
      <c r="C210" s="48" t="n"/>
      <c r="D210" s="49" t="n"/>
      <c r="E210" s="48" t="n"/>
      <c r="F210" s="48" t="n"/>
      <c r="G210" s="50" t="n"/>
      <c r="H210" s="51" t="n"/>
      <c r="I210" s="51" t="n"/>
      <c r="J210" s="48" t="n"/>
      <c r="K210" s="52" t="n"/>
      <c r="L210" s="48" t="n"/>
      <c r="M210" s="48" t="n"/>
      <c r="N210" s="48" t="n"/>
      <c r="O210" s="48" t="n"/>
      <c r="P210" s="48" t="n"/>
      <c r="Q210" s="48" t="n"/>
      <c r="R210" s="48" t="n"/>
      <c r="S210" s="48" t="n"/>
      <c r="T210" s="48" t="n"/>
      <c r="U210" s="48" t="n"/>
      <c r="V210" s="48" t="n"/>
      <c r="W210" s="48" t="n"/>
      <c r="X210" s="48" t="n"/>
      <c r="Y210" s="48" t="n"/>
      <c r="Z210" s="48" t="n"/>
      <c r="AA210" s="48" t="n"/>
      <c r="AB210" s="48" t="n"/>
      <c r="AC210" s="48" t="n"/>
      <c r="AD210" s="48" t="n"/>
      <c r="AE210" s="48" t="n"/>
      <c r="AF210" s="48" t="n"/>
      <c r="AG210" s="48" t="n"/>
      <c r="AH210" s="48" t="n"/>
      <c r="AI210" s="48" t="n"/>
      <c r="AJ210" s="48" t="n"/>
      <c r="AK210" s="48" t="n"/>
      <c r="AL210" s="53" t="n"/>
      <c r="AM210" s="52" t="n"/>
      <c r="AN210" s="48" t="n"/>
      <c r="AO210" s="48" t="n"/>
      <c r="AP210" s="48" t="n"/>
      <c r="AQ210" s="48" t="n"/>
      <c r="AR210" s="48" t="n"/>
      <c r="AS210" s="48" t="n"/>
      <c r="AT210" s="48" t="n"/>
      <c r="AU210" s="48" t="n"/>
      <c r="AV210" s="48" t="n"/>
      <c r="AW210" s="48" t="n"/>
      <c r="AX210" s="48" t="n"/>
      <c r="AY210" s="48" t="n"/>
      <c r="AZ210" s="48" t="n"/>
      <c r="BA210" s="48" t="n"/>
      <c r="BB210" s="48" t="n"/>
      <c r="BC210" s="48" t="n"/>
      <c r="BD210" s="48" t="n"/>
      <c r="BE210" s="48" t="n"/>
      <c r="BF210" s="48" t="n"/>
      <c r="BG210" s="48" t="n"/>
      <c r="BH210" s="48" t="n"/>
      <c r="BI210" s="48" t="n"/>
      <c r="BJ210" s="48" t="n"/>
      <c r="BK210" s="48" t="n"/>
      <c r="BL210" s="48" t="n"/>
      <c r="BM210" s="48" t="n"/>
      <c r="BN210" s="48" t="n"/>
    </row>
    <row r="211">
      <c r="A211" s="47" t="n"/>
      <c r="B211" s="48" t="n"/>
      <c r="C211" s="48" t="n"/>
      <c r="D211" s="49" t="n"/>
      <c r="E211" s="48" t="n"/>
      <c r="F211" s="48" t="n"/>
      <c r="G211" s="50" t="n"/>
      <c r="H211" s="51" t="n"/>
      <c r="I211" s="51" t="n"/>
      <c r="J211" s="48" t="n"/>
      <c r="K211" s="52" t="n"/>
      <c r="L211" s="48" t="n"/>
      <c r="M211" s="48" t="n"/>
      <c r="N211" s="48" t="n"/>
      <c r="O211" s="48" t="n"/>
      <c r="P211" s="48" t="n"/>
      <c r="Q211" s="48" t="n"/>
      <c r="R211" s="48" t="n"/>
      <c r="S211" s="48" t="n"/>
      <c r="T211" s="48" t="n"/>
      <c r="U211" s="48" t="n"/>
      <c r="V211" s="48" t="n"/>
      <c r="W211" s="48" t="n"/>
      <c r="X211" s="48" t="n"/>
      <c r="Y211" s="48" t="n"/>
      <c r="Z211" s="48" t="n"/>
      <c r="AA211" s="48" t="n"/>
      <c r="AB211" s="48" t="n"/>
      <c r="AC211" s="48" t="n"/>
      <c r="AD211" s="48" t="n"/>
      <c r="AE211" s="48" t="n"/>
      <c r="AF211" s="48" t="n"/>
      <c r="AG211" s="48" t="n"/>
      <c r="AH211" s="48" t="n"/>
      <c r="AI211" s="48" t="n"/>
      <c r="AJ211" s="48" t="n"/>
      <c r="AK211" s="48" t="n"/>
      <c r="AL211" s="53" t="n"/>
      <c r="AM211" s="52" t="n"/>
      <c r="AN211" s="48" t="n"/>
      <c r="AO211" s="48" t="n"/>
      <c r="AP211" s="48" t="n"/>
      <c r="AQ211" s="48" t="n"/>
      <c r="AR211" s="48" t="n"/>
      <c r="AS211" s="48" t="n"/>
      <c r="AT211" s="48" t="n"/>
      <c r="AU211" s="48" t="n"/>
      <c r="AV211" s="48" t="n"/>
      <c r="AW211" s="48" t="n"/>
      <c r="AX211" s="48" t="n"/>
      <c r="AY211" s="48" t="n"/>
      <c r="AZ211" s="48" t="n"/>
      <c r="BA211" s="48" t="n"/>
      <c r="BB211" s="48" t="n"/>
      <c r="BC211" s="48" t="n"/>
      <c r="BD211" s="48" t="n"/>
      <c r="BE211" s="48" t="n"/>
      <c r="BF211" s="48" t="n"/>
      <c r="BG211" s="48" t="n"/>
      <c r="BH211" s="48" t="n"/>
      <c r="BI211" s="48" t="n"/>
      <c r="BJ211" s="48" t="n"/>
      <c r="BK211" s="48" t="n"/>
      <c r="BL211" s="48" t="n"/>
      <c r="BM211" s="48" t="n"/>
      <c r="BN211" s="48" t="n"/>
    </row>
    <row r="212">
      <c r="A212" s="47" t="n"/>
      <c r="B212" s="48" t="n"/>
      <c r="C212" s="48" t="n"/>
      <c r="D212" s="49" t="n"/>
      <c r="E212" s="48" t="n"/>
      <c r="F212" s="48" t="n"/>
      <c r="G212" s="50" t="n"/>
      <c r="H212" s="51" t="n"/>
      <c r="I212" s="51" t="n"/>
      <c r="J212" s="48" t="n"/>
      <c r="K212" s="52" t="n"/>
      <c r="L212" s="48" t="n"/>
      <c r="M212" s="48" t="n"/>
      <c r="N212" s="48" t="n"/>
      <c r="O212" s="48" t="n"/>
      <c r="P212" s="48" t="n"/>
      <c r="Q212" s="48" t="n"/>
      <c r="R212" s="48" t="n"/>
      <c r="S212" s="48" t="n"/>
      <c r="T212" s="48" t="n"/>
      <c r="U212" s="48" t="n"/>
      <c r="V212" s="48" t="n"/>
      <c r="W212" s="48" t="n"/>
      <c r="X212" s="48" t="n"/>
      <c r="Y212" s="48" t="n"/>
      <c r="Z212" s="48" t="n"/>
      <c r="AA212" s="48" t="n"/>
      <c r="AB212" s="48" t="n"/>
      <c r="AC212" s="48" t="n"/>
      <c r="AD212" s="48" t="n"/>
      <c r="AE212" s="48" t="n"/>
      <c r="AF212" s="48" t="n"/>
      <c r="AG212" s="48" t="n"/>
      <c r="AH212" s="48" t="n"/>
      <c r="AI212" s="48" t="n"/>
      <c r="AJ212" s="48" t="n"/>
      <c r="AK212" s="48" t="n"/>
      <c r="AL212" s="53" t="n"/>
      <c r="AM212" s="52" t="n"/>
      <c r="AN212" s="48" t="n"/>
      <c r="AO212" s="48" t="n"/>
      <c r="AP212" s="48" t="n"/>
      <c r="AQ212" s="48" t="n"/>
      <c r="AR212" s="48" t="n"/>
      <c r="AS212" s="48" t="n"/>
      <c r="AT212" s="48" t="n"/>
      <c r="AU212" s="48" t="n"/>
      <c r="AV212" s="48" t="n"/>
      <c r="AW212" s="48" t="n"/>
      <c r="AX212" s="48" t="n"/>
      <c r="AY212" s="48" t="n"/>
      <c r="AZ212" s="48" t="n"/>
      <c r="BA212" s="48" t="n"/>
      <c r="BB212" s="48" t="n"/>
      <c r="BC212" s="48" t="n"/>
      <c r="BD212" s="48" t="n"/>
      <c r="BE212" s="48" t="n"/>
      <c r="BF212" s="48" t="n"/>
      <c r="BG212" s="48" t="n"/>
      <c r="BH212" s="48" t="n"/>
      <c r="BI212" s="48" t="n"/>
      <c r="BJ212" s="48" t="n"/>
      <c r="BK212" s="48" t="n"/>
      <c r="BL212" s="48" t="n"/>
      <c r="BM212" s="48" t="n"/>
      <c r="BN212" s="48" t="n"/>
    </row>
    <row r="213">
      <c r="A213" s="47" t="n"/>
      <c r="B213" s="48" t="n"/>
      <c r="C213" s="48" t="n"/>
      <c r="D213" s="49" t="n"/>
      <c r="E213" s="48" t="n"/>
      <c r="F213" s="48" t="n"/>
      <c r="G213" s="50" t="n"/>
      <c r="H213" s="51" t="n"/>
      <c r="I213" s="51" t="n"/>
      <c r="J213" s="48" t="n"/>
      <c r="K213" s="52" t="n"/>
      <c r="L213" s="48" t="n"/>
      <c r="M213" s="48" t="n"/>
      <c r="N213" s="48" t="n"/>
      <c r="O213" s="48" t="n"/>
      <c r="P213" s="48" t="n"/>
      <c r="Q213" s="48" t="n"/>
      <c r="R213" s="48" t="n"/>
      <c r="S213" s="48" t="n"/>
      <c r="T213" s="48" t="n"/>
      <c r="U213" s="48" t="n"/>
      <c r="V213" s="48" t="n"/>
      <c r="W213" s="48" t="n"/>
      <c r="X213" s="48" t="n"/>
      <c r="Y213" s="48" t="n"/>
      <c r="Z213" s="48" t="n"/>
      <c r="AA213" s="48" t="n"/>
      <c r="AB213" s="48" t="n"/>
      <c r="AC213" s="48" t="n"/>
      <c r="AD213" s="48" t="n"/>
      <c r="AE213" s="48" t="n"/>
      <c r="AF213" s="48" t="n"/>
      <c r="AG213" s="48" t="n"/>
      <c r="AH213" s="48" t="n"/>
      <c r="AI213" s="48" t="n"/>
      <c r="AJ213" s="48" t="n"/>
      <c r="AK213" s="48" t="n"/>
      <c r="AL213" s="53" t="n"/>
      <c r="AM213" s="52" t="n"/>
      <c r="AN213" s="48" t="n"/>
      <c r="AO213" s="48" t="n"/>
      <c r="AP213" s="48" t="n"/>
      <c r="AQ213" s="48" t="n"/>
      <c r="AR213" s="48" t="n"/>
      <c r="AS213" s="48" t="n"/>
      <c r="AT213" s="48" t="n"/>
      <c r="AU213" s="48" t="n"/>
      <c r="AV213" s="48" t="n"/>
      <c r="AW213" s="48" t="n"/>
      <c r="AX213" s="48" t="n"/>
      <c r="AY213" s="48" t="n"/>
      <c r="AZ213" s="48" t="n"/>
      <c r="BA213" s="48" t="n"/>
      <c r="BB213" s="48" t="n"/>
      <c r="BC213" s="48" t="n"/>
      <c r="BD213" s="48" t="n"/>
      <c r="BE213" s="48" t="n"/>
      <c r="BF213" s="48" t="n"/>
      <c r="BG213" s="48" t="n"/>
      <c r="BH213" s="48" t="n"/>
      <c r="BI213" s="48" t="n"/>
      <c r="BJ213" s="48" t="n"/>
      <c r="BK213" s="48" t="n"/>
      <c r="BL213" s="48" t="n"/>
      <c r="BM213" s="48" t="n"/>
      <c r="BN213" s="48" t="n"/>
    </row>
    <row r="214">
      <c r="A214" s="47" t="n"/>
      <c r="B214" s="48" t="n"/>
      <c r="C214" s="48" t="n"/>
      <c r="D214" s="49" t="n"/>
      <c r="E214" s="48" t="n"/>
      <c r="F214" s="48" t="n"/>
      <c r="G214" s="50" t="n"/>
      <c r="H214" s="51" t="n"/>
      <c r="I214" s="51" t="n"/>
      <c r="J214" s="48" t="n"/>
      <c r="K214" s="52" t="n"/>
      <c r="L214" s="48" t="n"/>
      <c r="M214" s="48" t="n"/>
      <c r="N214" s="48" t="n"/>
      <c r="O214" s="48" t="n"/>
      <c r="P214" s="48" t="n"/>
      <c r="Q214" s="48" t="n"/>
      <c r="R214" s="48" t="n"/>
      <c r="S214" s="48" t="n"/>
      <c r="T214" s="48" t="n"/>
      <c r="U214" s="48" t="n"/>
      <c r="V214" s="48" t="n"/>
      <c r="W214" s="48" t="n"/>
      <c r="X214" s="48" t="n"/>
      <c r="Y214" s="48" t="n"/>
      <c r="Z214" s="48" t="n"/>
      <c r="AA214" s="48" t="n"/>
      <c r="AB214" s="48" t="n"/>
      <c r="AC214" s="48" t="n"/>
      <c r="AD214" s="48" t="n"/>
      <c r="AE214" s="48" t="n"/>
      <c r="AF214" s="48" t="n"/>
      <c r="AG214" s="48" t="n"/>
      <c r="AH214" s="48" t="n"/>
      <c r="AI214" s="48" t="n"/>
      <c r="AJ214" s="48" t="n"/>
      <c r="AK214" s="48" t="n"/>
      <c r="AL214" s="53" t="n"/>
      <c r="AM214" s="52" t="n"/>
      <c r="AN214" s="48" t="n"/>
      <c r="AO214" s="48" t="n"/>
      <c r="AP214" s="48" t="n"/>
      <c r="AQ214" s="48" t="n"/>
      <c r="AR214" s="48" t="n"/>
      <c r="AS214" s="48" t="n"/>
      <c r="AT214" s="48" t="n"/>
      <c r="AU214" s="48" t="n"/>
      <c r="AV214" s="48" t="n"/>
      <c r="AW214" s="48" t="n"/>
      <c r="AX214" s="48" t="n"/>
      <c r="AY214" s="48" t="n"/>
      <c r="AZ214" s="48" t="n"/>
      <c r="BA214" s="48" t="n"/>
      <c r="BB214" s="48" t="n"/>
      <c r="BC214" s="48" t="n"/>
      <c r="BD214" s="48" t="n"/>
      <c r="BE214" s="48" t="n"/>
      <c r="BF214" s="48" t="n"/>
      <c r="BG214" s="48" t="n"/>
      <c r="BH214" s="48" t="n"/>
      <c r="BI214" s="48" t="n"/>
      <c r="BJ214" s="48" t="n"/>
      <c r="BK214" s="48" t="n"/>
      <c r="BL214" s="48" t="n"/>
      <c r="BM214" s="48" t="n"/>
      <c r="BN214" s="48" t="n"/>
    </row>
    <row r="215">
      <c r="A215" s="47" t="n"/>
      <c r="B215" s="48" t="n"/>
      <c r="C215" s="48" t="n"/>
      <c r="D215" s="49" t="n"/>
      <c r="E215" s="48" t="n"/>
      <c r="F215" s="48" t="n"/>
      <c r="G215" s="50" t="n"/>
      <c r="H215" s="51" t="n"/>
      <c r="I215" s="51" t="n"/>
      <c r="J215" s="48" t="n"/>
      <c r="K215" s="52" t="n"/>
      <c r="L215" s="48" t="n"/>
      <c r="M215" s="48" t="n"/>
      <c r="N215" s="48" t="n"/>
      <c r="O215" s="48" t="n"/>
      <c r="P215" s="48" t="n"/>
      <c r="Q215" s="48" t="n"/>
      <c r="R215" s="48" t="n"/>
      <c r="S215" s="48" t="n"/>
      <c r="T215" s="48" t="n"/>
      <c r="U215" s="48" t="n"/>
      <c r="V215" s="48" t="n"/>
      <c r="W215" s="48" t="n"/>
      <c r="X215" s="48" t="n"/>
      <c r="Y215" s="48" t="n"/>
      <c r="Z215" s="48" t="n"/>
      <c r="AA215" s="48" t="n"/>
      <c r="AB215" s="48" t="n"/>
      <c r="AC215" s="48" t="n"/>
      <c r="AD215" s="48" t="n"/>
      <c r="AE215" s="48" t="n"/>
      <c r="AF215" s="48" t="n"/>
      <c r="AG215" s="48" t="n"/>
      <c r="AH215" s="48" t="n"/>
      <c r="AI215" s="48" t="n"/>
      <c r="AJ215" s="48" t="n"/>
      <c r="AK215" s="48" t="n"/>
      <c r="AL215" s="53" t="n"/>
      <c r="AM215" s="52" t="n"/>
      <c r="AN215" s="48" t="n"/>
      <c r="AO215" s="48" t="n"/>
      <c r="AP215" s="48" t="n"/>
      <c r="AQ215" s="48" t="n"/>
      <c r="AR215" s="48" t="n"/>
      <c r="AS215" s="48" t="n"/>
      <c r="AT215" s="48" t="n"/>
      <c r="AU215" s="48" t="n"/>
      <c r="AV215" s="48" t="n"/>
      <c r="AW215" s="48" t="n"/>
      <c r="AX215" s="48" t="n"/>
      <c r="AY215" s="48" t="n"/>
      <c r="AZ215" s="48" t="n"/>
      <c r="BA215" s="48" t="n"/>
      <c r="BB215" s="48" t="n"/>
      <c r="BC215" s="48" t="n"/>
      <c r="BD215" s="48" t="n"/>
      <c r="BE215" s="48" t="n"/>
      <c r="BF215" s="48" t="n"/>
      <c r="BG215" s="48" t="n"/>
      <c r="BH215" s="48" t="n"/>
      <c r="BI215" s="48" t="n"/>
      <c r="BJ215" s="48" t="n"/>
      <c r="BK215" s="48" t="n"/>
      <c r="BL215" s="48" t="n"/>
      <c r="BM215" s="48" t="n"/>
      <c r="BN215" s="48" t="n"/>
    </row>
    <row r="216">
      <c r="A216" s="47" t="n"/>
      <c r="B216" s="48" t="n"/>
      <c r="C216" s="48" t="n"/>
      <c r="D216" s="49" t="n"/>
      <c r="E216" s="48" t="n"/>
      <c r="F216" s="48" t="n"/>
      <c r="G216" s="50" t="n"/>
      <c r="H216" s="51" t="n"/>
      <c r="I216" s="51" t="n"/>
      <c r="J216" s="48" t="n"/>
      <c r="K216" s="52" t="n"/>
      <c r="L216" s="48" t="n"/>
      <c r="M216" s="48" t="n"/>
      <c r="N216" s="48" t="n"/>
      <c r="O216" s="48" t="n"/>
      <c r="P216" s="48" t="n"/>
      <c r="Q216" s="48" t="n"/>
      <c r="R216" s="48" t="n"/>
      <c r="S216" s="48" t="n"/>
      <c r="T216" s="48" t="n"/>
      <c r="U216" s="48" t="n"/>
      <c r="V216" s="48" t="n"/>
      <c r="W216" s="48" t="n"/>
      <c r="X216" s="48" t="n"/>
      <c r="Y216" s="48" t="n"/>
      <c r="Z216" s="48" t="n"/>
      <c r="AA216" s="48" t="n"/>
      <c r="AB216" s="48" t="n"/>
      <c r="AC216" s="48" t="n"/>
      <c r="AD216" s="48" t="n"/>
      <c r="AE216" s="48" t="n"/>
      <c r="AF216" s="48" t="n"/>
      <c r="AG216" s="48" t="n"/>
      <c r="AH216" s="48" t="n"/>
      <c r="AI216" s="48" t="n"/>
      <c r="AJ216" s="48" t="n"/>
      <c r="AK216" s="48" t="n"/>
      <c r="AL216" s="53" t="n"/>
      <c r="AM216" s="52" t="n"/>
      <c r="AN216" s="48" t="n"/>
      <c r="AO216" s="48" t="n"/>
      <c r="AP216" s="48" t="n"/>
      <c r="AQ216" s="48" t="n"/>
      <c r="AR216" s="48" t="n"/>
      <c r="AS216" s="48" t="n"/>
      <c r="AT216" s="48" t="n"/>
      <c r="AU216" s="48" t="n"/>
      <c r="AV216" s="48" t="n"/>
      <c r="AW216" s="48" t="n"/>
      <c r="AX216" s="48" t="n"/>
      <c r="AY216" s="48" t="n"/>
      <c r="AZ216" s="48" t="n"/>
      <c r="BA216" s="48" t="n"/>
      <c r="BB216" s="48" t="n"/>
      <c r="BC216" s="48" t="n"/>
      <c r="BD216" s="48" t="n"/>
      <c r="BE216" s="48" t="n"/>
      <c r="BF216" s="48" t="n"/>
      <c r="BG216" s="48" t="n"/>
      <c r="BH216" s="48" t="n"/>
      <c r="BI216" s="48" t="n"/>
      <c r="BJ216" s="48" t="n"/>
      <c r="BK216" s="48" t="n"/>
      <c r="BL216" s="48" t="n"/>
      <c r="BM216" s="48" t="n"/>
      <c r="BN216" s="48" t="n"/>
    </row>
    <row r="217">
      <c r="A217" s="47" t="n"/>
      <c r="B217" s="48" t="n"/>
      <c r="C217" s="48" t="n"/>
      <c r="D217" s="49" t="n"/>
      <c r="E217" s="48" t="n"/>
      <c r="F217" s="48" t="n"/>
      <c r="G217" s="50" t="n"/>
      <c r="H217" s="51" t="n"/>
      <c r="I217" s="51" t="n"/>
      <c r="J217" s="48" t="n"/>
      <c r="K217" s="52" t="n"/>
      <c r="L217" s="48" t="n"/>
      <c r="M217" s="48" t="n"/>
      <c r="N217" s="48" t="n"/>
      <c r="O217" s="48" t="n"/>
      <c r="P217" s="48" t="n"/>
      <c r="Q217" s="48" t="n"/>
      <c r="R217" s="48" t="n"/>
      <c r="S217" s="48" t="n"/>
      <c r="T217" s="48" t="n"/>
      <c r="U217" s="48" t="n"/>
      <c r="V217" s="48" t="n"/>
      <c r="W217" s="48" t="n"/>
      <c r="X217" s="48" t="n"/>
      <c r="Y217" s="48" t="n"/>
      <c r="Z217" s="48" t="n"/>
      <c r="AA217" s="48" t="n"/>
      <c r="AB217" s="48" t="n"/>
      <c r="AC217" s="48" t="n"/>
      <c r="AD217" s="48" t="n"/>
      <c r="AE217" s="48" t="n"/>
      <c r="AF217" s="48" t="n"/>
      <c r="AG217" s="48" t="n"/>
      <c r="AH217" s="48" t="n"/>
      <c r="AI217" s="48" t="n"/>
      <c r="AJ217" s="48" t="n"/>
      <c r="AK217" s="48" t="n"/>
      <c r="AL217" s="53" t="n"/>
      <c r="AM217" s="52" t="n"/>
      <c r="AN217" s="48" t="n"/>
      <c r="AO217" s="48" t="n"/>
      <c r="AP217" s="48" t="n"/>
      <c r="AQ217" s="48" t="n"/>
      <c r="AR217" s="48" t="n"/>
      <c r="AS217" s="48" t="n"/>
      <c r="AT217" s="48" t="n"/>
      <c r="AU217" s="48" t="n"/>
      <c r="AV217" s="48" t="n"/>
      <c r="AW217" s="48" t="n"/>
      <c r="AX217" s="48" t="n"/>
      <c r="AY217" s="48" t="n"/>
      <c r="AZ217" s="48" t="n"/>
      <c r="BA217" s="48" t="n"/>
      <c r="BB217" s="48" t="n"/>
      <c r="BC217" s="48" t="n"/>
      <c r="BD217" s="48" t="n"/>
      <c r="BE217" s="48" t="n"/>
      <c r="BF217" s="48" t="n"/>
      <c r="BG217" s="48" t="n"/>
      <c r="BH217" s="48" t="n"/>
      <c r="BI217" s="48" t="n"/>
      <c r="BJ217" s="48" t="n"/>
      <c r="BK217" s="48" t="n"/>
      <c r="BL217" s="48" t="n"/>
      <c r="BM217" s="48" t="n"/>
      <c r="BN217" s="48" t="n"/>
    </row>
    <row r="218">
      <c r="A218" s="47" t="n"/>
      <c r="B218" s="48" t="n"/>
      <c r="C218" s="48" t="n"/>
      <c r="D218" s="49" t="n"/>
      <c r="E218" s="48" t="n"/>
      <c r="F218" s="48" t="n"/>
      <c r="G218" s="50" t="n"/>
      <c r="H218" s="51" t="n"/>
      <c r="I218" s="51" t="n"/>
      <c r="J218" s="48" t="n"/>
      <c r="K218" s="52" t="n"/>
      <c r="L218" s="48" t="n"/>
      <c r="M218" s="48" t="n"/>
      <c r="N218" s="48" t="n"/>
      <c r="O218" s="48" t="n"/>
      <c r="P218" s="48" t="n"/>
      <c r="Q218" s="48" t="n"/>
      <c r="R218" s="48" t="n"/>
      <c r="S218" s="48" t="n"/>
      <c r="T218" s="48" t="n"/>
      <c r="U218" s="48" t="n"/>
      <c r="V218" s="48" t="n"/>
      <c r="W218" s="48" t="n"/>
      <c r="X218" s="48" t="n"/>
      <c r="Y218" s="48" t="n"/>
      <c r="Z218" s="48" t="n"/>
      <c r="AA218" s="48" t="n"/>
      <c r="AB218" s="48" t="n"/>
      <c r="AC218" s="48" t="n"/>
      <c r="AD218" s="48" t="n"/>
      <c r="AE218" s="48" t="n"/>
      <c r="AF218" s="48" t="n"/>
      <c r="AG218" s="48" t="n"/>
      <c r="AH218" s="48" t="n"/>
      <c r="AI218" s="48" t="n"/>
      <c r="AJ218" s="48" t="n"/>
      <c r="AK218" s="48" t="n"/>
      <c r="AL218" s="53" t="n"/>
      <c r="AM218" s="52" t="n"/>
      <c r="AN218" s="48" t="n"/>
      <c r="AO218" s="48" t="n"/>
      <c r="AP218" s="48" t="n"/>
      <c r="AQ218" s="48" t="n"/>
      <c r="AR218" s="48" t="n"/>
      <c r="AS218" s="48" t="n"/>
      <c r="AT218" s="48" t="n"/>
      <c r="AU218" s="48" t="n"/>
      <c r="AV218" s="48" t="n"/>
      <c r="AW218" s="48" t="n"/>
      <c r="AX218" s="48" t="n"/>
      <c r="AY218" s="48" t="n"/>
      <c r="AZ218" s="48" t="n"/>
      <c r="BA218" s="48" t="n"/>
      <c r="BB218" s="48" t="n"/>
      <c r="BC218" s="48" t="n"/>
      <c r="BD218" s="48" t="n"/>
      <c r="BE218" s="48" t="n"/>
      <c r="BF218" s="48" t="n"/>
      <c r="BG218" s="48" t="n"/>
      <c r="BH218" s="48" t="n"/>
      <c r="BI218" s="48" t="n"/>
      <c r="BJ218" s="48" t="n"/>
      <c r="BK218" s="48" t="n"/>
      <c r="BL218" s="48" t="n"/>
      <c r="BM218" s="48" t="n"/>
      <c r="BN218" s="48" t="n"/>
    </row>
    <row r="219">
      <c r="A219" s="47" t="n"/>
      <c r="B219" s="48" t="n"/>
      <c r="C219" s="48" t="n"/>
      <c r="D219" s="49" t="n"/>
      <c r="E219" s="48" t="n"/>
      <c r="F219" s="48" t="n"/>
      <c r="G219" s="50" t="n"/>
      <c r="H219" s="51" t="n"/>
      <c r="I219" s="51" t="n"/>
      <c r="J219" s="48" t="n"/>
      <c r="K219" s="52" t="n"/>
      <c r="L219" s="48" t="n"/>
      <c r="M219" s="48" t="n"/>
      <c r="N219" s="48" t="n"/>
      <c r="O219" s="48" t="n"/>
      <c r="P219" s="48" t="n"/>
      <c r="Q219" s="48" t="n"/>
      <c r="R219" s="48" t="n"/>
      <c r="S219" s="48" t="n"/>
      <c r="T219" s="48" t="n"/>
      <c r="U219" s="48" t="n"/>
      <c r="V219" s="48" t="n"/>
      <c r="W219" s="48" t="n"/>
      <c r="X219" s="48" t="n"/>
      <c r="Y219" s="48" t="n"/>
      <c r="Z219" s="48" t="n"/>
      <c r="AA219" s="48" t="n"/>
      <c r="AB219" s="48" t="n"/>
      <c r="AC219" s="48" t="n"/>
      <c r="AD219" s="48" t="n"/>
      <c r="AE219" s="48" t="n"/>
      <c r="AF219" s="48" t="n"/>
      <c r="AG219" s="48" t="n"/>
      <c r="AH219" s="48" t="n"/>
      <c r="AI219" s="48" t="n"/>
      <c r="AJ219" s="48" t="n"/>
      <c r="AK219" s="48" t="n"/>
      <c r="AL219" s="53" t="n"/>
      <c r="AM219" s="52" t="n"/>
      <c r="AN219" s="48" t="n"/>
      <c r="AO219" s="48" t="n"/>
      <c r="AP219" s="48" t="n"/>
      <c r="AQ219" s="48" t="n"/>
      <c r="AR219" s="48" t="n"/>
      <c r="AS219" s="48" t="n"/>
      <c r="AT219" s="48" t="n"/>
      <c r="AU219" s="48" t="n"/>
      <c r="AV219" s="48" t="n"/>
      <c r="AW219" s="48" t="n"/>
      <c r="AX219" s="48" t="n"/>
      <c r="AY219" s="48" t="n"/>
      <c r="AZ219" s="48" t="n"/>
      <c r="BA219" s="48" t="n"/>
      <c r="BB219" s="48" t="n"/>
      <c r="BC219" s="48" t="n"/>
      <c r="BD219" s="48" t="n"/>
      <c r="BE219" s="48" t="n"/>
      <c r="BF219" s="48" t="n"/>
      <c r="BG219" s="48" t="n"/>
      <c r="BH219" s="48" t="n"/>
      <c r="BI219" s="48" t="n"/>
      <c r="BJ219" s="48" t="n"/>
      <c r="BK219" s="48" t="n"/>
      <c r="BL219" s="48" t="n"/>
      <c r="BM219" s="48" t="n"/>
      <c r="BN219" s="48" t="n"/>
    </row>
    <row r="220">
      <c r="A220" s="47" t="n"/>
      <c r="B220" s="48" t="n"/>
      <c r="C220" s="48" t="n"/>
      <c r="D220" s="49" t="n"/>
      <c r="E220" s="48" t="n"/>
      <c r="F220" s="48" t="n"/>
      <c r="G220" s="50" t="n"/>
      <c r="H220" s="51" t="n"/>
      <c r="I220" s="51" t="n"/>
      <c r="J220" s="48" t="n"/>
      <c r="K220" s="52" t="n"/>
      <c r="L220" s="48" t="n"/>
      <c r="M220" s="48" t="n"/>
      <c r="N220" s="48" t="n"/>
      <c r="O220" s="48" t="n"/>
      <c r="P220" s="48" t="n"/>
      <c r="Q220" s="48" t="n"/>
      <c r="R220" s="48" t="n"/>
      <c r="S220" s="48" t="n"/>
      <c r="T220" s="48" t="n"/>
      <c r="U220" s="48" t="n"/>
      <c r="V220" s="48" t="n"/>
      <c r="W220" s="48" t="n"/>
      <c r="X220" s="48" t="n"/>
      <c r="Y220" s="48" t="n"/>
      <c r="Z220" s="48" t="n"/>
      <c r="AA220" s="48" t="n"/>
      <c r="AB220" s="48" t="n"/>
      <c r="AC220" s="48" t="n"/>
      <c r="AD220" s="48" t="n"/>
      <c r="AE220" s="48" t="n"/>
      <c r="AF220" s="48" t="n"/>
      <c r="AG220" s="48" t="n"/>
      <c r="AH220" s="48" t="n"/>
      <c r="AI220" s="48" t="n"/>
      <c r="AJ220" s="48" t="n"/>
      <c r="AK220" s="48" t="n"/>
      <c r="AL220" s="53" t="n"/>
      <c r="AM220" s="52" t="n"/>
      <c r="AN220" s="48" t="n"/>
      <c r="AO220" s="48" t="n"/>
      <c r="AP220" s="48" t="n"/>
      <c r="AQ220" s="48" t="n"/>
      <c r="AR220" s="48" t="n"/>
      <c r="AS220" s="48" t="n"/>
      <c r="AT220" s="48" t="n"/>
      <c r="AU220" s="48" t="n"/>
      <c r="AV220" s="48" t="n"/>
      <c r="AW220" s="48" t="n"/>
      <c r="AX220" s="48" t="n"/>
      <c r="AY220" s="48" t="n"/>
      <c r="AZ220" s="48" t="n"/>
      <c r="BA220" s="48" t="n"/>
      <c r="BB220" s="48" t="n"/>
      <c r="BC220" s="48" t="n"/>
      <c r="BD220" s="48" t="n"/>
      <c r="BE220" s="48" t="n"/>
      <c r="BF220" s="48" t="n"/>
      <c r="BG220" s="48" t="n"/>
      <c r="BH220" s="48" t="n"/>
      <c r="BI220" s="48" t="n"/>
      <c r="BJ220" s="48" t="n"/>
      <c r="BK220" s="48" t="n"/>
      <c r="BL220" s="48" t="n"/>
      <c r="BM220" s="48" t="n"/>
      <c r="BN220" s="48" t="n"/>
    </row>
    <row r="221">
      <c r="A221" s="47" t="n"/>
      <c r="B221" s="48" t="n"/>
      <c r="C221" s="48" t="n"/>
      <c r="D221" s="49" t="n"/>
      <c r="E221" s="48" t="n"/>
      <c r="F221" s="48" t="n"/>
      <c r="G221" s="50" t="n"/>
      <c r="H221" s="51" t="n"/>
      <c r="I221" s="51" t="n"/>
      <c r="J221" s="48" t="n"/>
      <c r="K221" s="52" t="n"/>
      <c r="L221" s="48" t="n"/>
      <c r="M221" s="48" t="n"/>
      <c r="N221" s="48" t="n"/>
      <c r="O221" s="48" t="n"/>
      <c r="P221" s="48" t="n"/>
      <c r="Q221" s="48" t="n"/>
      <c r="R221" s="48" t="n"/>
      <c r="S221" s="48" t="n"/>
      <c r="T221" s="48" t="n"/>
      <c r="U221" s="48" t="n"/>
      <c r="V221" s="48" t="n"/>
      <c r="W221" s="48" t="n"/>
      <c r="X221" s="48" t="n"/>
      <c r="Y221" s="48" t="n"/>
      <c r="Z221" s="48" t="n"/>
      <c r="AA221" s="48" t="n"/>
      <c r="AB221" s="48" t="n"/>
      <c r="AC221" s="48" t="n"/>
      <c r="AD221" s="48" t="n"/>
      <c r="AE221" s="48" t="n"/>
      <c r="AF221" s="48" t="n"/>
      <c r="AG221" s="48" t="n"/>
      <c r="AH221" s="48" t="n"/>
      <c r="AI221" s="48" t="n"/>
      <c r="AJ221" s="48" t="n"/>
      <c r="AK221" s="48" t="n"/>
      <c r="AL221" s="53" t="n"/>
      <c r="AM221" s="52" t="n"/>
      <c r="AN221" s="48" t="n"/>
      <c r="AO221" s="48" t="n"/>
      <c r="AP221" s="48" t="n"/>
      <c r="AQ221" s="48" t="n"/>
      <c r="AR221" s="48" t="n"/>
      <c r="AS221" s="48" t="n"/>
      <c r="AT221" s="48" t="n"/>
      <c r="AU221" s="48" t="n"/>
      <c r="AV221" s="48" t="n"/>
      <c r="AW221" s="48" t="n"/>
      <c r="AX221" s="48" t="n"/>
      <c r="AY221" s="48" t="n"/>
      <c r="AZ221" s="48" t="n"/>
      <c r="BA221" s="48" t="n"/>
      <c r="BB221" s="48" t="n"/>
      <c r="BC221" s="48" t="n"/>
      <c r="BD221" s="48" t="n"/>
      <c r="BE221" s="48" t="n"/>
      <c r="BF221" s="48" t="n"/>
      <c r="BG221" s="48" t="n"/>
      <c r="BH221" s="48" t="n"/>
      <c r="BI221" s="48" t="n"/>
      <c r="BJ221" s="48" t="n"/>
      <c r="BK221" s="48" t="n"/>
      <c r="BL221" s="48" t="n"/>
      <c r="BM221" s="48" t="n"/>
      <c r="BN221" s="48" t="n"/>
    </row>
    <row r="222">
      <c r="A222" s="47" t="n"/>
      <c r="B222" s="48" t="n"/>
      <c r="C222" s="48" t="n"/>
      <c r="D222" s="49" t="n"/>
      <c r="E222" s="48" t="n"/>
      <c r="F222" s="48" t="n"/>
      <c r="G222" s="50" t="n"/>
      <c r="H222" s="51" t="n"/>
      <c r="I222" s="51" t="n"/>
      <c r="J222" s="48" t="n"/>
      <c r="K222" s="52" t="n"/>
      <c r="L222" s="48" t="n"/>
      <c r="M222" s="48" t="n"/>
      <c r="N222" s="48" t="n"/>
      <c r="O222" s="48" t="n"/>
      <c r="P222" s="48" t="n"/>
      <c r="Q222" s="48" t="n"/>
      <c r="R222" s="48" t="n"/>
      <c r="S222" s="48" t="n"/>
      <c r="T222" s="48" t="n"/>
      <c r="U222" s="48" t="n"/>
      <c r="V222" s="48" t="n"/>
      <c r="W222" s="48" t="n"/>
      <c r="X222" s="48" t="n"/>
      <c r="Y222" s="48" t="n"/>
      <c r="Z222" s="48" t="n"/>
      <c r="AA222" s="48" t="n"/>
      <c r="AB222" s="48" t="n"/>
      <c r="AC222" s="48" t="n"/>
      <c r="AD222" s="48" t="n"/>
      <c r="AE222" s="48" t="n"/>
      <c r="AF222" s="48" t="n"/>
      <c r="AG222" s="48" t="n"/>
      <c r="AH222" s="48" t="n"/>
      <c r="AI222" s="48" t="n"/>
      <c r="AJ222" s="48" t="n"/>
      <c r="AK222" s="48" t="n"/>
      <c r="AL222" s="53" t="n"/>
      <c r="AM222" s="52" t="n"/>
      <c r="AN222" s="48" t="n"/>
      <c r="AO222" s="48" t="n"/>
      <c r="AP222" s="48" t="n"/>
      <c r="AQ222" s="48" t="n"/>
      <c r="AR222" s="48" t="n"/>
      <c r="AS222" s="48" t="n"/>
      <c r="AT222" s="48" t="n"/>
      <c r="AU222" s="48" t="n"/>
      <c r="AV222" s="48" t="n"/>
      <c r="AW222" s="48" t="n"/>
      <c r="AX222" s="48" t="n"/>
      <c r="AY222" s="48" t="n"/>
      <c r="AZ222" s="48" t="n"/>
      <c r="BA222" s="48" t="n"/>
      <c r="BB222" s="48" t="n"/>
      <c r="BC222" s="48" t="n"/>
      <c r="BD222" s="48" t="n"/>
      <c r="BE222" s="48" t="n"/>
      <c r="BF222" s="48" t="n"/>
      <c r="BG222" s="48" t="n"/>
      <c r="BH222" s="48" t="n"/>
      <c r="BI222" s="48" t="n"/>
      <c r="BJ222" s="48" t="n"/>
      <c r="BK222" s="48" t="n"/>
      <c r="BL222" s="48" t="n"/>
      <c r="BM222" s="48" t="n"/>
      <c r="BN222" s="48" t="n"/>
    </row>
    <row r="223">
      <c r="A223" s="47" t="n"/>
      <c r="B223" s="48" t="n"/>
      <c r="C223" s="48" t="n"/>
      <c r="D223" s="49" t="n"/>
      <c r="E223" s="48" t="n"/>
      <c r="F223" s="48" t="n"/>
      <c r="G223" s="50" t="n"/>
      <c r="H223" s="51" t="n"/>
      <c r="I223" s="51" t="n"/>
      <c r="J223" s="48" t="n"/>
      <c r="K223" s="52" t="n"/>
      <c r="L223" s="48" t="n"/>
      <c r="M223" s="48" t="n"/>
      <c r="N223" s="48" t="n"/>
      <c r="O223" s="48" t="n"/>
      <c r="P223" s="48" t="n"/>
      <c r="Q223" s="48" t="n"/>
      <c r="R223" s="48" t="n"/>
      <c r="S223" s="48" t="n"/>
      <c r="T223" s="48" t="n"/>
      <c r="U223" s="48" t="n"/>
      <c r="V223" s="48" t="n"/>
      <c r="W223" s="48" t="n"/>
      <c r="X223" s="48" t="n"/>
      <c r="Y223" s="48" t="n"/>
      <c r="Z223" s="48" t="n"/>
      <c r="AA223" s="48" t="n"/>
      <c r="AB223" s="48" t="n"/>
      <c r="AC223" s="48" t="n"/>
      <c r="AD223" s="48" t="n"/>
      <c r="AE223" s="48" t="n"/>
      <c r="AF223" s="48" t="n"/>
      <c r="AG223" s="48" t="n"/>
      <c r="AH223" s="48" t="n"/>
      <c r="AI223" s="48" t="n"/>
      <c r="AJ223" s="48" t="n"/>
      <c r="AK223" s="48" t="n"/>
      <c r="AL223" s="53" t="n"/>
      <c r="AM223" s="52" t="n"/>
      <c r="AN223" s="48" t="n"/>
      <c r="AO223" s="48" t="n"/>
      <c r="AP223" s="48" t="n"/>
      <c r="AQ223" s="48" t="n"/>
      <c r="AR223" s="48" t="n"/>
      <c r="AS223" s="48" t="n"/>
      <c r="AT223" s="48" t="n"/>
      <c r="AU223" s="48" t="n"/>
      <c r="AV223" s="48" t="n"/>
      <c r="AW223" s="48" t="n"/>
      <c r="AX223" s="48" t="n"/>
      <c r="AY223" s="48" t="n"/>
      <c r="AZ223" s="48" t="n"/>
      <c r="BA223" s="48" t="n"/>
      <c r="BB223" s="48" t="n"/>
      <c r="BC223" s="48" t="n"/>
      <c r="BD223" s="48" t="n"/>
      <c r="BE223" s="48" t="n"/>
      <c r="BF223" s="48" t="n"/>
      <c r="BG223" s="48" t="n"/>
      <c r="BH223" s="48" t="n"/>
      <c r="BI223" s="48" t="n"/>
      <c r="BJ223" s="48" t="n"/>
      <c r="BK223" s="48" t="n"/>
      <c r="BL223" s="48" t="n"/>
      <c r="BM223" s="48" t="n"/>
      <c r="BN223" s="48" t="n"/>
    </row>
    <row r="224">
      <c r="A224" s="47" t="n"/>
      <c r="B224" s="48" t="n"/>
      <c r="C224" s="48" t="n"/>
      <c r="D224" s="49" t="n"/>
      <c r="E224" s="48" t="n"/>
      <c r="F224" s="48" t="n"/>
      <c r="G224" s="50" t="n"/>
      <c r="H224" s="51" t="n"/>
      <c r="I224" s="51" t="n"/>
      <c r="J224" s="48" t="n"/>
      <c r="K224" s="52" t="n"/>
      <c r="L224" s="48" t="n"/>
      <c r="M224" s="48" t="n"/>
      <c r="N224" s="48" t="n"/>
      <c r="O224" s="48" t="n"/>
      <c r="P224" s="48" t="n"/>
      <c r="Q224" s="48" t="n"/>
      <c r="R224" s="48" t="n"/>
      <c r="S224" s="48" t="n"/>
      <c r="T224" s="48" t="n"/>
      <c r="U224" s="48" t="n"/>
      <c r="V224" s="48" t="n"/>
      <c r="W224" s="48" t="n"/>
      <c r="X224" s="48" t="n"/>
      <c r="Y224" s="48" t="n"/>
      <c r="Z224" s="48" t="n"/>
      <c r="AA224" s="48" t="n"/>
      <c r="AB224" s="48" t="n"/>
      <c r="AC224" s="48" t="n"/>
      <c r="AD224" s="48" t="n"/>
      <c r="AE224" s="48" t="n"/>
      <c r="AF224" s="48" t="n"/>
      <c r="AG224" s="48" t="n"/>
      <c r="AH224" s="48" t="n"/>
      <c r="AI224" s="48" t="n"/>
      <c r="AJ224" s="48" t="n"/>
      <c r="AK224" s="48" t="n"/>
      <c r="AL224" s="53" t="n"/>
      <c r="AM224" s="52" t="n"/>
      <c r="AN224" s="48" t="n"/>
      <c r="AO224" s="48" t="n"/>
      <c r="AP224" s="48" t="n"/>
      <c r="AQ224" s="48" t="n"/>
      <c r="AR224" s="48" t="n"/>
      <c r="AS224" s="48" t="n"/>
      <c r="AT224" s="48" t="n"/>
      <c r="AU224" s="48" t="n"/>
      <c r="AV224" s="48" t="n"/>
      <c r="AW224" s="48" t="n"/>
      <c r="AX224" s="48" t="n"/>
      <c r="AY224" s="48" t="n"/>
      <c r="AZ224" s="48" t="n"/>
      <c r="BA224" s="48" t="n"/>
      <c r="BB224" s="48" t="n"/>
      <c r="BC224" s="48" t="n"/>
      <c r="BD224" s="48" t="n"/>
      <c r="BE224" s="48" t="n"/>
      <c r="BF224" s="48" t="n"/>
      <c r="BG224" s="48" t="n"/>
      <c r="BH224" s="48" t="n"/>
      <c r="BI224" s="48" t="n"/>
      <c r="BJ224" s="48" t="n"/>
      <c r="BK224" s="48" t="n"/>
      <c r="BL224" s="48" t="n"/>
      <c r="BM224" s="48" t="n"/>
      <c r="BN224" s="48" t="n"/>
    </row>
    <row r="225">
      <c r="A225" s="47" t="n"/>
      <c r="B225" s="48" t="n"/>
      <c r="C225" s="48" t="n"/>
      <c r="D225" s="49" t="n"/>
      <c r="E225" s="48" t="n"/>
      <c r="F225" s="48" t="n"/>
      <c r="G225" s="50" t="n"/>
      <c r="H225" s="51" t="n"/>
      <c r="I225" s="51" t="n"/>
      <c r="J225" s="48" t="n"/>
      <c r="K225" s="52" t="n"/>
      <c r="L225" s="48" t="n"/>
      <c r="M225" s="48" t="n"/>
      <c r="N225" s="48" t="n"/>
      <c r="O225" s="48" t="n"/>
      <c r="P225" s="48" t="n"/>
      <c r="Q225" s="48" t="n"/>
      <c r="R225" s="48" t="n"/>
      <c r="S225" s="48" t="n"/>
      <c r="T225" s="48" t="n"/>
      <c r="U225" s="48" t="n"/>
      <c r="V225" s="48" t="n"/>
      <c r="W225" s="48" t="n"/>
      <c r="X225" s="48" t="n"/>
      <c r="Y225" s="48" t="n"/>
      <c r="Z225" s="48" t="n"/>
      <c r="AA225" s="48" t="n"/>
      <c r="AB225" s="48" t="n"/>
      <c r="AC225" s="48" t="n"/>
      <c r="AD225" s="48" t="n"/>
      <c r="AE225" s="48" t="n"/>
      <c r="AF225" s="48" t="n"/>
      <c r="AG225" s="48" t="n"/>
      <c r="AH225" s="48" t="n"/>
      <c r="AI225" s="48" t="n"/>
      <c r="AJ225" s="48" t="n"/>
      <c r="AK225" s="48" t="n"/>
      <c r="AL225" s="53" t="n"/>
      <c r="AM225" s="52" t="n"/>
      <c r="AN225" s="48" t="n"/>
      <c r="AO225" s="48" t="n"/>
      <c r="AP225" s="48" t="n"/>
      <c r="AQ225" s="48" t="n"/>
      <c r="AR225" s="48" t="n"/>
      <c r="AS225" s="48" t="n"/>
      <c r="AT225" s="48" t="n"/>
      <c r="AU225" s="48" t="n"/>
      <c r="AV225" s="48" t="n"/>
      <c r="AW225" s="48" t="n"/>
      <c r="AX225" s="48" t="n"/>
      <c r="AY225" s="48" t="n"/>
      <c r="AZ225" s="48" t="n"/>
      <c r="BA225" s="48" t="n"/>
      <c r="BB225" s="48" t="n"/>
      <c r="BC225" s="48" t="n"/>
      <c r="BD225" s="48" t="n"/>
      <c r="BE225" s="48" t="n"/>
      <c r="BF225" s="48" t="n"/>
      <c r="BG225" s="48" t="n"/>
      <c r="BH225" s="48" t="n"/>
      <c r="BI225" s="48" t="n"/>
      <c r="BJ225" s="48" t="n"/>
      <c r="BK225" s="48" t="n"/>
      <c r="BL225" s="48" t="n"/>
      <c r="BM225" s="48" t="n"/>
      <c r="BN225" s="48" t="n"/>
    </row>
    <row r="226">
      <c r="A226" s="47" t="n"/>
      <c r="B226" s="48" t="n"/>
      <c r="C226" s="48" t="n"/>
      <c r="D226" s="49" t="n"/>
      <c r="E226" s="48" t="n"/>
      <c r="F226" s="48" t="n"/>
      <c r="G226" s="50" t="n"/>
      <c r="H226" s="51" t="n"/>
      <c r="I226" s="51" t="n"/>
      <c r="J226" s="48" t="n"/>
      <c r="K226" s="52" t="n"/>
      <c r="L226" s="48" t="n"/>
      <c r="M226" s="48" t="n"/>
      <c r="N226" s="48" t="n"/>
      <c r="O226" s="48" t="n"/>
      <c r="P226" s="48" t="n"/>
      <c r="Q226" s="48" t="n"/>
      <c r="R226" s="48" t="n"/>
      <c r="S226" s="48" t="n"/>
      <c r="T226" s="48" t="n"/>
      <c r="U226" s="48" t="n"/>
      <c r="V226" s="48" t="n"/>
      <c r="W226" s="48" t="n"/>
      <c r="X226" s="48" t="n"/>
      <c r="Y226" s="48" t="n"/>
      <c r="Z226" s="48" t="n"/>
      <c r="AA226" s="48" t="n"/>
      <c r="AB226" s="48" t="n"/>
      <c r="AC226" s="48" t="n"/>
      <c r="AD226" s="48" t="n"/>
      <c r="AE226" s="48" t="n"/>
      <c r="AF226" s="48" t="n"/>
      <c r="AG226" s="48" t="n"/>
      <c r="AH226" s="48" t="n"/>
      <c r="AI226" s="48" t="n"/>
      <c r="AJ226" s="48" t="n"/>
      <c r="AK226" s="48" t="n"/>
      <c r="AL226" s="53" t="n"/>
      <c r="AM226" s="52" t="n"/>
      <c r="AN226" s="48" t="n"/>
      <c r="AO226" s="48" t="n"/>
      <c r="AP226" s="48" t="n"/>
      <c r="AQ226" s="48" t="n"/>
      <c r="AR226" s="48" t="n"/>
      <c r="AS226" s="48" t="n"/>
      <c r="AT226" s="48" t="n"/>
      <c r="AU226" s="48" t="n"/>
      <c r="AV226" s="48" t="n"/>
      <c r="AW226" s="48" t="n"/>
      <c r="AX226" s="48" t="n"/>
      <c r="AY226" s="48" t="n"/>
      <c r="AZ226" s="48" t="n"/>
      <c r="BA226" s="48" t="n"/>
      <c r="BB226" s="48" t="n"/>
      <c r="BC226" s="48" t="n"/>
      <c r="BD226" s="48" t="n"/>
      <c r="BE226" s="48" t="n"/>
      <c r="BF226" s="48" t="n"/>
      <c r="BG226" s="48" t="n"/>
      <c r="BH226" s="48" t="n"/>
      <c r="BI226" s="48" t="n"/>
      <c r="BJ226" s="48" t="n"/>
      <c r="BK226" s="48" t="n"/>
      <c r="BL226" s="48" t="n"/>
      <c r="BM226" s="48" t="n"/>
      <c r="BN226" s="48" t="n"/>
    </row>
    <row r="227">
      <c r="A227" s="47" t="n"/>
      <c r="B227" s="48" t="n"/>
      <c r="C227" s="48" t="n"/>
      <c r="D227" s="49" t="n"/>
      <c r="E227" s="48" t="n"/>
      <c r="F227" s="48" t="n"/>
      <c r="G227" s="50" t="n"/>
      <c r="H227" s="51" t="n"/>
      <c r="I227" s="51" t="n"/>
      <c r="J227" s="48" t="n"/>
      <c r="K227" s="52" t="n"/>
      <c r="L227" s="48" t="n"/>
      <c r="M227" s="48" t="n"/>
      <c r="N227" s="48" t="n"/>
      <c r="O227" s="48" t="n"/>
      <c r="P227" s="48" t="n"/>
      <c r="Q227" s="48" t="n"/>
      <c r="R227" s="48" t="n"/>
      <c r="S227" s="48" t="n"/>
      <c r="T227" s="48" t="n"/>
      <c r="U227" s="48" t="n"/>
      <c r="V227" s="48" t="n"/>
      <c r="W227" s="48" t="n"/>
      <c r="X227" s="48" t="n"/>
      <c r="Y227" s="48" t="n"/>
      <c r="Z227" s="48" t="n"/>
      <c r="AA227" s="48" t="n"/>
      <c r="AB227" s="48" t="n"/>
      <c r="AC227" s="48" t="n"/>
      <c r="AD227" s="48" t="n"/>
      <c r="AE227" s="48" t="n"/>
      <c r="AF227" s="48" t="n"/>
      <c r="AG227" s="48" t="n"/>
      <c r="AH227" s="48" t="n"/>
      <c r="AI227" s="48" t="n"/>
      <c r="AJ227" s="48" t="n"/>
      <c r="AK227" s="48" t="n"/>
      <c r="AL227" s="53" t="n"/>
      <c r="AM227" s="52" t="n"/>
      <c r="AN227" s="48" t="n"/>
      <c r="AO227" s="48" t="n"/>
      <c r="AP227" s="48" t="n"/>
      <c r="AQ227" s="48" t="n"/>
      <c r="AR227" s="48" t="n"/>
      <c r="AS227" s="48" t="n"/>
      <c r="AT227" s="48" t="n"/>
      <c r="AU227" s="48" t="n"/>
      <c r="AV227" s="48" t="n"/>
      <c r="AW227" s="48" t="n"/>
      <c r="AX227" s="48" t="n"/>
      <c r="AY227" s="48" t="n"/>
      <c r="AZ227" s="48" t="n"/>
      <c r="BA227" s="48" t="n"/>
      <c r="BB227" s="48" t="n"/>
      <c r="BC227" s="48" t="n"/>
      <c r="BD227" s="48" t="n"/>
      <c r="BE227" s="48" t="n"/>
      <c r="BF227" s="48" t="n"/>
      <c r="BG227" s="48" t="n"/>
      <c r="BH227" s="48" t="n"/>
      <c r="BI227" s="48" t="n"/>
      <c r="BJ227" s="48" t="n"/>
      <c r="BK227" s="48" t="n"/>
      <c r="BL227" s="48" t="n"/>
      <c r="BM227" s="48" t="n"/>
      <c r="BN227" s="48" t="n"/>
    </row>
    <row r="228">
      <c r="A228" s="47" t="n"/>
      <c r="B228" s="48" t="n"/>
      <c r="C228" s="48" t="n"/>
      <c r="D228" s="49" t="n"/>
      <c r="E228" s="48" t="n"/>
      <c r="F228" s="48" t="n"/>
      <c r="G228" s="50" t="n"/>
      <c r="H228" s="51" t="n"/>
      <c r="I228" s="51" t="n"/>
      <c r="J228" s="48" t="n"/>
      <c r="K228" s="52" t="n"/>
      <c r="L228" s="48" t="n"/>
      <c r="M228" s="48" t="n"/>
      <c r="N228" s="48" t="n"/>
      <c r="O228" s="48" t="n"/>
      <c r="P228" s="48" t="n"/>
      <c r="Q228" s="48" t="n"/>
      <c r="R228" s="48" t="n"/>
      <c r="S228" s="48" t="n"/>
      <c r="T228" s="48" t="n"/>
      <c r="U228" s="48" t="n"/>
      <c r="V228" s="48" t="n"/>
      <c r="W228" s="48" t="n"/>
      <c r="X228" s="48" t="n"/>
      <c r="Y228" s="48" t="n"/>
      <c r="Z228" s="48" t="n"/>
      <c r="AA228" s="48" t="n"/>
      <c r="AB228" s="48" t="n"/>
      <c r="AC228" s="48" t="n"/>
      <c r="AD228" s="48" t="n"/>
      <c r="AE228" s="48" t="n"/>
      <c r="AF228" s="48" t="n"/>
      <c r="AG228" s="48" t="n"/>
      <c r="AH228" s="48" t="n"/>
      <c r="AI228" s="48" t="n"/>
      <c r="AJ228" s="48" t="n"/>
      <c r="AK228" s="48" t="n"/>
      <c r="AL228" s="53" t="n"/>
      <c r="AM228" s="52" t="n"/>
      <c r="AN228" s="48" t="n"/>
      <c r="AO228" s="48" t="n"/>
      <c r="AP228" s="48" t="n"/>
      <c r="AQ228" s="48" t="n"/>
      <c r="AR228" s="48" t="n"/>
      <c r="AS228" s="48" t="n"/>
      <c r="AT228" s="48" t="n"/>
      <c r="AU228" s="48" t="n"/>
      <c r="AV228" s="48" t="n"/>
      <c r="AW228" s="48" t="n"/>
      <c r="AX228" s="48" t="n"/>
      <c r="AY228" s="48" t="n"/>
      <c r="AZ228" s="48" t="n"/>
      <c r="BA228" s="48" t="n"/>
      <c r="BB228" s="48" t="n"/>
      <c r="BC228" s="48" t="n"/>
      <c r="BD228" s="48" t="n"/>
      <c r="BE228" s="48" t="n"/>
      <c r="BF228" s="48" t="n"/>
      <c r="BG228" s="48" t="n"/>
      <c r="BH228" s="48" t="n"/>
      <c r="BI228" s="48" t="n"/>
      <c r="BJ228" s="48" t="n"/>
      <c r="BK228" s="48" t="n"/>
      <c r="BL228" s="48" t="n"/>
      <c r="BM228" s="48" t="n"/>
      <c r="BN228" s="48" t="n"/>
    </row>
    <row r="229">
      <c r="A229" s="47" t="n"/>
      <c r="B229" s="48" t="n"/>
      <c r="C229" s="48" t="n"/>
      <c r="D229" s="49" t="n"/>
      <c r="E229" s="48" t="n"/>
      <c r="F229" s="48" t="n"/>
      <c r="G229" s="50" t="n"/>
      <c r="H229" s="51" t="n"/>
      <c r="I229" s="51" t="n"/>
      <c r="J229" s="48" t="n"/>
      <c r="K229" s="52" t="n"/>
      <c r="L229" s="48" t="n"/>
      <c r="M229" s="48" t="n"/>
      <c r="N229" s="48" t="n"/>
      <c r="O229" s="48" t="n"/>
      <c r="P229" s="48" t="n"/>
      <c r="Q229" s="48" t="n"/>
      <c r="R229" s="48" t="n"/>
      <c r="S229" s="48" t="n"/>
      <c r="T229" s="48" t="n"/>
      <c r="U229" s="48" t="n"/>
      <c r="V229" s="48" t="n"/>
      <c r="W229" s="48" t="n"/>
      <c r="X229" s="48" t="n"/>
      <c r="Y229" s="48" t="n"/>
      <c r="Z229" s="48" t="n"/>
      <c r="AA229" s="48" t="n"/>
      <c r="AB229" s="48" t="n"/>
      <c r="AC229" s="48" t="n"/>
      <c r="AD229" s="48" t="n"/>
      <c r="AE229" s="48" t="n"/>
      <c r="AF229" s="48" t="n"/>
      <c r="AG229" s="48" t="n"/>
      <c r="AH229" s="48" t="n"/>
      <c r="AI229" s="48" t="n"/>
      <c r="AJ229" s="48" t="n"/>
      <c r="AK229" s="48" t="n"/>
      <c r="AL229" s="53" t="n"/>
      <c r="AM229" s="52" t="n"/>
      <c r="AN229" s="48" t="n"/>
      <c r="AO229" s="48" t="n"/>
      <c r="AP229" s="48" t="n"/>
      <c r="AQ229" s="48" t="n"/>
      <c r="AR229" s="48" t="n"/>
      <c r="AS229" s="48" t="n"/>
      <c r="AT229" s="48" t="n"/>
      <c r="AU229" s="48" t="n"/>
      <c r="AV229" s="48" t="n"/>
      <c r="AW229" s="48" t="n"/>
      <c r="AX229" s="48" t="n"/>
      <c r="AY229" s="48" t="n"/>
      <c r="AZ229" s="48" t="n"/>
      <c r="BA229" s="48" t="n"/>
      <c r="BB229" s="48" t="n"/>
      <c r="BC229" s="48" t="n"/>
      <c r="BD229" s="48" t="n"/>
      <c r="BE229" s="48" t="n"/>
      <c r="BF229" s="48" t="n"/>
      <c r="BG229" s="48" t="n"/>
      <c r="BH229" s="48" t="n"/>
      <c r="BI229" s="48" t="n"/>
      <c r="BJ229" s="48" t="n"/>
      <c r="BK229" s="48" t="n"/>
      <c r="BL229" s="48" t="n"/>
      <c r="BM229" s="48" t="n"/>
      <c r="BN229" s="48" t="n"/>
    </row>
    <row r="230">
      <c r="A230" s="47" t="n"/>
      <c r="B230" s="48" t="n"/>
      <c r="C230" s="48" t="n"/>
      <c r="D230" s="49" t="n"/>
      <c r="E230" s="48" t="n"/>
      <c r="F230" s="48" t="n"/>
      <c r="G230" s="50" t="n"/>
      <c r="H230" s="51" t="n"/>
      <c r="I230" s="51" t="n"/>
      <c r="J230" s="48" t="n"/>
      <c r="K230" s="52" t="n"/>
      <c r="L230" s="48" t="n"/>
      <c r="M230" s="48" t="n"/>
      <c r="N230" s="48" t="n"/>
      <c r="O230" s="48" t="n"/>
      <c r="P230" s="48" t="n"/>
      <c r="Q230" s="48" t="n"/>
      <c r="R230" s="48" t="n"/>
      <c r="S230" s="48" t="n"/>
      <c r="T230" s="48" t="n"/>
      <c r="U230" s="48" t="n"/>
      <c r="V230" s="48" t="n"/>
      <c r="W230" s="48" t="n"/>
      <c r="X230" s="48" t="n"/>
      <c r="Y230" s="48" t="n"/>
      <c r="Z230" s="48" t="n"/>
      <c r="AA230" s="48" t="n"/>
      <c r="AB230" s="48" t="n"/>
      <c r="AC230" s="48" t="n"/>
      <c r="AD230" s="48" t="n"/>
      <c r="AE230" s="48" t="n"/>
      <c r="AF230" s="48" t="n"/>
      <c r="AG230" s="48" t="n"/>
      <c r="AH230" s="48" t="n"/>
      <c r="AI230" s="48" t="n"/>
      <c r="AJ230" s="48" t="n"/>
      <c r="AK230" s="48" t="n"/>
      <c r="AL230" s="53" t="n"/>
      <c r="AM230" s="52" t="n"/>
      <c r="AN230" s="48" t="n"/>
      <c r="AO230" s="48" t="n"/>
      <c r="AP230" s="48" t="n"/>
      <c r="AQ230" s="48" t="n"/>
      <c r="AR230" s="48" t="n"/>
      <c r="AS230" s="48" t="n"/>
      <c r="AT230" s="48" t="n"/>
      <c r="AU230" s="48" t="n"/>
      <c r="AV230" s="48" t="n"/>
      <c r="AW230" s="48" t="n"/>
      <c r="AX230" s="48" t="n"/>
      <c r="AY230" s="48" t="n"/>
      <c r="AZ230" s="48" t="n"/>
      <c r="BA230" s="48" t="n"/>
      <c r="BB230" s="48" t="n"/>
      <c r="BC230" s="48" t="n"/>
      <c r="BD230" s="48" t="n"/>
      <c r="BE230" s="48" t="n"/>
      <c r="BF230" s="48" t="n"/>
      <c r="BG230" s="48" t="n"/>
      <c r="BH230" s="48" t="n"/>
      <c r="BI230" s="48" t="n"/>
      <c r="BJ230" s="48" t="n"/>
      <c r="BK230" s="48" t="n"/>
      <c r="BL230" s="48" t="n"/>
      <c r="BM230" s="48" t="n"/>
      <c r="BN230" s="48" t="n"/>
    </row>
    <row r="231">
      <c r="A231" s="47" t="n"/>
      <c r="B231" s="48" t="n"/>
      <c r="C231" s="48" t="n"/>
      <c r="D231" s="49" t="n"/>
      <c r="E231" s="48" t="n"/>
      <c r="F231" s="48" t="n"/>
      <c r="G231" s="50" t="n"/>
      <c r="H231" s="51" t="n"/>
      <c r="I231" s="51" t="n"/>
      <c r="J231" s="48" t="n"/>
      <c r="K231" s="52" t="n"/>
      <c r="L231" s="48" t="n"/>
      <c r="M231" s="48" t="n"/>
      <c r="N231" s="48" t="n"/>
      <c r="O231" s="48" t="n"/>
      <c r="P231" s="48" t="n"/>
      <c r="Q231" s="48" t="n"/>
      <c r="R231" s="48" t="n"/>
      <c r="S231" s="48" t="n"/>
      <c r="T231" s="48" t="n"/>
      <c r="U231" s="48" t="n"/>
      <c r="V231" s="48" t="n"/>
      <c r="W231" s="48" t="n"/>
      <c r="X231" s="48" t="n"/>
      <c r="Y231" s="48" t="n"/>
      <c r="Z231" s="48" t="n"/>
      <c r="AA231" s="48" t="n"/>
      <c r="AB231" s="48" t="n"/>
      <c r="AC231" s="48" t="n"/>
      <c r="AD231" s="48" t="n"/>
      <c r="AE231" s="48" t="n"/>
      <c r="AF231" s="48" t="n"/>
      <c r="AG231" s="48" t="n"/>
      <c r="AH231" s="48" t="n"/>
      <c r="AI231" s="48" t="n"/>
      <c r="AJ231" s="48" t="n"/>
      <c r="AK231" s="48" t="n"/>
      <c r="AL231" s="53" t="n"/>
      <c r="AM231" s="52" t="n"/>
      <c r="AN231" s="48" t="n"/>
      <c r="AO231" s="48" t="n"/>
      <c r="AP231" s="48" t="n"/>
      <c r="AQ231" s="48" t="n"/>
      <c r="AR231" s="48" t="n"/>
      <c r="AS231" s="48" t="n"/>
      <c r="AT231" s="48" t="n"/>
      <c r="AU231" s="48" t="n"/>
      <c r="AV231" s="48" t="n"/>
      <c r="AW231" s="48" t="n"/>
      <c r="AX231" s="48" t="n"/>
      <c r="AY231" s="48" t="n"/>
      <c r="AZ231" s="48" t="n"/>
      <c r="BA231" s="48" t="n"/>
      <c r="BB231" s="48" t="n"/>
      <c r="BC231" s="48" t="n"/>
      <c r="BD231" s="48" t="n"/>
      <c r="BE231" s="48" t="n"/>
      <c r="BF231" s="48" t="n"/>
      <c r="BG231" s="48" t="n"/>
      <c r="BH231" s="48" t="n"/>
      <c r="BI231" s="48" t="n"/>
      <c r="BJ231" s="48" t="n"/>
      <c r="BK231" s="48" t="n"/>
      <c r="BL231" s="48" t="n"/>
      <c r="BM231" s="48" t="n"/>
      <c r="BN231" s="48" t="n"/>
    </row>
    <row r="232">
      <c r="A232" s="47" t="n"/>
      <c r="B232" s="48" t="n"/>
      <c r="C232" s="48" t="n"/>
      <c r="D232" s="49" t="n"/>
      <c r="E232" s="48" t="n"/>
      <c r="F232" s="48" t="n"/>
      <c r="G232" s="50" t="n"/>
      <c r="H232" s="51" t="n"/>
      <c r="I232" s="51" t="n"/>
      <c r="J232" s="48" t="n"/>
      <c r="K232" s="52" t="n"/>
      <c r="L232" s="48" t="n"/>
      <c r="M232" s="48" t="n"/>
      <c r="N232" s="48" t="n"/>
      <c r="O232" s="48" t="n"/>
      <c r="P232" s="48" t="n"/>
      <c r="Q232" s="48" t="n"/>
      <c r="R232" s="48" t="n"/>
      <c r="S232" s="48" t="n"/>
      <c r="T232" s="48" t="n"/>
      <c r="U232" s="48" t="n"/>
      <c r="V232" s="48" t="n"/>
      <c r="W232" s="48" t="n"/>
      <c r="X232" s="48" t="n"/>
      <c r="Y232" s="48" t="n"/>
      <c r="Z232" s="48" t="n"/>
      <c r="AA232" s="48" t="n"/>
      <c r="AB232" s="48" t="n"/>
      <c r="AC232" s="48" t="n"/>
      <c r="AD232" s="48" t="n"/>
      <c r="AE232" s="48" t="n"/>
      <c r="AF232" s="48" t="n"/>
      <c r="AG232" s="48" t="n"/>
      <c r="AH232" s="48" t="n"/>
      <c r="AI232" s="48" t="n"/>
      <c r="AJ232" s="48" t="n"/>
      <c r="AK232" s="48" t="n"/>
      <c r="AL232" s="53" t="n"/>
      <c r="AM232" s="52" t="n"/>
      <c r="AN232" s="48" t="n"/>
      <c r="AO232" s="48" t="n"/>
      <c r="AP232" s="48" t="n"/>
      <c r="AQ232" s="48" t="n"/>
      <c r="AR232" s="48" t="n"/>
      <c r="AS232" s="48" t="n"/>
      <c r="AT232" s="48" t="n"/>
      <c r="AU232" s="48" t="n"/>
      <c r="AV232" s="48" t="n"/>
      <c r="AW232" s="48" t="n"/>
      <c r="AX232" s="48" t="n"/>
      <c r="AY232" s="48" t="n"/>
      <c r="AZ232" s="48" t="n"/>
      <c r="BA232" s="48" t="n"/>
      <c r="BB232" s="48" t="n"/>
      <c r="BC232" s="48" t="n"/>
      <c r="BD232" s="48" t="n"/>
      <c r="BE232" s="48" t="n"/>
      <c r="BF232" s="48" t="n"/>
      <c r="BG232" s="48" t="n"/>
      <c r="BH232" s="48" t="n"/>
      <c r="BI232" s="48" t="n"/>
      <c r="BJ232" s="48" t="n"/>
      <c r="BK232" s="48" t="n"/>
      <c r="BL232" s="48" t="n"/>
      <c r="BM232" s="48" t="n"/>
      <c r="BN232" s="48" t="n"/>
    </row>
    <row r="233">
      <c r="A233" s="47" t="n"/>
      <c r="B233" s="48" t="n"/>
      <c r="C233" s="48" t="n"/>
      <c r="D233" s="49" t="n"/>
      <c r="E233" s="48" t="n"/>
      <c r="F233" s="48" t="n"/>
      <c r="G233" s="50" t="n"/>
      <c r="H233" s="51" t="n"/>
      <c r="I233" s="51" t="n"/>
      <c r="J233" s="48" t="n"/>
      <c r="K233" s="52" t="n"/>
      <c r="L233" s="48" t="n"/>
      <c r="M233" s="48" t="n"/>
      <c r="N233" s="48" t="n"/>
      <c r="O233" s="48" t="n"/>
      <c r="P233" s="48" t="n"/>
      <c r="Q233" s="48" t="n"/>
      <c r="R233" s="48" t="n"/>
      <c r="S233" s="48" t="n"/>
      <c r="T233" s="48" t="n"/>
      <c r="U233" s="48" t="n"/>
      <c r="V233" s="48" t="n"/>
      <c r="W233" s="48" t="n"/>
      <c r="X233" s="48" t="n"/>
      <c r="Y233" s="48" t="n"/>
      <c r="Z233" s="48" t="n"/>
      <c r="AA233" s="48" t="n"/>
      <c r="AB233" s="48" t="n"/>
      <c r="AC233" s="48" t="n"/>
      <c r="AD233" s="48" t="n"/>
      <c r="AE233" s="48" t="n"/>
      <c r="AF233" s="48" t="n"/>
      <c r="AG233" s="48" t="n"/>
      <c r="AH233" s="48" t="n"/>
      <c r="AI233" s="48" t="n"/>
      <c r="AJ233" s="48" t="n"/>
      <c r="AK233" s="48" t="n"/>
      <c r="AL233" s="53" t="n"/>
      <c r="AM233" s="52" t="n"/>
      <c r="AN233" s="48" t="n"/>
      <c r="AO233" s="48" t="n"/>
      <c r="AP233" s="48" t="n"/>
      <c r="AQ233" s="48" t="n"/>
      <c r="AR233" s="48" t="n"/>
      <c r="AS233" s="48" t="n"/>
      <c r="AT233" s="48" t="n"/>
      <c r="AU233" s="48" t="n"/>
      <c r="AV233" s="48" t="n"/>
      <c r="AW233" s="48" t="n"/>
      <c r="AX233" s="48" t="n"/>
      <c r="AY233" s="48" t="n"/>
      <c r="AZ233" s="48" t="n"/>
      <c r="BA233" s="48" t="n"/>
      <c r="BB233" s="48" t="n"/>
      <c r="BC233" s="48" t="n"/>
      <c r="BD233" s="48" t="n"/>
      <c r="BE233" s="48" t="n"/>
      <c r="BF233" s="48" t="n"/>
      <c r="BG233" s="48" t="n"/>
      <c r="BH233" s="48" t="n"/>
      <c r="BI233" s="48" t="n"/>
      <c r="BJ233" s="48" t="n"/>
      <c r="BK233" s="48" t="n"/>
      <c r="BL233" s="48" t="n"/>
      <c r="BM233" s="48" t="n"/>
      <c r="BN233" s="48" t="n"/>
    </row>
    <row r="234">
      <c r="A234" s="47" t="n"/>
      <c r="B234" s="48" t="n"/>
      <c r="C234" s="48" t="n"/>
      <c r="D234" s="49" t="n"/>
      <c r="E234" s="48" t="n"/>
      <c r="F234" s="48" t="n"/>
      <c r="G234" s="50" t="n"/>
      <c r="H234" s="51" t="n"/>
      <c r="I234" s="51" t="n"/>
      <c r="J234" s="48" t="n"/>
      <c r="K234" s="52" t="n"/>
      <c r="L234" s="48" t="n"/>
      <c r="M234" s="48" t="n"/>
      <c r="N234" s="48" t="n"/>
      <c r="O234" s="48" t="n"/>
      <c r="P234" s="48" t="n"/>
      <c r="Q234" s="48" t="n"/>
      <c r="R234" s="48" t="n"/>
      <c r="S234" s="48" t="n"/>
      <c r="T234" s="48" t="n"/>
      <c r="U234" s="48" t="n"/>
      <c r="V234" s="48" t="n"/>
      <c r="W234" s="48" t="n"/>
      <c r="X234" s="48" t="n"/>
      <c r="Y234" s="48" t="n"/>
      <c r="Z234" s="48" t="n"/>
      <c r="AA234" s="48" t="n"/>
      <c r="AB234" s="48" t="n"/>
      <c r="AC234" s="48" t="n"/>
      <c r="AD234" s="48" t="n"/>
      <c r="AE234" s="48" t="n"/>
      <c r="AF234" s="48" t="n"/>
      <c r="AG234" s="48" t="n"/>
      <c r="AH234" s="48" t="n"/>
      <c r="AI234" s="48" t="n"/>
      <c r="AJ234" s="48" t="n"/>
      <c r="AK234" s="48" t="n"/>
      <c r="AL234" s="53" t="n"/>
      <c r="AM234" s="52" t="n"/>
      <c r="AN234" s="48" t="n"/>
      <c r="AO234" s="48" t="n"/>
      <c r="AP234" s="48" t="n"/>
      <c r="AQ234" s="48" t="n"/>
      <c r="AR234" s="48" t="n"/>
      <c r="AS234" s="48" t="n"/>
      <c r="AT234" s="48" t="n"/>
      <c r="AU234" s="48" t="n"/>
      <c r="AV234" s="48" t="n"/>
      <c r="AW234" s="48" t="n"/>
      <c r="AX234" s="48" t="n"/>
      <c r="AY234" s="48" t="n"/>
      <c r="AZ234" s="48" t="n"/>
      <c r="BA234" s="48" t="n"/>
      <c r="BB234" s="48" t="n"/>
      <c r="BC234" s="48" t="n"/>
      <c r="BD234" s="48" t="n"/>
      <c r="BE234" s="48" t="n"/>
      <c r="BF234" s="48" t="n"/>
      <c r="BG234" s="48" t="n"/>
      <c r="BH234" s="48" t="n"/>
      <c r="BI234" s="48" t="n"/>
      <c r="BJ234" s="48" t="n"/>
      <c r="BK234" s="48" t="n"/>
      <c r="BL234" s="48" t="n"/>
      <c r="BM234" s="48" t="n"/>
      <c r="BN234" s="48" t="n"/>
    </row>
    <row r="235">
      <c r="A235" s="47" t="n"/>
      <c r="B235" s="48" t="n"/>
      <c r="C235" s="48" t="n"/>
      <c r="D235" s="49" t="n"/>
      <c r="E235" s="48" t="n"/>
      <c r="F235" s="48" t="n"/>
      <c r="G235" s="50" t="n"/>
      <c r="H235" s="51" t="n"/>
      <c r="I235" s="51" t="n"/>
      <c r="J235" s="48" t="n"/>
      <c r="K235" s="52" t="n"/>
      <c r="L235" s="48" t="n"/>
      <c r="M235" s="48" t="n"/>
      <c r="N235" s="48" t="n"/>
      <c r="O235" s="48" t="n"/>
      <c r="P235" s="48" t="n"/>
      <c r="Q235" s="48" t="n"/>
      <c r="R235" s="48" t="n"/>
      <c r="S235" s="48" t="n"/>
      <c r="T235" s="48" t="n"/>
      <c r="U235" s="48" t="n"/>
      <c r="V235" s="48" t="n"/>
      <c r="W235" s="48" t="n"/>
      <c r="X235" s="48" t="n"/>
      <c r="Y235" s="48" t="n"/>
      <c r="Z235" s="48" t="n"/>
      <c r="AA235" s="48" t="n"/>
      <c r="AB235" s="48" t="n"/>
      <c r="AC235" s="48" t="n"/>
      <c r="AD235" s="48" t="n"/>
      <c r="AE235" s="48" t="n"/>
      <c r="AF235" s="48" t="n"/>
      <c r="AG235" s="48" t="n"/>
      <c r="AH235" s="48" t="n"/>
      <c r="AI235" s="48" t="n"/>
      <c r="AJ235" s="48" t="n"/>
      <c r="AK235" s="48" t="n"/>
      <c r="AL235" s="53" t="n"/>
      <c r="AM235" s="52" t="n"/>
      <c r="AN235" s="48" t="n"/>
      <c r="AO235" s="48" t="n"/>
      <c r="AP235" s="48" t="n"/>
      <c r="AQ235" s="48" t="n"/>
      <c r="AR235" s="48" t="n"/>
      <c r="AS235" s="48" t="n"/>
      <c r="AT235" s="48" t="n"/>
      <c r="AU235" s="48" t="n"/>
      <c r="AV235" s="48" t="n"/>
      <c r="AW235" s="48" t="n"/>
      <c r="AX235" s="48" t="n"/>
      <c r="AY235" s="48" t="n"/>
      <c r="AZ235" s="48" t="n"/>
      <c r="BA235" s="48" t="n"/>
      <c r="BB235" s="48" t="n"/>
      <c r="BC235" s="48" t="n"/>
      <c r="BD235" s="48" t="n"/>
      <c r="BE235" s="48" t="n"/>
      <c r="BF235" s="48" t="n"/>
      <c r="BG235" s="48" t="n"/>
      <c r="BH235" s="48" t="n"/>
      <c r="BI235" s="48" t="n"/>
      <c r="BJ235" s="48" t="n"/>
      <c r="BK235" s="48" t="n"/>
      <c r="BL235" s="48" t="n"/>
      <c r="BM235" s="48" t="n"/>
      <c r="BN235" s="48" t="n"/>
    </row>
    <row r="236">
      <c r="A236" s="47" t="n"/>
      <c r="B236" s="48" t="n"/>
      <c r="C236" s="48" t="n"/>
      <c r="D236" s="49" t="n"/>
      <c r="E236" s="48" t="n"/>
      <c r="F236" s="48" t="n"/>
      <c r="G236" s="50" t="n"/>
      <c r="H236" s="51" t="n"/>
      <c r="I236" s="51" t="n"/>
      <c r="J236" s="48" t="n"/>
      <c r="K236" s="52" t="n"/>
      <c r="L236" s="48" t="n"/>
      <c r="M236" s="48" t="n"/>
      <c r="N236" s="48" t="n"/>
      <c r="O236" s="48" t="n"/>
      <c r="P236" s="48" t="n"/>
      <c r="Q236" s="48" t="n"/>
      <c r="R236" s="48" t="n"/>
      <c r="S236" s="48" t="n"/>
      <c r="T236" s="48" t="n"/>
      <c r="U236" s="48" t="n"/>
      <c r="V236" s="48" t="n"/>
      <c r="W236" s="48" t="n"/>
      <c r="X236" s="48" t="n"/>
      <c r="Y236" s="48" t="n"/>
      <c r="Z236" s="48" t="n"/>
      <c r="AA236" s="48" t="n"/>
      <c r="AB236" s="48" t="n"/>
      <c r="AC236" s="48" t="n"/>
      <c r="AD236" s="48" t="n"/>
      <c r="AE236" s="48" t="n"/>
      <c r="AF236" s="48" t="n"/>
      <c r="AG236" s="48" t="n"/>
      <c r="AH236" s="48" t="n"/>
      <c r="AI236" s="48" t="n"/>
      <c r="AJ236" s="48" t="n"/>
      <c r="AK236" s="48" t="n"/>
      <c r="AL236" s="53" t="n"/>
      <c r="AM236" s="52" t="n"/>
      <c r="AN236" s="48" t="n"/>
      <c r="AO236" s="48" t="n"/>
      <c r="AP236" s="48" t="n"/>
      <c r="AQ236" s="48" t="n"/>
      <c r="AR236" s="48" t="n"/>
      <c r="AS236" s="48" t="n"/>
      <c r="AT236" s="48" t="n"/>
      <c r="AU236" s="48" t="n"/>
      <c r="AV236" s="48" t="n"/>
      <c r="AW236" s="48" t="n"/>
      <c r="AX236" s="48" t="n"/>
      <c r="AY236" s="48" t="n"/>
      <c r="AZ236" s="48" t="n"/>
      <c r="BA236" s="48" t="n"/>
      <c r="BB236" s="48" t="n"/>
      <c r="BC236" s="48" t="n"/>
      <c r="BD236" s="48" t="n"/>
      <c r="BE236" s="48" t="n"/>
      <c r="BF236" s="48" t="n"/>
      <c r="BG236" s="48" t="n"/>
      <c r="BH236" s="48" t="n"/>
      <c r="BI236" s="48" t="n"/>
      <c r="BJ236" s="48" t="n"/>
      <c r="BK236" s="48" t="n"/>
      <c r="BL236" s="48" t="n"/>
      <c r="BM236" s="48" t="n"/>
      <c r="BN236" s="48" t="n"/>
    </row>
    <row r="237">
      <c r="A237" s="47" t="n"/>
      <c r="B237" s="48" t="n"/>
      <c r="C237" s="48" t="n"/>
      <c r="D237" s="49" t="n"/>
      <c r="E237" s="48" t="n"/>
      <c r="F237" s="48" t="n"/>
      <c r="G237" s="50" t="n"/>
      <c r="H237" s="51" t="n"/>
      <c r="I237" s="51" t="n"/>
      <c r="J237" s="48" t="n"/>
      <c r="K237" s="52" t="n"/>
      <c r="L237" s="48" t="n"/>
      <c r="M237" s="48" t="n"/>
      <c r="N237" s="48" t="n"/>
      <c r="O237" s="48" t="n"/>
      <c r="P237" s="48" t="n"/>
      <c r="Q237" s="48" t="n"/>
      <c r="R237" s="48" t="n"/>
      <c r="S237" s="48" t="n"/>
      <c r="T237" s="48" t="n"/>
      <c r="U237" s="48" t="n"/>
      <c r="V237" s="48" t="n"/>
      <c r="W237" s="48" t="n"/>
      <c r="X237" s="48" t="n"/>
      <c r="Y237" s="48" t="n"/>
      <c r="Z237" s="48" t="n"/>
      <c r="AA237" s="48" t="n"/>
      <c r="AB237" s="48" t="n"/>
      <c r="AC237" s="48" t="n"/>
      <c r="AD237" s="48" t="n"/>
      <c r="AE237" s="48" t="n"/>
      <c r="AF237" s="48" t="n"/>
      <c r="AG237" s="48" t="n"/>
      <c r="AH237" s="48" t="n"/>
      <c r="AI237" s="48" t="n"/>
      <c r="AJ237" s="48" t="n"/>
      <c r="AK237" s="48" t="n"/>
      <c r="AL237" s="53" t="n"/>
      <c r="AM237" s="52" t="n"/>
      <c r="AN237" s="48" t="n"/>
      <c r="AO237" s="48" t="n"/>
      <c r="AP237" s="48" t="n"/>
      <c r="AQ237" s="48" t="n"/>
      <c r="AR237" s="48" t="n"/>
      <c r="AS237" s="48" t="n"/>
      <c r="AT237" s="48" t="n"/>
      <c r="AU237" s="48" t="n"/>
      <c r="AV237" s="48" t="n"/>
      <c r="AW237" s="48" t="n"/>
      <c r="AX237" s="48" t="n"/>
      <c r="AY237" s="48" t="n"/>
      <c r="AZ237" s="48" t="n"/>
      <c r="BA237" s="48" t="n"/>
      <c r="BB237" s="48" t="n"/>
      <c r="BC237" s="48" t="n"/>
      <c r="BD237" s="48" t="n"/>
      <c r="BE237" s="48" t="n"/>
      <c r="BF237" s="48" t="n"/>
      <c r="BG237" s="48" t="n"/>
      <c r="BH237" s="48" t="n"/>
      <c r="BI237" s="48" t="n"/>
      <c r="BJ237" s="48" t="n"/>
      <c r="BK237" s="48" t="n"/>
      <c r="BL237" s="48" t="n"/>
      <c r="BM237" s="48" t="n"/>
      <c r="BN237" s="48" t="n"/>
    </row>
    <row r="238">
      <c r="A238" s="47" t="n"/>
      <c r="B238" s="48" t="n"/>
      <c r="C238" s="48" t="n"/>
      <c r="D238" s="49" t="n"/>
      <c r="E238" s="48" t="n"/>
      <c r="F238" s="48" t="n"/>
      <c r="G238" s="50" t="n"/>
      <c r="H238" s="51" t="n"/>
      <c r="I238" s="51" t="n"/>
      <c r="J238" s="48" t="n"/>
      <c r="K238" s="52" t="n"/>
      <c r="L238" s="48" t="n"/>
      <c r="M238" s="48" t="n"/>
      <c r="N238" s="48" t="n"/>
      <c r="O238" s="48" t="n"/>
      <c r="P238" s="48" t="n"/>
      <c r="Q238" s="48" t="n"/>
      <c r="R238" s="48" t="n"/>
      <c r="S238" s="48" t="n"/>
      <c r="T238" s="48" t="n"/>
      <c r="U238" s="48" t="n"/>
      <c r="V238" s="48" t="n"/>
      <c r="W238" s="48" t="n"/>
      <c r="X238" s="48" t="n"/>
      <c r="Y238" s="48" t="n"/>
      <c r="Z238" s="48" t="n"/>
      <c r="AA238" s="48" t="n"/>
      <c r="AB238" s="48" t="n"/>
      <c r="AC238" s="48" t="n"/>
      <c r="AD238" s="48" t="n"/>
      <c r="AE238" s="48" t="n"/>
      <c r="AF238" s="48" t="n"/>
      <c r="AG238" s="48" t="n"/>
      <c r="AH238" s="48" t="n"/>
      <c r="AI238" s="48" t="n"/>
      <c r="AJ238" s="48" t="n"/>
      <c r="AK238" s="48" t="n"/>
      <c r="AL238" s="53" t="n"/>
      <c r="AM238" s="52" t="n"/>
      <c r="AN238" s="48" t="n"/>
      <c r="AO238" s="48" t="n"/>
      <c r="AP238" s="48" t="n"/>
      <c r="AQ238" s="48" t="n"/>
      <c r="AR238" s="48" t="n"/>
      <c r="AS238" s="48" t="n"/>
      <c r="AT238" s="48" t="n"/>
      <c r="AU238" s="48" t="n"/>
      <c r="AV238" s="48" t="n"/>
      <c r="AW238" s="48" t="n"/>
      <c r="AX238" s="48" t="n"/>
      <c r="AY238" s="48" t="n"/>
      <c r="AZ238" s="48" t="n"/>
      <c r="BA238" s="48" t="n"/>
      <c r="BB238" s="48" t="n"/>
      <c r="BC238" s="48" t="n"/>
      <c r="BD238" s="48" t="n"/>
      <c r="BE238" s="48" t="n"/>
      <c r="BF238" s="48" t="n"/>
      <c r="BG238" s="48" t="n"/>
      <c r="BH238" s="48" t="n"/>
      <c r="BI238" s="48" t="n"/>
      <c r="BJ238" s="48" t="n"/>
      <c r="BK238" s="48" t="n"/>
      <c r="BL238" s="48" t="n"/>
      <c r="BM238" s="48" t="n"/>
      <c r="BN238" s="48" t="n"/>
    </row>
    <row r="239">
      <c r="A239" s="47" t="n"/>
      <c r="B239" s="48" t="n"/>
      <c r="C239" s="48" t="n"/>
      <c r="D239" s="49" t="n"/>
      <c r="E239" s="48" t="n"/>
      <c r="F239" s="48" t="n"/>
      <c r="G239" s="50" t="n"/>
      <c r="H239" s="51" t="n"/>
      <c r="I239" s="51" t="n"/>
      <c r="J239" s="48" t="n"/>
      <c r="K239" s="52" t="n"/>
      <c r="L239" s="48" t="n"/>
      <c r="M239" s="48" t="n"/>
      <c r="N239" s="48" t="n"/>
      <c r="O239" s="48" t="n"/>
      <c r="P239" s="48" t="n"/>
      <c r="Q239" s="48" t="n"/>
      <c r="R239" s="48" t="n"/>
      <c r="S239" s="48" t="n"/>
      <c r="T239" s="48" t="n"/>
      <c r="U239" s="48" t="n"/>
      <c r="V239" s="48" t="n"/>
      <c r="W239" s="48" t="n"/>
      <c r="X239" s="48" t="n"/>
      <c r="Y239" s="48" t="n"/>
      <c r="Z239" s="48" t="n"/>
      <c r="AA239" s="48" t="n"/>
      <c r="AB239" s="48" t="n"/>
      <c r="AC239" s="48" t="n"/>
      <c r="AD239" s="48" t="n"/>
      <c r="AE239" s="48" t="n"/>
      <c r="AF239" s="48" t="n"/>
      <c r="AG239" s="48" t="n"/>
      <c r="AH239" s="48" t="n"/>
      <c r="AI239" s="48" t="n"/>
      <c r="AJ239" s="48" t="n"/>
      <c r="AK239" s="48" t="n"/>
      <c r="AL239" s="53" t="n"/>
      <c r="AM239" s="52" t="n"/>
      <c r="AN239" s="48" t="n"/>
      <c r="AO239" s="48" t="n"/>
      <c r="AP239" s="48" t="n"/>
      <c r="AQ239" s="48" t="n"/>
      <c r="AR239" s="48" t="n"/>
      <c r="AS239" s="48" t="n"/>
      <c r="AT239" s="48" t="n"/>
      <c r="AU239" s="48" t="n"/>
      <c r="AV239" s="48" t="n"/>
      <c r="AW239" s="48" t="n"/>
      <c r="AX239" s="48" t="n"/>
      <c r="AY239" s="48" t="n"/>
      <c r="AZ239" s="48" t="n"/>
      <c r="BA239" s="48" t="n"/>
      <c r="BB239" s="48" t="n"/>
      <c r="BC239" s="48" t="n"/>
      <c r="BD239" s="48" t="n"/>
      <c r="BE239" s="48" t="n"/>
      <c r="BF239" s="48" t="n"/>
      <c r="BG239" s="48" t="n"/>
      <c r="BH239" s="48" t="n"/>
      <c r="BI239" s="48" t="n"/>
      <c r="BJ239" s="48" t="n"/>
      <c r="BK239" s="48" t="n"/>
      <c r="BL239" s="48" t="n"/>
      <c r="BM239" s="48" t="n"/>
      <c r="BN239" s="48" t="n"/>
    </row>
    <row r="240">
      <c r="A240" s="47" t="n"/>
      <c r="B240" s="48" t="n"/>
      <c r="C240" s="48" t="n"/>
      <c r="D240" s="49" t="n"/>
      <c r="E240" s="48" t="n"/>
      <c r="F240" s="48" t="n"/>
      <c r="G240" s="50" t="n"/>
      <c r="H240" s="51" t="n"/>
      <c r="I240" s="51" t="n"/>
      <c r="J240" s="48" t="n"/>
      <c r="K240" s="52" t="n"/>
      <c r="L240" s="48" t="n"/>
      <c r="M240" s="48" t="n"/>
      <c r="N240" s="48" t="n"/>
      <c r="O240" s="48" t="n"/>
      <c r="P240" s="48" t="n"/>
      <c r="Q240" s="48" t="n"/>
      <c r="R240" s="48" t="n"/>
      <c r="S240" s="48" t="n"/>
      <c r="T240" s="48" t="n"/>
      <c r="U240" s="48" t="n"/>
      <c r="V240" s="48" t="n"/>
      <c r="W240" s="48" t="n"/>
      <c r="X240" s="48" t="n"/>
      <c r="Y240" s="48" t="n"/>
      <c r="Z240" s="48" t="n"/>
      <c r="AA240" s="48" t="n"/>
      <c r="AB240" s="48" t="n"/>
      <c r="AC240" s="48" t="n"/>
      <c r="AD240" s="48" t="n"/>
      <c r="AE240" s="48" t="n"/>
      <c r="AF240" s="48" t="n"/>
      <c r="AG240" s="48" t="n"/>
      <c r="AH240" s="48" t="n"/>
      <c r="AI240" s="48" t="n"/>
      <c r="AJ240" s="48" t="n"/>
      <c r="AK240" s="48" t="n"/>
      <c r="AL240" s="53" t="n"/>
      <c r="AM240" s="52" t="n"/>
      <c r="AN240" s="48" t="n"/>
      <c r="AO240" s="48" t="n"/>
      <c r="AP240" s="48" t="n"/>
      <c r="AQ240" s="48" t="n"/>
      <c r="AR240" s="48" t="n"/>
      <c r="AS240" s="48" t="n"/>
      <c r="AT240" s="48" t="n"/>
      <c r="AU240" s="48" t="n"/>
      <c r="AV240" s="48" t="n"/>
      <c r="AW240" s="48" t="n"/>
      <c r="AX240" s="48" t="n"/>
      <c r="AY240" s="48" t="n"/>
      <c r="AZ240" s="48" t="n"/>
      <c r="BA240" s="48" t="n"/>
      <c r="BB240" s="48" t="n"/>
      <c r="BC240" s="48" t="n"/>
      <c r="BD240" s="48" t="n"/>
      <c r="BE240" s="48" t="n"/>
      <c r="BF240" s="48" t="n"/>
      <c r="BG240" s="48" t="n"/>
      <c r="BH240" s="48" t="n"/>
      <c r="BI240" s="48" t="n"/>
      <c r="BJ240" s="48" t="n"/>
      <c r="BK240" s="48" t="n"/>
      <c r="BL240" s="48" t="n"/>
      <c r="BM240" s="48" t="n"/>
      <c r="BN240" s="48" t="n"/>
    </row>
    <row r="241">
      <c r="A241" s="47" t="n"/>
      <c r="B241" s="48" t="n"/>
      <c r="C241" s="48" t="n"/>
      <c r="D241" s="49" t="n"/>
      <c r="E241" s="48" t="n"/>
      <c r="F241" s="48" t="n"/>
      <c r="G241" s="50" t="n"/>
      <c r="H241" s="51" t="n"/>
      <c r="I241" s="51" t="n"/>
      <c r="J241" s="48" t="n"/>
      <c r="K241" s="52" t="n"/>
      <c r="L241" s="48" t="n"/>
      <c r="M241" s="48" t="n"/>
      <c r="N241" s="48" t="n"/>
      <c r="O241" s="48" t="n"/>
      <c r="P241" s="48" t="n"/>
      <c r="Q241" s="48" t="n"/>
      <c r="R241" s="48" t="n"/>
      <c r="S241" s="48" t="n"/>
      <c r="T241" s="48" t="n"/>
      <c r="U241" s="48" t="n"/>
      <c r="V241" s="48" t="n"/>
      <c r="W241" s="48" t="n"/>
      <c r="X241" s="48" t="n"/>
      <c r="Y241" s="48" t="n"/>
      <c r="Z241" s="48" t="n"/>
      <c r="AA241" s="48" t="n"/>
      <c r="AB241" s="48" t="n"/>
      <c r="AC241" s="48" t="n"/>
      <c r="AD241" s="48" t="n"/>
      <c r="AE241" s="48" t="n"/>
      <c r="AF241" s="48" t="n"/>
      <c r="AG241" s="48" t="n"/>
      <c r="AH241" s="48" t="n"/>
      <c r="AI241" s="48" t="n"/>
      <c r="AJ241" s="48" t="n"/>
      <c r="AK241" s="48" t="n"/>
      <c r="AL241" s="53" t="n"/>
      <c r="AM241" s="52" t="n"/>
      <c r="AN241" s="48" t="n"/>
      <c r="AO241" s="48" t="n"/>
      <c r="AP241" s="48" t="n"/>
      <c r="AQ241" s="48" t="n"/>
      <c r="AR241" s="48" t="n"/>
      <c r="AS241" s="48" t="n"/>
      <c r="AT241" s="48" t="n"/>
      <c r="AU241" s="48" t="n"/>
      <c r="AV241" s="48" t="n"/>
      <c r="AW241" s="48" t="n"/>
      <c r="AX241" s="48" t="n"/>
      <c r="AY241" s="48" t="n"/>
      <c r="AZ241" s="48" t="n"/>
      <c r="BA241" s="48" t="n"/>
      <c r="BB241" s="48" t="n"/>
      <c r="BC241" s="48" t="n"/>
      <c r="BD241" s="48" t="n"/>
      <c r="BE241" s="48" t="n"/>
      <c r="BF241" s="48" t="n"/>
      <c r="BG241" s="48" t="n"/>
      <c r="BH241" s="48" t="n"/>
      <c r="BI241" s="48" t="n"/>
      <c r="BJ241" s="48" t="n"/>
      <c r="BK241" s="48" t="n"/>
      <c r="BL241" s="48" t="n"/>
      <c r="BM241" s="48" t="n"/>
      <c r="BN241" s="48" t="n"/>
    </row>
    <row r="242">
      <c r="A242" s="47" t="n"/>
      <c r="B242" s="48" t="n"/>
      <c r="C242" s="48" t="n"/>
      <c r="D242" s="49" t="n"/>
      <c r="E242" s="48" t="n"/>
      <c r="F242" s="48" t="n"/>
      <c r="G242" s="50" t="n"/>
      <c r="H242" s="51" t="n"/>
      <c r="I242" s="51" t="n"/>
      <c r="J242" s="48" t="n"/>
      <c r="K242" s="52" t="n"/>
      <c r="L242" s="48" t="n"/>
      <c r="M242" s="48" t="n"/>
      <c r="N242" s="48" t="n"/>
      <c r="O242" s="48" t="n"/>
      <c r="P242" s="48" t="n"/>
      <c r="Q242" s="48" t="n"/>
      <c r="R242" s="48" t="n"/>
      <c r="S242" s="48" t="n"/>
      <c r="T242" s="48" t="n"/>
      <c r="U242" s="48" t="n"/>
      <c r="V242" s="48" t="n"/>
      <c r="W242" s="48" t="n"/>
      <c r="X242" s="48" t="n"/>
      <c r="Y242" s="48" t="n"/>
      <c r="Z242" s="48" t="n"/>
      <c r="AA242" s="48" t="n"/>
      <c r="AB242" s="48" t="n"/>
      <c r="AC242" s="48" t="n"/>
      <c r="AD242" s="48" t="n"/>
      <c r="AE242" s="48" t="n"/>
      <c r="AF242" s="48" t="n"/>
      <c r="AG242" s="48" t="n"/>
      <c r="AH242" s="48" t="n"/>
      <c r="AI242" s="48" t="n"/>
      <c r="AJ242" s="48" t="n"/>
      <c r="AK242" s="48" t="n"/>
      <c r="AL242" s="53" t="n"/>
      <c r="AM242" s="52" t="n"/>
      <c r="AN242" s="48" t="n"/>
      <c r="AO242" s="48" t="n"/>
      <c r="AP242" s="48" t="n"/>
      <c r="AQ242" s="48" t="n"/>
      <c r="AR242" s="48" t="n"/>
      <c r="AS242" s="48" t="n"/>
      <c r="AT242" s="48" t="n"/>
      <c r="AU242" s="48" t="n"/>
      <c r="AV242" s="48" t="n"/>
      <c r="AW242" s="48" t="n"/>
      <c r="AX242" s="48" t="n"/>
      <c r="AY242" s="48" t="n"/>
      <c r="AZ242" s="48" t="n"/>
      <c r="BA242" s="48" t="n"/>
      <c r="BB242" s="48" t="n"/>
      <c r="BC242" s="48" t="n"/>
      <c r="BD242" s="48" t="n"/>
      <c r="BE242" s="48" t="n"/>
      <c r="BF242" s="48" t="n"/>
      <c r="BG242" s="48" t="n"/>
      <c r="BH242" s="48" t="n"/>
      <c r="BI242" s="48" t="n"/>
      <c r="BJ242" s="48" t="n"/>
      <c r="BK242" s="48" t="n"/>
      <c r="BL242" s="48" t="n"/>
      <c r="BM242" s="48" t="n"/>
      <c r="BN242" s="48" t="n"/>
    </row>
    <row r="243">
      <c r="A243" s="47" t="n"/>
      <c r="B243" s="48" t="n"/>
      <c r="C243" s="48" t="n"/>
      <c r="D243" s="49" t="n"/>
      <c r="E243" s="48" t="n"/>
      <c r="F243" s="48" t="n"/>
      <c r="G243" s="50" t="n"/>
      <c r="H243" s="51" t="n"/>
      <c r="I243" s="51" t="n"/>
      <c r="J243" s="48" t="n"/>
      <c r="K243" s="52" t="n"/>
      <c r="L243" s="48" t="n"/>
      <c r="M243" s="48" t="n"/>
      <c r="N243" s="48" t="n"/>
      <c r="O243" s="48" t="n"/>
      <c r="P243" s="48" t="n"/>
      <c r="Q243" s="48" t="n"/>
      <c r="R243" s="48" t="n"/>
      <c r="S243" s="48" t="n"/>
      <c r="T243" s="48" t="n"/>
      <c r="U243" s="48" t="n"/>
      <c r="V243" s="48" t="n"/>
      <c r="W243" s="48" t="n"/>
      <c r="X243" s="48" t="n"/>
      <c r="Y243" s="48" t="n"/>
      <c r="Z243" s="48" t="n"/>
      <c r="AA243" s="48" t="n"/>
      <c r="AB243" s="48" t="n"/>
      <c r="AC243" s="48" t="n"/>
      <c r="AD243" s="48" t="n"/>
      <c r="AE243" s="48" t="n"/>
      <c r="AF243" s="48" t="n"/>
      <c r="AG243" s="48" t="n"/>
      <c r="AH243" s="48" t="n"/>
      <c r="AI243" s="48" t="n"/>
      <c r="AJ243" s="48" t="n"/>
      <c r="AK243" s="48" t="n"/>
      <c r="AL243" s="53" t="n"/>
      <c r="AM243" s="52" t="n"/>
      <c r="AN243" s="48" t="n"/>
      <c r="AO243" s="48" t="n"/>
      <c r="AP243" s="48" t="n"/>
      <c r="AQ243" s="48" t="n"/>
      <c r="AR243" s="48" t="n"/>
      <c r="AS243" s="48" t="n"/>
      <c r="AT243" s="48" t="n"/>
      <c r="AU243" s="48" t="n"/>
      <c r="AV243" s="48" t="n"/>
      <c r="AW243" s="48" t="n"/>
      <c r="AX243" s="48" t="n"/>
      <c r="AY243" s="48" t="n"/>
      <c r="AZ243" s="48" t="n"/>
      <c r="BA243" s="48" t="n"/>
      <c r="BB243" s="48" t="n"/>
      <c r="BC243" s="48" t="n"/>
      <c r="BD243" s="48" t="n"/>
      <c r="BE243" s="48" t="n"/>
      <c r="BF243" s="48" t="n"/>
      <c r="BG243" s="48" t="n"/>
      <c r="BH243" s="48" t="n"/>
      <c r="BI243" s="48" t="n"/>
      <c r="BJ243" s="48" t="n"/>
      <c r="BK243" s="48" t="n"/>
      <c r="BL243" s="48" t="n"/>
      <c r="BM243" s="48" t="n"/>
      <c r="BN243" s="48" t="n"/>
    </row>
    <row r="244">
      <c r="A244" s="47" t="n"/>
      <c r="B244" s="48" t="n"/>
      <c r="C244" s="48" t="n"/>
      <c r="D244" s="49" t="n"/>
      <c r="E244" s="48" t="n"/>
      <c r="F244" s="48" t="n"/>
      <c r="G244" s="50" t="n"/>
      <c r="H244" s="51" t="n"/>
      <c r="I244" s="51" t="n"/>
      <c r="J244" s="48" t="n"/>
      <c r="K244" s="52" t="n"/>
      <c r="L244" s="48" t="n"/>
      <c r="M244" s="48" t="n"/>
      <c r="N244" s="48" t="n"/>
      <c r="O244" s="48" t="n"/>
      <c r="P244" s="48" t="n"/>
      <c r="Q244" s="48" t="n"/>
      <c r="R244" s="48" t="n"/>
      <c r="S244" s="48" t="n"/>
      <c r="T244" s="48" t="n"/>
      <c r="U244" s="48" t="n"/>
      <c r="V244" s="48" t="n"/>
      <c r="W244" s="48" t="n"/>
      <c r="X244" s="48" t="n"/>
      <c r="Y244" s="48" t="n"/>
      <c r="Z244" s="48" t="n"/>
      <c r="AA244" s="48" t="n"/>
      <c r="AB244" s="48" t="n"/>
      <c r="AC244" s="48" t="n"/>
      <c r="AD244" s="48" t="n"/>
      <c r="AE244" s="48" t="n"/>
      <c r="AF244" s="48" t="n"/>
      <c r="AG244" s="48" t="n"/>
      <c r="AH244" s="48" t="n"/>
      <c r="AI244" s="48" t="n"/>
      <c r="AJ244" s="48" t="n"/>
      <c r="AK244" s="48" t="n"/>
      <c r="AL244" s="53" t="n"/>
      <c r="AM244" s="52" t="n"/>
      <c r="AN244" s="48" t="n"/>
      <c r="AO244" s="48" t="n"/>
      <c r="AP244" s="48" t="n"/>
      <c r="AQ244" s="48" t="n"/>
      <c r="AR244" s="48" t="n"/>
      <c r="AS244" s="48" t="n"/>
      <c r="AT244" s="48" t="n"/>
      <c r="AU244" s="48" t="n"/>
      <c r="AV244" s="48" t="n"/>
      <c r="AW244" s="48" t="n"/>
      <c r="AX244" s="48" t="n"/>
      <c r="AY244" s="48" t="n"/>
      <c r="AZ244" s="48" t="n"/>
      <c r="BA244" s="48" t="n"/>
      <c r="BB244" s="48" t="n"/>
      <c r="BC244" s="48" t="n"/>
      <c r="BD244" s="48" t="n"/>
      <c r="BE244" s="48" t="n"/>
      <c r="BF244" s="48" t="n"/>
      <c r="BG244" s="48" t="n"/>
      <c r="BH244" s="48" t="n"/>
      <c r="BI244" s="48" t="n"/>
      <c r="BJ244" s="48" t="n"/>
      <c r="BK244" s="48" t="n"/>
      <c r="BL244" s="48" t="n"/>
      <c r="BM244" s="48" t="n"/>
      <c r="BN244" s="48" t="n"/>
    </row>
    <row r="245">
      <c r="A245" s="47" t="n"/>
      <c r="B245" s="48" t="n"/>
      <c r="C245" s="48" t="n"/>
      <c r="D245" s="49" t="n"/>
      <c r="E245" s="48" t="n"/>
      <c r="F245" s="48" t="n"/>
      <c r="G245" s="50" t="n"/>
      <c r="H245" s="51" t="n"/>
      <c r="I245" s="51" t="n"/>
      <c r="J245" s="48" t="n"/>
      <c r="K245" s="52" t="n"/>
      <c r="L245" s="48" t="n"/>
      <c r="M245" s="48" t="n"/>
      <c r="N245" s="48" t="n"/>
      <c r="O245" s="48" t="n"/>
      <c r="P245" s="48" t="n"/>
      <c r="Q245" s="48" t="n"/>
      <c r="R245" s="48" t="n"/>
      <c r="S245" s="48" t="n"/>
      <c r="T245" s="48" t="n"/>
      <c r="U245" s="48" t="n"/>
      <c r="V245" s="48" t="n"/>
      <c r="W245" s="48" t="n"/>
      <c r="X245" s="48" t="n"/>
      <c r="Y245" s="48" t="n"/>
      <c r="Z245" s="48" t="n"/>
      <c r="AA245" s="48" t="n"/>
      <c r="AB245" s="48" t="n"/>
      <c r="AC245" s="48" t="n"/>
      <c r="AD245" s="48" t="n"/>
      <c r="AE245" s="48" t="n"/>
      <c r="AF245" s="48" t="n"/>
      <c r="AG245" s="48" t="n"/>
      <c r="AH245" s="48" t="n"/>
      <c r="AI245" s="48" t="n"/>
      <c r="AJ245" s="48" t="n"/>
      <c r="AK245" s="48" t="n"/>
      <c r="AL245" s="53" t="n"/>
      <c r="AM245" s="52" t="n"/>
      <c r="AN245" s="48" t="n"/>
      <c r="AO245" s="48" t="n"/>
      <c r="AP245" s="48" t="n"/>
      <c r="AQ245" s="48" t="n"/>
      <c r="AR245" s="48" t="n"/>
      <c r="AS245" s="48" t="n"/>
      <c r="AT245" s="48" t="n"/>
      <c r="AU245" s="48" t="n"/>
      <c r="AV245" s="48" t="n"/>
      <c r="AW245" s="48" t="n"/>
      <c r="AX245" s="48" t="n"/>
      <c r="AY245" s="48" t="n"/>
      <c r="AZ245" s="48" t="n"/>
      <c r="BA245" s="48" t="n"/>
      <c r="BB245" s="48" t="n"/>
      <c r="BC245" s="48" t="n"/>
      <c r="BD245" s="48" t="n"/>
      <c r="BE245" s="48" t="n"/>
      <c r="BF245" s="48" t="n"/>
      <c r="BG245" s="48" t="n"/>
      <c r="BH245" s="48" t="n"/>
      <c r="BI245" s="48" t="n"/>
      <c r="BJ245" s="48" t="n"/>
      <c r="BK245" s="48" t="n"/>
      <c r="BL245" s="48" t="n"/>
      <c r="BM245" s="48" t="n"/>
      <c r="BN245" s="48" t="n"/>
    </row>
    <row r="246">
      <c r="A246" s="47" t="n"/>
      <c r="B246" s="48" t="n"/>
      <c r="C246" s="48" t="n"/>
      <c r="D246" s="49" t="n"/>
      <c r="E246" s="48" t="n"/>
      <c r="F246" s="48" t="n"/>
      <c r="G246" s="50" t="n"/>
      <c r="H246" s="51" t="n"/>
      <c r="I246" s="51" t="n"/>
      <c r="J246" s="48" t="n"/>
      <c r="K246" s="52" t="n"/>
      <c r="L246" s="48" t="n"/>
      <c r="M246" s="48" t="n"/>
      <c r="N246" s="48" t="n"/>
      <c r="O246" s="48" t="n"/>
      <c r="P246" s="48" t="n"/>
      <c r="Q246" s="48" t="n"/>
      <c r="R246" s="48" t="n"/>
      <c r="S246" s="48" t="n"/>
      <c r="T246" s="48" t="n"/>
      <c r="U246" s="48" t="n"/>
      <c r="V246" s="48" t="n"/>
      <c r="W246" s="48" t="n"/>
      <c r="X246" s="48" t="n"/>
      <c r="Y246" s="48" t="n"/>
      <c r="Z246" s="48" t="n"/>
      <c r="AA246" s="48" t="n"/>
      <c r="AB246" s="48" t="n"/>
      <c r="AC246" s="48" t="n"/>
      <c r="AD246" s="48" t="n"/>
      <c r="AE246" s="48" t="n"/>
      <c r="AF246" s="48" t="n"/>
      <c r="AG246" s="48" t="n"/>
      <c r="AH246" s="48" t="n"/>
      <c r="AI246" s="48" t="n"/>
      <c r="AJ246" s="48" t="n"/>
      <c r="AK246" s="48" t="n"/>
      <c r="AL246" s="53" t="n"/>
      <c r="AM246" s="52" t="n"/>
      <c r="AN246" s="48" t="n"/>
      <c r="AO246" s="48" t="n"/>
      <c r="AP246" s="48" t="n"/>
      <c r="AQ246" s="48" t="n"/>
      <c r="AR246" s="48" t="n"/>
      <c r="AS246" s="48" t="n"/>
      <c r="AT246" s="48" t="n"/>
      <c r="AU246" s="48" t="n"/>
      <c r="AV246" s="48" t="n"/>
      <c r="AW246" s="48" t="n"/>
      <c r="AX246" s="48" t="n"/>
      <c r="AY246" s="48" t="n"/>
      <c r="AZ246" s="48" t="n"/>
      <c r="BA246" s="48" t="n"/>
      <c r="BB246" s="48" t="n"/>
      <c r="BC246" s="48" t="n"/>
      <c r="BD246" s="48" t="n"/>
      <c r="BE246" s="48" t="n"/>
      <c r="BF246" s="48" t="n"/>
      <c r="BG246" s="48" t="n"/>
      <c r="BH246" s="48" t="n"/>
      <c r="BI246" s="48" t="n"/>
      <c r="BJ246" s="48" t="n"/>
      <c r="BK246" s="48" t="n"/>
      <c r="BL246" s="48" t="n"/>
      <c r="BM246" s="48" t="n"/>
      <c r="BN246" s="48" t="n"/>
    </row>
    <row r="247">
      <c r="A247" s="47" t="n"/>
      <c r="B247" s="48" t="n"/>
      <c r="C247" s="48" t="n"/>
      <c r="D247" s="49" t="n"/>
      <c r="E247" s="48" t="n"/>
      <c r="F247" s="48" t="n"/>
      <c r="G247" s="50" t="n"/>
      <c r="H247" s="51" t="n"/>
      <c r="I247" s="51" t="n"/>
      <c r="J247" s="48" t="n"/>
      <c r="K247" s="52" t="n"/>
      <c r="L247" s="48" t="n"/>
      <c r="M247" s="48" t="n"/>
      <c r="N247" s="48" t="n"/>
      <c r="O247" s="48" t="n"/>
      <c r="P247" s="48" t="n"/>
      <c r="Q247" s="48" t="n"/>
      <c r="R247" s="48" t="n"/>
      <c r="S247" s="48" t="n"/>
      <c r="T247" s="48" t="n"/>
      <c r="U247" s="48" t="n"/>
      <c r="V247" s="48" t="n"/>
      <c r="W247" s="48" t="n"/>
      <c r="X247" s="48" t="n"/>
      <c r="Y247" s="48" t="n"/>
      <c r="Z247" s="48" t="n"/>
      <c r="AA247" s="48" t="n"/>
      <c r="AB247" s="48" t="n"/>
      <c r="AC247" s="48" t="n"/>
      <c r="AD247" s="48" t="n"/>
      <c r="AE247" s="48" t="n"/>
      <c r="AF247" s="48" t="n"/>
      <c r="AG247" s="48" t="n"/>
      <c r="AH247" s="48" t="n"/>
      <c r="AI247" s="48" t="n"/>
      <c r="AJ247" s="48" t="n"/>
      <c r="AK247" s="48" t="n"/>
      <c r="AL247" s="53" t="n"/>
      <c r="AM247" s="52" t="n"/>
      <c r="AN247" s="48" t="n"/>
      <c r="AO247" s="48" t="n"/>
      <c r="AP247" s="48" t="n"/>
      <c r="AQ247" s="48" t="n"/>
      <c r="AR247" s="48" t="n"/>
      <c r="AS247" s="48" t="n"/>
      <c r="AT247" s="48" t="n"/>
      <c r="AU247" s="48" t="n"/>
      <c r="AV247" s="48" t="n"/>
      <c r="AW247" s="48" t="n"/>
      <c r="AX247" s="48" t="n"/>
      <c r="AY247" s="48" t="n"/>
      <c r="AZ247" s="48" t="n"/>
      <c r="BA247" s="48" t="n"/>
      <c r="BB247" s="48" t="n"/>
      <c r="BC247" s="48" t="n"/>
      <c r="BD247" s="48" t="n"/>
      <c r="BE247" s="48" t="n"/>
      <c r="BF247" s="48" t="n"/>
      <c r="BG247" s="48" t="n"/>
      <c r="BH247" s="48" t="n"/>
      <c r="BI247" s="48" t="n"/>
      <c r="BJ247" s="48" t="n"/>
      <c r="BK247" s="48" t="n"/>
      <c r="BL247" s="48" t="n"/>
      <c r="BM247" s="48" t="n"/>
      <c r="BN247" s="48" t="n"/>
    </row>
    <row r="248">
      <c r="A248" s="47" t="n"/>
      <c r="B248" s="48" t="n"/>
      <c r="C248" s="48" t="n"/>
      <c r="D248" s="49" t="n"/>
      <c r="E248" s="48" t="n"/>
      <c r="F248" s="48" t="n"/>
      <c r="G248" s="50" t="n"/>
      <c r="H248" s="51" t="n"/>
      <c r="I248" s="51" t="n"/>
      <c r="J248" s="48" t="n"/>
      <c r="K248" s="52" t="n"/>
      <c r="L248" s="48" t="n"/>
      <c r="M248" s="48" t="n"/>
      <c r="N248" s="48" t="n"/>
      <c r="O248" s="48" t="n"/>
      <c r="P248" s="48" t="n"/>
      <c r="Q248" s="48" t="n"/>
      <c r="R248" s="48" t="n"/>
      <c r="S248" s="48" t="n"/>
      <c r="T248" s="48" t="n"/>
      <c r="U248" s="48" t="n"/>
      <c r="V248" s="48" t="n"/>
      <c r="W248" s="48" t="n"/>
      <c r="X248" s="48" t="n"/>
      <c r="Y248" s="48" t="n"/>
      <c r="Z248" s="48" t="n"/>
      <c r="AA248" s="48" t="n"/>
      <c r="AB248" s="48" t="n"/>
      <c r="AC248" s="48" t="n"/>
      <c r="AD248" s="48" t="n"/>
      <c r="AE248" s="48" t="n"/>
      <c r="AF248" s="48" t="n"/>
      <c r="AG248" s="48" t="n"/>
      <c r="AH248" s="48" t="n"/>
      <c r="AI248" s="48" t="n"/>
      <c r="AJ248" s="48" t="n"/>
      <c r="AK248" s="48" t="n"/>
      <c r="AL248" s="53" t="n"/>
      <c r="AM248" s="52" t="n"/>
      <c r="AN248" s="48" t="n"/>
      <c r="AO248" s="48" t="n"/>
      <c r="AP248" s="48" t="n"/>
      <c r="AQ248" s="48" t="n"/>
      <c r="AR248" s="48" t="n"/>
      <c r="AS248" s="48" t="n"/>
      <c r="AT248" s="48" t="n"/>
      <c r="AU248" s="48" t="n"/>
      <c r="AV248" s="48" t="n"/>
      <c r="AW248" s="48" t="n"/>
      <c r="AX248" s="48" t="n"/>
      <c r="AY248" s="48" t="n"/>
      <c r="AZ248" s="48" t="n"/>
      <c r="BA248" s="48" t="n"/>
      <c r="BB248" s="48" t="n"/>
      <c r="BC248" s="48" t="n"/>
      <c r="BD248" s="48" t="n"/>
      <c r="BE248" s="48" t="n"/>
      <c r="BF248" s="48" t="n"/>
      <c r="BG248" s="48" t="n"/>
      <c r="BH248" s="48" t="n"/>
      <c r="BI248" s="48" t="n"/>
      <c r="BJ248" s="48" t="n"/>
      <c r="BK248" s="48" t="n"/>
      <c r="BL248" s="48" t="n"/>
      <c r="BM248" s="48" t="n"/>
      <c r="BN248" s="48" t="n"/>
    </row>
    <row r="249">
      <c r="A249" s="47" t="n"/>
      <c r="B249" s="48" t="n"/>
      <c r="C249" s="48" t="n"/>
      <c r="D249" s="49" t="n"/>
      <c r="E249" s="48" t="n"/>
      <c r="F249" s="48" t="n"/>
      <c r="G249" s="50" t="n"/>
      <c r="H249" s="51" t="n"/>
      <c r="I249" s="51" t="n"/>
      <c r="J249" s="48" t="n"/>
      <c r="K249" s="52" t="n"/>
      <c r="L249" s="48" t="n"/>
      <c r="M249" s="48" t="n"/>
      <c r="N249" s="48" t="n"/>
      <c r="O249" s="48" t="n"/>
      <c r="P249" s="48" t="n"/>
      <c r="Q249" s="48" t="n"/>
      <c r="R249" s="48" t="n"/>
      <c r="S249" s="48" t="n"/>
      <c r="T249" s="48" t="n"/>
      <c r="U249" s="48" t="n"/>
      <c r="V249" s="48" t="n"/>
      <c r="W249" s="48" t="n"/>
      <c r="X249" s="48" t="n"/>
      <c r="Y249" s="48" t="n"/>
      <c r="Z249" s="48" t="n"/>
      <c r="AA249" s="48" t="n"/>
      <c r="AB249" s="48" t="n"/>
      <c r="AC249" s="48" t="n"/>
      <c r="AD249" s="48" t="n"/>
      <c r="AE249" s="48" t="n"/>
      <c r="AF249" s="48" t="n"/>
      <c r="AG249" s="48" t="n"/>
      <c r="AH249" s="48" t="n"/>
      <c r="AI249" s="48" t="n"/>
      <c r="AJ249" s="48" t="n"/>
      <c r="AK249" s="48" t="n"/>
      <c r="AL249" s="53" t="n"/>
      <c r="AM249" s="52" t="n"/>
      <c r="AN249" s="48" t="n"/>
      <c r="AO249" s="48" t="n"/>
      <c r="AP249" s="48" t="n"/>
      <c r="AQ249" s="48" t="n"/>
      <c r="AR249" s="48" t="n"/>
      <c r="AS249" s="48" t="n"/>
      <c r="AT249" s="48" t="n"/>
      <c r="AU249" s="48" t="n"/>
      <c r="AV249" s="48" t="n"/>
      <c r="AW249" s="48" t="n"/>
      <c r="AX249" s="48" t="n"/>
      <c r="AY249" s="48" t="n"/>
      <c r="AZ249" s="48" t="n"/>
      <c r="BA249" s="48" t="n"/>
      <c r="BB249" s="48" t="n"/>
      <c r="BC249" s="48" t="n"/>
      <c r="BD249" s="48" t="n"/>
      <c r="BE249" s="48" t="n"/>
      <c r="BF249" s="48" t="n"/>
      <c r="BG249" s="48" t="n"/>
      <c r="BH249" s="48" t="n"/>
      <c r="BI249" s="48" t="n"/>
      <c r="BJ249" s="48" t="n"/>
      <c r="BK249" s="48" t="n"/>
      <c r="BL249" s="48" t="n"/>
      <c r="BM249" s="48" t="n"/>
      <c r="BN249" s="48" t="n"/>
    </row>
    <row r="250">
      <c r="A250" s="47" t="n"/>
      <c r="B250" s="48" t="n"/>
      <c r="C250" s="48" t="n"/>
      <c r="D250" s="49" t="n"/>
      <c r="E250" s="48" t="n"/>
      <c r="F250" s="48" t="n"/>
      <c r="G250" s="50" t="n"/>
      <c r="H250" s="51" t="n"/>
      <c r="I250" s="51" t="n"/>
      <c r="J250" s="48" t="n"/>
      <c r="K250" s="52" t="n"/>
      <c r="L250" s="48" t="n"/>
      <c r="M250" s="48" t="n"/>
      <c r="N250" s="48" t="n"/>
      <c r="O250" s="48" t="n"/>
      <c r="P250" s="48" t="n"/>
      <c r="Q250" s="48" t="n"/>
      <c r="R250" s="48" t="n"/>
      <c r="S250" s="48" t="n"/>
      <c r="T250" s="48" t="n"/>
      <c r="U250" s="48" t="n"/>
      <c r="V250" s="48" t="n"/>
      <c r="W250" s="48" t="n"/>
      <c r="X250" s="48" t="n"/>
      <c r="Y250" s="48" t="n"/>
      <c r="Z250" s="48" t="n"/>
      <c r="AA250" s="48" t="n"/>
      <c r="AB250" s="48" t="n"/>
      <c r="AC250" s="48" t="n"/>
      <c r="AD250" s="48" t="n"/>
      <c r="AE250" s="48" t="n"/>
      <c r="AF250" s="48" t="n"/>
      <c r="AG250" s="48" t="n"/>
      <c r="AH250" s="48" t="n"/>
      <c r="AI250" s="48" t="n"/>
      <c r="AJ250" s="48" t="n"/>
      <c r="AK250" s="48" t="n"/>
      <c r="AL250" s="53" t="n"/>
      <c r="AM250" s="52" t="n"/>
      <c r="AN250" s="48" t="n"/>
      <c r="AO250" s="48" t="n"/>
      <c r="AP250" s="48" t="n"/>
      <c r="AQ250" s="48" t="n"/>
      <c r="AR250" s="48" t="n"/>
      <c r="AS250" s="48" t="n"/>
      <c r="AT250" s="48" t="n"/>
      <c r="AU250" s="48" t="n"/>
      <c r="AV250" s="48" t="n"/>
      <c r="AW250" s="48" t="n"/>
      <c r="AX250" s="48" t="n"/>
      <c r="AY250" s="48" t="n"/>
      <c r="AZ250" s="48" t="n"/>
      <c r="BA250" s="48" t="n"/>
      <c r="BB250" s="48" t="n"/>
      <c r="BC250" s="48" t="n"/>
      <c r="BD250" s="48" t="n"/>
      <c r="BE250" s="48" t="n"/>
      <c r="BF250" s="48" t="n"/>
      <c r="BG250" s="48" t="n"/>
      <c r="BH250" s="48" t="n"/>
      <c r="BI250" s="48" t="n"/>
      <c r="BJ250" s="48" t="n"/>
      <c r="BK250" s="48" t="n"/>
      <c r="BL250" s="48" t="n"/>
      <c r="BM250" s="48" t="n"/>
      <c r="BN250" s="48" t="n"/>
    </row>
    <row r="251">
      <c r="A251" s="47" t="n"/>
      <c r="B251" s="48" t="n"/>
      <c r="C251" s="48" t="n"/>
      <c r="D251" s="49" t="n"/>
      <c r="E251" s="48" t="n"/>
      <c r="F251" s="48" t="n"/>
      <c r="G251" s="50" t="n"/>
      <c r="H251" s="51" t="n"/>
      <c r="I251" s="51" t="n"/>
      <c r="J251" s="48" t="n"/>
      <c r="K251" s="52" t="n"/>
      <c r="L251" s="48" t="n"/>
      <c r="M251" s="48" t="n"/>
      <c r="N251" s="48" t="n"/>
      <c r="O251" s="48" t="n"/>
      <c r="P251" s="48" t="n"/>
      <c r="Q251" s="48" t="n"/>
      <c r="R251" s="48" t="n"/>
      <c r="S251" s="48" t="n"/>
      <c r="T251" s="48" t="n"/>
      <c r="U251" s="48" t="n"/>
      <c r="V251" s="48" t="n"/>
      <c r="W251" s="48" t="n"/>
      <c r="X251" s="48" t="n"/>
      <c r="Y251" s="48" t="n"/>
      <c r="Z251" s="48" t="n"/>
      <c r="AA251" s="48" t="n"/>
      <c r="AB251" s="48" t="n"/>
      <c r="AC251" s="48" t="n"/>
      <c r="AD251" s="48" t="n"/>
      <c r="AE251" s="48" t="n"/>
      <c r="AF251" s="48" t="n"/>
      <c r="AG251" s="48" t="n"/>
      <c r="AH251" s="48" t="n"/>
      <c r="AI251" s="48" t="n"/>
      <c r="AJ251" s="48" t="n"/>
      <c r="AK251" s="48" t="n"/>
      <c r="AL251" s="53" t="n"/>
      <c r="AM251" s="52" t="n"/>
      <c r="AN251" s="48" t="n"/>
      <c r="AO251" s="48" t="n"/>
      <c r="AP251" s="48" t="n"/>
      <c r="AQ251" s="48" t="n"/>
      <c r="AR251" s="48" t="n"/>
      <c r="AS251" s="48" t="n"/>
      <c r="AT251" s="48" t="n"/>
      <c r="AU251" s="48" t="n"/>
      <c r="AV251" s="48" t="n"/>
      <c r="AW251" s="48" t="n"/>
      <c r="AX251" s="48" t="n"/>
      <c r="AY251" s="48" t="n"/>
      <c r="AZ251" s="48" t="n"/>
      <c r="BA251" s="48" t="n"/>
      <c r="BB251" s="48" t="n"/>
      <c r="BC251" s="48" t="n"/>
      <c r="BD251" s="48" t="n"/>
      <c r="BE251" s="48" t="n"/>
      <c r="BF251" s="48" t="n"/>
      <c r="BG251" s="48" t="n"/>
      <c r="BH251" s="48" t="n"/>
      <c r="BI251" s="48" t="n"/>
      <c r="BJ251" s="48" t="n"/>
      <c r="BK251" s="48" t="n"/>
      <c r="BL251" s="48" t="n"/>
      <c r="BM251" s="48" t="n"/>
      <c r="BN251" s="48" t="n"/>
    </row>
    <row r="252">
      <c r="A252" s="47" t="n"/>
      <c r="B252" s="48" t="n"/>
      <c r="C252" s="48" t="n"/>
      <c r="D252" s="49" t="n"/>
      <c r="E252" s="48" t="n"/>
      <c r="F252" s="48" t="n"/>
      <c r="G252" s="50" t="n"/>
      <c r="H252" s="51" t="n"/>
      <c r="I252" s="51" t="n"/>
      <c r="J252" s="48" t="n"/>
      <c r="K252" s="52" t="n"/>
      <c r="L252" s="48" t="n"/>
      <c r="M252" s="48" t="n"/>
      <c r="N252" s="48" t="n"/>
      <c r="O252" s="48" t="n"/>
      <c r="P252" s="48" t="n"/>
      <c r="Q252" s="48" t="n"/>
      <c r="R252" s="48" t="n"/>
      <c r="S252" s="48" t="n"/>
      <c r="T252" s="48" t="n"/>
      <c r="U252" s="48" t="n"/>
      <c r="V252" s="48" t="n"/>
      <c r="W252" s="48" t="n"/>
      <c r="X252" s="48" t="n"/>
      <c r="Y252" s="48" t="n"/>
      <c r="Z252" s="48" t="n"/>
      <c r="AA252" s="48" t="n"/>
      <c r="AB252" s="48" t="n"/>
      <c r="AC252" s="48" t="n"/>
      <c r="AD252" s="48" t="n"/>
      <c r="AE252" s="48" t="n"/>
      <c r="AF252" s="48" t="n"/>
      <c r="AG252" s="48" t="n"/>
      <c r="AH252" s="48" t="n"/>
      <c r="AI252" s="48" t="n"/>
      <c r="AJ252" s="48" t="n"/>
      <c r="AK252" s="48" t="n"/>
      <c r="AL252" s="53" t="n"/>
      <c r="AM252" s="52" t="n"/>
      <c r="AN252" s="48" t="n"/>
      <c r="AO252" s="48" t="n"/>
      <c r="AP252" s="48" t="n"/>
      <c r="AQ252" s="48" t="n"/>
      <c r="AR252" s="48" t="n"/>
      <c r="AS252" s="48" t="n"/>
      <c r="AT252" s="48" t="n"/>
      <c r="AU252" s="48" t="n"/>
      <c r="AV252" s="48" t="n"/>
      <c r="AW252" s="48" t="n"/>
      <c r="AX252" s="48" t="n"/>
      <c r="AY252" s="48" t="n"/>
      <c r="AZ252" s="48" t="n"/>
      <c r="BA252" s="48" t="n"/>
      <c r="BB252" s="48" t="n"/>
      <c r="BC252" s="48" t="n"/>
      <c r="BD252" s="48" t="n"/>
      <c r="BE252" s="48" t="n"/>
      <c r="BF252" s="48" t="n"/>
      <c r="BG252" s="48" t="n"/>
      <c r="BH252" s="48" t="n"/>
      <c r="BI252" s="48" t="n"/>
      <c r="BJ252" s="48" t="n"/>
      <c r="BK252" s="48" t="n"/>
      <c r="BL252" s="48" t="n"/>
      <c r="BM252" s="48" t="n"/>
      <c r="BN252" s="48" t="n"/>
    </row>
    <row r="253">
      <c r="A253" s="47" t="n"/>
      <c r="B253" s="48" t="n"/>
      <c r="C253" s="48" t="n"/>
      <c r="D253" s="49" t="n"/>
      <c r="E253" s="48" t="n"/>
      <c r="F253" s="48" t="n"/>
      <c r="G253" s="50" t="n"/>
      <c r="H253" s="51" t="n"/>
      <c r="I253" s="51" t="n"/>
      <c r="J253" s="48" t="n"/>
      <c r="K253" s="52" t="n"/>
      <c r="L253" s="48" t="n"/>
      <c r="M253" s="48" t="n"/>
      <c r="N253" s="48" t="n"/>
      <c r="O253" s="48" t="n"/>
      <c r="P253" s="48" t="n"/>
      <c r="Q253" s="48" t="n"/>
      <c r="R253" s="48" t="n"/>
      <c r="S253" s="48" t="n"/>
      <c r="T253" s="48" t="n"/>
      <c r="U253" s="48" t="n"/>
      <c r="V253" s="48" t="n"/>
      <c r="W253" s="48" t="n"/>
      <c r="X253" s="48" t="n"/>
      <c r="Y253" s="48" t="n"/>
      <c r="Z253" s="48" t="n"/>
      <c r="AA253" s="48" t="n"/>
      <c r="AB253" s="48" t="n"/>
      <c r="AC253" s="48" t="n"/>
      <c r="AD253" s="48" t="n"/>
      <c r="AE253" s="48" t="n"/>
      <c r="AF253" s="48" t="n"/>
      <c r="AG253" s="48" t="n"/>
      <c r="AH253" s="48" t="n"/>
      <c r="AI253" s="48" t="n"/>
      <c r="AJ253" s="48" t="n"/>
      <c r="AK253" s="48" t="n"/>
      <c r="AL253" s="53" t="n"/>
      <c r="AM253" s="52" t="n"/>
      <c r="AN253" s="48" t="n"/>
      <c r="AO253" s="48" t="n"/>
      <c r="AP253" s="48" t="n"/>
      <c r="AQ253" s="48" t="n"/>
      <c r="AR253" s="48" t="n"/>
      <c r="AS253" s="48" t="n"/>
      <c r="AT253" s="48" t="n"/>
      <c r="AU253" s="48" t="n"/>
      <c r="AV253" s="48" t="n"/>
      <c r="AW253" s="48" t="n"/>
      <c r="AX253" s="48" t="n"/>
      <c r="AY253" s="48" t="n"/>
      <c r="AZ253" s="48" t="n"/>
      <c r="BA253" s="48" t="n"/>
      <c r="BB253" s="48" t="n"/>
      <c r="BC253" s="48" t="n"/>
      <c r="BD253" s="48" t="n"/>
      <c r="BE253" s="48" t="n"/>
      <c r="BF253" s="48" t="n"/>
      <c r="BG253" s="48" t="n"/>
      <c r="BH253" s="48" t="n"/>
      <c r="BI253" s="48" t="n"/>
      <c r="BJ253" s="48" t="n"/>
      <c r="BK253" s="48" t="n"/>
      <c r="BL253" s="48" t="n"/>
      <c r="BM253" s="48" t="n"/>
      <c r="BN253" s="48" t="n"/>
    </row>
    <row r="254">
      <c r="A254" s="47" t="n"/>
      <c r="B254" s="48" t="n"/>
      <c r="C254" s="48" t="n"/>
      <c r="D254" s="49" t="n"/>
      <c r="E254" s="48" t="n"/>
      <c r="F254" s="48" t="n"/>
      <c r="G254" s="50" t="n"/>
      <c r="H254" s="51" t="n"/>
      <c r="I254" s="51" t="n"/>
      <c r="J254" s="48" t="n"/>
      <c r="K254" s="52" t="n"/>
      <c r="L254" s="48" t="n"/>
      <c r="M254" s="48" t="n"/>
      <c r="N254" s="48" t="n"/>
      <c r="O254" s="48" t="n"/>
      <c r="P254" s="48" t="n"/>
      <c r="Q254" s="48" t="n"/>
      <c r="R254" s="48" t="n"/>
      <c r="S254" s="48" t="n"/>
      <c r="T254" s="48" t="n"/>
      <c r="U254" s="48" t="n"/>
      <c r="V254" s="48" t="n"/>
      <c r="W254" s="48" t="n"/>
      <c r="X254" s="48" t="n"/>
      <c r="Y254" s="48" t="n"/>
      <c r="Z254" s="48" t="n"/>
      <c r="AA254" s="48" t="n"/>
      <c r="AB254" s="48" t="n"/>
      <c r="AC254" s="48" t="n"/>
      <c r="AD254" s="48" t="n"/>
      <c r="AE254" s="48" t="n"/>
      <c r="AF254" s="48" t="n"/>
      <c r="AG254" s="48" t="n"/>
      <c r="AH254" s="48" t="n"/>
      <c r="AI254" s="48" t="n"/>
      <c r="AJ254" s="48" t="n"/>
      <c r="AK254" s="48" t="n"/>
      <c r="AL254" s="53" t="n"/>
      <c r="AM254" s="52" t="n"/>
      <c r="AN254" s="48" t="n"/>
      <c r="AO254" s="48" t="n"/>
      <c r="AP254" s="48" t="n"/>
      <c r="AQ254" s="48" t="n"/>
      <c r="AR254" s="48" t="n"/>
      <c r="AS254" s="48" t="n"/>
      <c r="AT254" s="48" t="n"/>
      <c r="AU254" s="48" t="n"/>
      <c r="AV254" s="48" t="n"/>
      <c r="AW254" s="48" t="n"/>
      <c r="AX254" s="48" t="n"/>
      <c r="AY254" s="48" t="n"/>
      <c r="AZ254" s="48" t="n"/>
      <c r="BA254" s="48" t="n"/>
      <c r="BB254" s="48" t="n"/>
      <c r="BC254" s="48" t="n"/>
      <c r="BD254" s="48" t="n"/>
      <c r="BE254" s="48" t="n"/>
      <c r="BF254" s="48" t="n"/>
      <c r="BG254" s="48" t="n"/>
      <c r="BH254" s="48" t="n"/>
      <c r="BI254" s="48" t="n"/>
      <c r="BJ254" s="48" t="n"/>
      <c r="BK254" s="48" t="n"/>
      <c r="BL254" s="48" t="n"/>
      <c r="BM254" s="48" t="n"/>
      <c r="BN254" s="48" t="n"/>
    </row>
    <row r="255">
      <c r="A255" s="47" t="n"/>
      <c r="B255" s="48" t="n"/>
      <c r="C255" s="48" t="n"/>
      <c r="D255" s="49" t="n"/>
      <c r="E255" s="48" t="n"/>
      <c r="F255" s="48" t="n"/>
      <c r="G255" s="50" t="n"/>
      <c r="H255" s="51" t="n"/>
      <c r="I255" s="51" t="n"/>
      <c r="J255" s="48" t="n"/>
      <c r="K255" s="52" t="n"/>
      <c r="L255" s="48" t="n"/>
      <c r="M255" s="48" t="n"/>
      <c r="N255" s="48" t="n"/>
      <c r="O255" s="48" t="n"/>
      <c r="P255" s="48" t="n"/>
      <c r="Q255" s="48" t="n"/>
      <c r="R255" s="48" t="n"/>
      <c r="S255" s="48" t="n"/>
      <c r="T255" s="48" t="n"/>
      <c r="U255" s="48" t="n"/>
      <c r="V255" s="48" t="n"/>
      <c r="W255" s="48" t="n"/>
      <c r="X255" s="48" t="n"/>
      <c r="Y255" s="48" t="n"/>
      <c r="Z255" s="48" t="n"/>
      <c r="AA255" s="48" t="n"/>
      <c r="AB255" s="48" t="n"/>
      <c r="AC255" s="48" t="n"/>
      <c r="AD255" s="48" t="n"/>
      <c r="AE255" s="48" t="n"/>
      <c r="AF255" s="48" t="n"/>
      <c r="AG255" s="48" t="n"/>
      <c r="AH255" s="48" t="n"/>
      <c r="AI255" s="48" t="n"/>
      <c r="AJ255" s="48" t="n"/>
      <c r="AK255" s="48" t="n"/>
      <c r="AL255" s="53" t="n"/>
      <c r="AM255" s="52" t="n"/>
      <c r="AN255" s="48" t="n"/>
      <c r="AO255" s="48" t="n"/>
      <c r="AP255" s="48" t="n"/>
      <c r="AQ255" s="48" t="n"/>
      <c r="AR255" s="48" t="n"/>
      <c r="AS255" s="48" t="n"/>
      <c r="AT255" s="48" t="n"/>
      <c r="AU255" s="48" t="n"/>
      <c r="AV255" s="48" t="n"/>
      <c r="AW255" s="48" t="n"/>
      <c r="AX255" s="48" t="n"/>
      <c r="AY255" s="48" t="n"/>
      <c r="AZ255" s="48" t="n"/>
      <c r="BA255" s="48" t="n"/>
      <c r="BB255" s="48" t="n"/>
      <c r="BC255" s="48" t="n"/>
      <c r="BD255" s="48" t="n"/>
      <c r="BE255" s="48" t="n"/>
      <c r="BF255" s="48" t="n"/>
      <c r="BG255" s="48" t="n"/>
      <c r="BH255" s="48" t="n"/>
      <c r="BI255" s="48" t="n"/>
      <c r="BJ255" s="48" t="n"/>
      <c r="BK255" s="48" t="n"/>
      <c r="BL255" s="48" t="n"/>
      <c r="BM255" s="48" t="n"/>
      <c r="BN255" s="48" t="n"/>
    </row>
    <row r="256">
      <c r="A256" s="47" t="n"/>
      <c r="B256" s="48" t="n"/>
      <c r="C256" s="48" t="n"/>
      <c r="D256" s="49" t="n"/>
      <c r="E256" s="48" t="n"/>
      <c r="F256" s="48" t="n"/>
      <c r="G256" s="50" t="n"/>
      <c r="H256" s="51" t="n"/>
      <c r="I256" s="51" t="n"/>
      <c r="J256" s="48" t="n"/>
      <c r="K256" s="52" t="n"/>
      <c r="L256" s="48" t="n"/>
      <c r="M256" s="48" t="n"/>
      <c r="N256" s="48" t="n"/>
      <c r="O256" s="48" t="n"/>
      <c r="P256" s="48" t="n"/>
      <c r="Q256" s="48" t="n"/>
      <c r="R256" s="48" t="n"/>
      <c r="S256" s="48" t="n"/>
      <c r="T256" s="48" t="n"/>
      <c r="U256" s="48" t="n"/>
      <c r="V256" s="48" t="n"/>
      <c r="W256" s="48" t="n"/>
      <c r="X256" s="48" t="n"/>
      <c r="Y256" s="48" t="n"/>
      <c r="Z256" s="48" t="n"/>
      <c r="AA256" s="48" t="n"/>
      <c r="AB256" s="48" t="n"/>
      <c r="AC256" s="48" t="n"/>
      <c r="AD256" s="48" t="n"/>
      <c r="AE256" s="48" t="n"/>
      <c r="AF256" s="48" t="n"/>
      <c r="AG256" s="48" t="n"/>
      <c r="AH256" s="48" t="n"/>
      <c r="AI256" s="48" t="n"/>
      <c r="AJ256" s="48" t="n"/>
      <c r="AK256" s="48" t="n"/>
      <c r="AL256" s="53" t="n"/>
      <c r="AM256" s="52" t="n"/>
      <c r="AN256" s="48" t="n"/>
      <c r="AO256" s="48" t="n"/>
      <c r="AP256" s="48" t="n"/>
      <c r="AQ256" s="48" t="n"/>
      <c r="AR256" s="48" t="n"/>
      <c r="AS256" s="48" t="n"/>
      <c r="AT256" s="48" t="n"/>
      <c r="AU256" s="48" t="n"/>
      <c r="AV256" s="48" t="n"/>
      <c r="AW256" s="48" t="n"/>
      <c r="AX256" s="48" t="n"/>
      <c r="AY256" s="48" t="n"/>
      <c r="AZ256" s="48" t="n"/>
      <c r="BA256" s="48" t="n"/>
      <c r="BB256" s="48" t="n"/>
      <c r="BC256" s="48" t="n"/>
      <c r="BD256" s="48" t="n"/>
      <c r="BE256" s="48" t="n"/>
      <c r="BF256" s="48" t="n"/>
      <c r="BG256" s="48" t="n"/>
      <c r="BH256" s="48" t="n"/>
      <c r="BI256" s="48" t="n"/>
      <c r="BJ256" s="48" t="n"/>
      <c r="BK256" s="48" t="n"/>
      <c r="BL256" s="48" t="n"/>
      <c r="BM256" s="48" t="n"/>
      <c r="BN256" s="48" t="n"/>
    </row>
    <row r="257">
      <c r="A257" s="47" t="n"/>
      <c r="B257" s="48" t="n"/>
      <c r="C257" s="48" t="n"/>
      <c r="D257" s="49" t="n"/>
      <c r="E257" s="48" t="n"/>
      <c r="F257" s="48" t="n"/>
      <c r="G257" s="50" t="n"/>
      <c r="H257" s="51" t="n"/>
      <c r="I257" s="51" t="n"/>
      <c r="J257" s="48" t="n"/>
      <c r="K257" s="52" t="n"/>
      <c r="L257" s="48" t="n"/>
      <c r="M257" s="48" t="n"/>
      <c r="N257" s="48" t="n"/>
      <c r="O257" s="48" t="n"/>
      <c r="P257" s="48" t="n"/>
      <c r="Q257" s="48" t="n"/>
      <c r="R257" s="48" t="n"/>
      <c r="S257" s="48" t="n"/>
      <c r="T257" s="48" t="n"/>
      <c r="U257" s="48" t="n"/>
      <c r="V257" s="48" t="n"/>
      <c r="W257" s="48" t="n"/>
      <c r="X257" s="48" t="n"/>
      <c r="Y257" s="48" t="n"/>
      <c r="Z257" s="48" t="n"/>
      <c r="AA257" s="48" t="n"/>
      <c r="AB257" s="48" t="n"/>
      <c r="AC257" s="48" t="n"/>
      <c r="AD257" s="48" t="n"/>
      <c r="AE257" s="48" t="n"/>
      <c r="AF257" s="48" t="n"/>
      <c r="AG257" s="48" t="n"/>
      <c r="AH257" s="48" t="n"/>
      <c r="AI257" s="48" t="n"/>
      <c r="AJ257" s="48" t="n"/>
      <c r="AK257" s="48" t="n"/>
      <c r="AL257" s="53" t="n"/>
      <c r="AM257" s="52" t="n"/>
      <c r="AN257" s="48" t="n"/>
      <c r="AO257" s="48" t="n"/>
      <c r="AP257" s="48" t="n"/>
      <c r="AQ257" s="48" t="n"/>
      <c r="AR257" s="48" t="n"/>
      <c r="AS257" s="48" t="n"/>
      <c r="AT257" s="48" t="n"/>
      <c r="AU257" s="48" t="n"/>
      <c r="AV257" s="48" t="n"/>
      <c r="AW257" s="48" t="n"/>
      <c r="AX257" s="48" t="n"/>
      <c r="AY257" s="48" t="n"/>
      <c r="AZ257" s="48" t="n"/>
      <c r="BA257" s="48" t="n"/>
      <c r="BB257" s="48" t="n"/>
      <c r="BC257" s="48" t="n"/>
      <c r="BD257" s="48" t="n"/>
      <c r="BE257" s="48" t="n"/>
      <c r="BF257" s="48" t="n"/>
      <c r="BG257" s="48" t="n"/>
      <c r="BH257" s="48" t="n"/>
      <c r="BI257" s="48" t="n"/>
      <c r="BJ257" s="48" t="n"/>
      <c r="BK257" s="48" t="n"/>
      <c r="BL257" s="48" t="n"/>
      <c r="BM257" s="48" t="n"/>
      <c r="BN257" s="48" t="n"/>
    </row>
    <row r="258">
      <c r="A258" s="47" t="n"/>
      <c r="B258" s="48" t="n"/>
      <c r="C258" s="48" t="n"/>
      <c r="D258" s="49" t="n"/>
      <c r="E258" s="48" t="n"/>
      <c r="F258" s="48" t="n"/>
      <c r="G258" s="50" t="n"/>
      <c r="H258" s="51" t="n"/>
      <c r="I258" s="51" t="n"/>
      <c r="J258" s="48" t="n"/>
      <c r="K258" s="52" t="n"/>
      <c r="L258" s="48" t="n"/>
      <c r="M258" s="48" t="n"/>
      <c r="N258" s="48" t="n"/>
      <c r="O258" s="48" t="n"/>
      <c r="P258" s="48" t="n"/>
      <c r="Q258" s="48" t="n"/>
      <c r="R258" s="48" t="n"/>
      <c r="S258" s="48" t="n"/>
      <c r="T258" s="48" t="n"/>
      <c r="U258" s="48" t="n"/>
      <c r="V258" s="48" t="n"/>
      <c r="W258" s="48" t="n"/>
      <c r="X258" s="48" t="n"/>
      <c r="Y258" s="48" t="n"/>
      <c r="Z258" s="48" t="n"/>
      <c r="AA258" s="48" t="n"/>
      <c r="AB258" s="48" t="n"/>
      <c r="AC258" s="48" t="n"/>
      <c r="AD258" s="48" t="n"/>
      <c r="AE258" s="48" t="n"/>
      <c r="AF258" s="48" t="n"/>
      <c r="AG258" s="48" t="n"/>
      <c r="AH258" s="48" t="n"/>
      <c r="AI258" s="48" t="n"/>
      <c r="AJ258" s="48" t="n"/>
      <c r="AK258" s="48" t="n"/>
      <c r="AL258" s="53" t="n"/>
      <c r="AM258" s="52" t="n"/>
      <c r="AN258" s="48" t="n"/>
      <c r="AO258" s="48" t="n"/>
      <c r="AP258" s="48" t="n"/>
      <c r="AQ258" s="48" t="n"/>
      <c r="AR258" s="48" t="n"/>
      <c r="AS258" s="48" t="n"/>
      <c r="AT258" s="48" t="n"/>
      <c r="AU258" s="48" t="n"/>
      <c r="AV258" s="48" t="n"/>
      <c r="AW258" s="48" t="n"/>
      <c r="AX258" s="48" t="n"/>
      <c r="AY258" s="48" t="n"/>
      <c r="AZ258" s="48" t="n"/>
      <c r="BA258" s="48" t="n"/>
      <c r="BB258" s="48" t="n"/>
      <c r="BC258" s="48" t="n"/>
      <c r="BD258" s="48" t="n"/>
      <c r="BE258" s="48" t="n"/>
      <c r="BF258" s="48" t="n"/>
      <c r="BG258" s="48" t="n"/>
      <c r="BH258" s="48" t="n"/>
      <c r="BI258" s="48" t="n"/>
      <c r="BJ258" s="48" t="n"/>
      <c r="BK258" s="48" t="n"/>
      <c r="BL258" s="48" t="n"/>
      <c r="BM258" s="48" t="n"/>
      <c r="BN258" s="48" t="n"/>
    </row>
    <row r="259">
      <c r="A259" s="47" t="n"/>
      <c r="B259" s="48" t="n"/>
      <c r="C259" s="48" t="n"/>
      <c r="D259" s="49" t="n"/>
      <c r="E259" s="48" t="n"/>
      <c r="F259" s="48" t="n"/>
      <c r="G259" s="50" t="n"/>
      <c r="H259" s="51" t="n"/>
      <c r="I259" s="51" t="n"/>
      <c r="J259" s="48" t="n"/>
      <c r="K259" s="52" t="n"/>
      <c r="L259" s="48" t="n"/>
      <c r="M259" s="48" t="n"/>
      <c r="N259" s="48" t="n"/>
      <c r="O259" s="48" t="n"/>
      <c r="P259" s="48" t="n"/>
      <c r="Q259" s="48" t="n"/>
      <c r="R259" s="48" t="n"/>
      <c r="S259" s="48" t="n"/>
      <c r="T259" s="48" t="n"/>
      <c r="U259" s="48" t="n"/>
      <c r="V259" s="48" t="n"/>
      <c r="W259" s="48" t="n"/>
      <c r="X259" s="48" t="n"/>
      <c r="Y259" s="48" t="n"/>
      <c r="Z259" s="48" t="n"/>
      <c r="AA259" s="48" t="n"/>
      <c r="AB259" s="48" t="n"/>
      <c r="AC259" s="48" t="n"/>
      <c r="AD259" s="48" t="n"/>
      <c r="AE259" s="48" t="n"/>
      <c r="AF259" s="48" t="n"/>
      <c r="AG259" s="48" t="n"/>
      <c r="AH259" s="48" t="n"/>
      <c r="AI259" s="48" t="n"/>
      <c r="AJ259" s="48" t="n"/>
      <c r="AK259" s="48" t="n"/>
      <c r="AL259" s="53" t="n"/>
      <c r="AM259" s="52" t="n"/>
      <c r="AN259" s="48" t="n"/>
      <c r="AO259" s="48" t="n"/>
      <c r="AP259" s="48" t="n"/>
      <c r="AQ259" s="48" t="n"/>
      <c r="AR259" s="48" t="n"/>
      <c r="AS259" s="48" t="n"/>
      <c r="AT259" s="48" t="n"/>
      <c r="AU259" s="48" t="n"/>
      <c r="AV259" s="48" t="n"/>
      <c r="AW259" s="48" t="n"/>
      <c r="AX259" s="48" t="n"/>
      <c r="AY259" s="48" t="n"/>
      <c r="AZ259" s="48" t="n"/>
      <c r="BA259" s="48" t="n"/>
      <c r="BB259" s="48" t="n"/>
      <c r="BC259" s="48" t="n"/>
      <c r="BD259" s="48" t="n"/>
      <c r="BE259" s="48" t="n"/>
      <c r="BF259" s="48" t="n"/>
      <c r="BG259" s="48" t="n"/>
      <c r="BH259" s="48" t="n"/>
      <c r="BI259" s="48" t="n"/>
      <c r="BJ259" s="48" t="n"/>
      <c r="BK259" s="48" t="n"/>
      <c r="BL259" s="48" t="n"/>
      <c r="BM259" s="48" t="n"/>
      <c r="BN259" s="48" t="n"/>
    </row>
    <row r="260">
      <c r="A260" s="47" t="n"/>
      <c r="B260" s="48" t="n"/>
      <c r="C260" s="48" t="n"/>
      <c r="D260" s="49" t="n"/>
      <c r="E260" s="48" t="n"/>
      <c r="F260" s="48" t="n"/>
      <c r="G260" s="50" t="n"/>
      <c r="H260" s="51" t="n"/>
      <c r="I260" s="51" t="n"/>
      <c r="J260" s="48" t="n"/>
      <c r="K260" s="52" t="n"/>
      <c r="L260" s="48" t="n"/>
      <c r="M260" s="48" t="n"/>
      <c r="N260" s="48" t="n"/>
      <c r="O260" s="48" t="n"/>
      <c r="P260" s="48" t="n"/>
      <c r="Q260" s="48" t="n"/>
      <c r="R260" s="48" t="n"/>
      <c r="S260" s="48" t="n"/>
      <c r="T260" s="48" t="n"/>
      <c r="U260" s="48" t="n"/>
      <c r="V260" s="48" t="n"/>
      <c r="W260" s="48" t="n"/>
      <c r="X260" s="48" t="n"/>
      <c r="Y260" s="48" t="n"/>
      <c r="Z260" s="48" t="n"/>
      <c r="AA260" s="48" t="n"/>
      <c r="AB260" s="48" t="n"/>
      <c r="AC260" s="48" t="n"/>
      <c r="AD260" s="48" t="n"/>
      <c r="AE260" s="48" t="n"/>
      <c r="AF260" s="48" t="n"/>
      <c r="AG260" s="48" t="n"/>
      <c r="AH260" s="48" t="n"/>
      <c r="AI260" s="48" t="n"/>
      <c r="AJ260" s="48" t="n"/>
      <c r="AK260" s="48" t="n"/>
      <c r="AL260" s="53" t="n"/>
      <c r="AM260" s="52" t="n"/>
      <c r="AN260" s="48" t="n"/>
      <c r="AO260" s="48" t="n"/>
      <c r="AP260" s="48" t="n"/>
      <c r="AQ260" s="48" t="n"/>
      <c r="AR260" s="48" t="n"/>
      <c r="AS260" s="48" t="n"/>
      <c r="AT260" s="48" t="n"/>
      <c r="AU260" s="48" t="n"/>
      <c r="AV260" s="48" t="n"/>
      <c r="AW260" s="48" t="n"/>
      <c r="AX260" s="48" t="n"/>
      <c r="AY260" s="48" t="n"/>
      <c r="AZ260" s="48" t="n"/>
      <c r="BA260" s="48" t="n"/>
      <c r="BB260" s="48" t="n"/>
      <c r="BC260" s="48" t="n"/>
      <c r="BD260" s="48" t="n"/>
      <c r="BE260" s="48" t="n"/>
      <c r="BF260" s="48" t="n"/>
      <c r="BG260" s="48" t="n"/>
      <c r="BH260" s="48" t="n"/>
      <c r="BI260" s="48" t="n"/>
      <c r="BJ260" s="48" t="n"/>
      <c r="BK260" s="48" t="n"/>
      <c r="BL260" s="48" t="n"/>
      <c r="BM260" s="48" t="n"/>
      <c r="BN260" s="48" t="n"/>
    </row>
    <row r="261">
      <c r="A261" s="47" t="n"/>
      <c r="B261" s="48" t="n"/>
      <c r="C261" s="48" t="n"/>
      <c r="D261" s="49" t="n"/>
      <c r="E261" s="48" t="n"/>
      <c r="F261" s="48" t="n"/>
      <c r="G261" s="50" t="n"/>
      <c r="H261" s="51" t="n"/>
      <c r="I261" s="51" t="n"/>
      <c r="J261" s="48" t="n"/>
      <c r="K261" s="52" t="n"/>
      <c r="L261" s="48" t="n"/>
      <c r="M261" s="48" t="n"/>
      <c r="N261" s="48" t="n"/>
      <c r="O261" s="48" t="n"/>
      <c r="P261" s="48" t="n"/>
      <c r="Q261" s="48" t="n"/>
      <c r="R261" s="48" t="n"/>
      <c r="S261" s="48" t="n"/>
      <c r="T261" s="48" t="n"/>
      <c r="U261" s="48" t="n"/>
      <c r="V261" s="48" t="n"/>
      <c r="W261" s="48" t="n"/>
      <c r="X261" s="48" t="n"/>
      <c r="Y261" s="48" t="n"/>
      <c r="Z261" s="48" t="n"/>
      <c r="AA261" s="48" t="n"/>
      <c r="AB261" s="48" t="n"/>
      <c r="AC261" s="48" t="n"/>
      <c r="AD261" s="48" t="n"/>
      <c r="AE261" s="48" t="n"/>
      <c r="AF261" s="48" t="n"/>
      <c r="AG261" s="48" t="n"/>
      <c r="AH261" s="48" t="n"/>
      <c r="AI261" s="48" t="n"/>
      <c r="AJ261" s="48" t="n"/>
      <c r="AK261" s="48" t="n"/>
      <c r="AL261" s="53" t="n"/>
      <c r="AM261" s="52" t="n"/>
      <c r="AN261" s="48" t="n"/>
      <c r="AO261" s="48" t="n"/>
      <c r="AP261" s="48" t="n"/>
      <c r="AQ261" s="48" t="n"/>
      <c r="AR261" s="48" t="n"/>
      <c r="AS261" s="48" t="n"/>
      <c r="AT261" s="48" t="n"/>
      <c r="AU261" s="48" t="n"/>
      <c r="AV261" s="48" t="n"/>
      <c r="AW261" s="48" t="n"/>
      <c r="AX261" s="48" t="n"/>
      <c r="AY261" s="48" t="n"/>
      <c r="AZ261" s="48" t="n"/>
      <c r="BA261" s="48" t="n"/>
      <c r="BB261" s="48" t="n"/>
      <c r="BC261" s="48" t="n"/>
      <c r="BD261" s="48" t="n"/>
      <c r="BE261" s="48" t="n"/>
      <c r="BF261" s="48" t="n"/>
      <c r="BG261" s="48" t="n"/>
      <c r="BH261" s="48" t="n"/>
      <c r="BI261" s="48" t="n"/>
      <c r="BJ261" s="48" t="n"/>
      <c r="BK261" s="48" t="n"/>
      <c r="BL261" s="48" t="n"/>
      <c r="BM261" s="48" t="n"/>
      <c r="BN261" s="48" t="n"/>
    </row>
    <row r="262">
      <c r="A262" s="47" t="n"/>
      <c r="B262" s="48" t="n"/>
      <c r="C262" s="48" t="n"/>
      <c r="D262" s="49" t="n"/>
      <c r="E262" s="48" t="n"/>
      <c r="F262" s="48" t="n"/>
      <c r="G262" s="50" t="n"/>
      <c r="H262" s="51" t="n"/>
      <c r="I262" s="51" t="n"/>
      <c r="J262" s="48" t="n"/>
      <c r="K262" s="52" t="n"/>
      <c r="L262" s="48" t="n"/>
      <c r="M262" s="48" t="n"/>
      <c r="N262" s="48" t="n"/>
      <c r="O262" s="48" t="n"/>
      <c r="P262" s="48" t="n"/>
      <c r="Q262" s="48" t="n"/>
      <c r="R262" s="48" t="n"/>
      <c r="S262" s="48" t="n"/>
      <c r="T262" s="48" t="n"/>
      <c r="U262" s="48" t="n"/>
      <c r="V262" s="48" t="n"/>
      <c r="W262" s="48" t="n"/>
      <c r="X262" s="48" t="n"/>
      <c r="Y262" s="48" t="n"/>
      <c r="Z262" s="48" t="n"/>
      <c r="AA262" s="48" t="n"/>
      <c r="AB262" s="48" t="n"/>
      <c r="AC262" s="48" t="n"/>
      <c r="AD262" s="48" t="n"/>
      <c r="AE262" s="48" t="n"/>
      <c r="AF262" s="48" t="n"/>
      <c r="AG262" s="48" t="n"/>
      <c r="AH262" s="48" t="n"/>
      <c r="AI262" s="48" t="n"/>
      <c r="AJ262" s="48" t="n"/>
      <c r="AK262" s="48" t="n"/>
      <c r="AL262" s="53" t="n"/>
      <c r="AM262" s="52" t="n"/>
      <c r="AN262" s="48" t="n"/>
      <c r="AO262" s="48" t="n"/>
      <c r="AP262" s="48" t="n"/>
      <c r="AQ262" s="48" t="n"/>
      <c r="AR262" s="48" t="n"/>
      <c r="AS262" s="48" t="n"/>
      <c r="AT262" s="48" t="n"/>
      <c r="AU262" s="48" t="n"/>
      <c r="AV262" s="48" t="n"/>
      <c r="AW262" s="48" t="n"/>
      <c r="AX262" s="48" t="n"/>
      <c r="AY262" s="48" t="n"/>
      <c r="AZ262" s="48" t="n"/>
      <c r="BA262" s="48" t="n"/>
      <c r="BB262" s="48" t="n"/>
      <c r="BC262" s="48" t="n"/>
      <c r="BD262" s="48" t="n"/>
      <c r="BE262" s="48" t="n"/>
      <c r="BF262" s="48" t="n"/>
      <c r="BG262" s="48" t="n"/>
      <c r="BH262" s="48" t="n"/>
      <c r="BI262" s="48" t="n"/>
      <c r="BJ262" s="48" t="n"/>
      <c r="BK262" s="48" t="n"/>
      <c r="BL262" s="48" t="n"/>
      <c r="BM262" s="48" t="n"/>
      <c r="BN262" s="48" t="n"/>
    </row>
    <row r="263">
      <c r="A263" s="47" t="n"/>
      <c r="B263" s="48" t="n"/>
      <c r="C263" s="48" t="n"/>
      <c r="D263" s="49" t="n"/>
      <c r="E263" s="48" t="n"/>
      <c r="F263" s="48" t="n"/>
      <c r="G263" s="50" t="n"/>
      <c r="H263" s="51" t="n"/>
      <c r="I263" s="51" t="n"/>
      <c r="J263" s="48" t="n"/>
      <c r="K263" s="52" t="n"/>
      <c r="L263" s="48" t="n"/>
      <c r="M263" s="48" t="n"/>
      <c r="N263" s="48" t="n"/>
      <c r="O263" s="48" t="n"/>
      <c r="P263" s="48" t="n"/>
      <c r="Q263" s="48" t="n"/>
      <c r="R263" s="48" t="n"/>
      <c r="S263" s="48" t="n"/>
      <c r="T263" s="48" t="n"/>
      <c r="U263" s="48" t="n"/>
      <c r="V263" s="48" t="n"/>
      <c r="W263" s="48" t="n"/>
      <c r="X263" s="48" t="n"/>
      <c r="Y263" s="48" t="n"/>
      <c r="Z263" s="48" t="n"/>
      <c r="AA263" s="48" t="n"/>
      <c r="AB263" s="48" t="n"/>
      <c r="AC263" s="48" t="n"/>
      <c r="AD263" s="48" t="n"/>
      <c r="AE263" s="48" t="n"/>
      <c r="AF263" s="48" t="n"/>
      <c r="AG263" s="48" t="n"/>
      <c r="AH263" s="48" t="n"/>
      <c r="AI263" s="48" t="n"/>
      <c r="AJ263" s="48" t="n"/>
      <c r="AK263" s="48" t="n"/>
      <c r="AL263" s="53" t="n"/>
      <c r="AM263" s="52" t="n"/>
      <c r="AN263" s="48" t="n"/>
      <c r="AO263" s="48" t="n"/>
      <c r="AP263" s="48" t="n"/>
      <c r="AQ263" s="48" t="n"/>
      <c r="AR263" s="48" t="n"/>
      <c r="AS263" s="48" t="n"/>
      <c r="AT263" s="48" t="n"/>
      <c r="AU263" s="48" t="n"/>
      <c r="AV263" s="48" t="n"/>
      <c r="AW263" s="48" t="n"/>
      <c r="AX263" s="48" t="n"/>
      <c r="AY263" s="48" t="n"/>
      <c r="AZ263" s="48" t="n"/>
      <c r="BA263" s="48" t="n"/>
      <c r="BB263" s="48" t="n"/>
      <c r="BC263" s="48" t="n"/>
      <c r="BD263" s="48" t="n"/>
      <c r="BE263" s="48" t="n"/>
      <c r="BF263" s="48" t="n"/>
      <c r="BG263" s="48" t="n"/>
      <c r="BH263" s="48" t="n"/>
      <c r="BI263" s="48" t="n"/>
      <c r="BJ263" s="48" t="n"/>
      <c r="BK263" s="48" t="n"/>
      <c r="BL263" s="48" t="n"/>
      <c r="BM263" s="48" t="n"/>
      <c r="BN263" s="48" t="n"/>
    </row>
    <row r="264">
      <c r="A264" s="47" t="n"/>
      <c r="B264" s="48" t="n"/>
      <c r="C264" s="48" t="n"/>
      <c r="D264" s="49" t="n"/>
      <c r="E264" s="48" t="n"/>
      <c r="F264" s="48" t="n"/>
      <c r="G264" s="50" t="n"/>
      <c r="H264" s="51" t="n"/>
      <c r="I264" s="51" t="n"/>
      <c r="J264" s="48" t="n"/>
      <c r="K264" s="52" t="n"/>
      <c r="L264" s="48" t="n"/>
      <c r="M264" s="48" t="n"/>
      <c r="N264" s="48" t="n"/>
      <c r="O264" s="48" t="n"/>
      <c r="P264" s="48" t="n"/>
      <c r="Q264" s="48" t="n"/>
      <c r="R264" s="48" t="n"/>
      <c r="S264" s="48" t="n"/>
      <c r="T264" s="48" t="n"/>
      <c r="U264" s="48" t="n"/>
      <c r="V264" s="48" t="n"/>
      <c r="W264" s="48" t="n"/>
      <c r="X264" s="48" t="n"/>
      <c r="Y264" s="48" t="n"/>
      <c r="Z264" s="48" t="n"/>
      <c r="AA264" s="48" t="n"/>
      <c r="AB264" s="48" t="n"/>
      <c r="AC264" s="48" t="n"/>
      <c r="AD264" s="48" t="n"/>
      <c r="AE264" s="48" t="n"/>
      <c r="AF264" s="48" t="n"/>
      <c r="AG264" s="48" t="n"/>
      <c r="AH264" s="48" t="n"/>
      <c r="AI264" s="48" t="n"/>
      <c r="AJ264" s="48" t="n"/>
      <c r="AK264" s="48" t="n"/>
      <c r="AL264" s="53" t="n"/>
      <c r="AM264" s="52" t="n"/>
      <c r="AN264" s="48" t="n"/>
      <c r="AO264" s="48" t="n"/>
      <c r="AP264" s="48" t="n"/>
      <c r="AQ264" s="48" t="n"/>
      <c r="AR264" s="48" t="n"/>
      <c r="AS264" s="48" t="n"/>
      <c r="AT264" s="48" t="n"/>
      <c r="AU264" s="48" t="n"/>
      <c r="AV264" s="48" t="n"/>
      <c r="AW264" s="48" t="n"/>
      <c r="AX264" s="48" t="n"/>
      <c r="AY264" s="48" t="n"/>
      <c r="AZ264" s="48" t="n"/>
      <c r="BA264" s="48" t="n"/>
      <c r="BB264" s="48" t="n"/>
      <c r="BC264" s="48" t="n"/>
      <c r="BD264" s="48" t="n"/>
      <c r="BE264" s="48" t="n"/>
      <c r="BF264" s="48" t="n"/>
      <c r="BG264" s="48" t="n"/>
      <c r="BH264" s="48" t="n"/>
      <c r="BI264" s="48" t="n"/>
      <c r="BJ264" s="48" t="n"/>
      <c r="BK264" s="48" t="n"/>
      <c r="BL264" s="48" t="n"/>
      <c r="BM264" s="48" t="n"/>
      <c r="BN264" s="48" t="n"/>
    </row>
    <row r="265">
      <c r="A265" s="47" t="n"/>
      <c r="B265" s="48" t="n"/>
      <c r="C265" s="48" t="n"/>
      <c r="D265" s="49" t="n"/>
      <c r="E265" s="48" t="n"/>
      <c r="F265" s="48" t="n"/>
      <c r="G265" s="50" t="n"/>
      <c r="H265" s="51" t="n"/>
      <c r="I265" s="51" t="n"/>
      <c r="J265" s="48" t="n"/>
      <c r="K265" s="52" t="n"/>
      <c r="L265" s="48" t="n"/>
      <c r="M265" s="48" t="n"/>
      <c r="N265" s="48" t="n"/>
      <c r="O265" s="48" t="n"/>
      <c r="P265" s="48" t="n"/>
      <c r="Q265" s="48" t="n"/>
      <c r="R265" s="48" t="n"/>
      <c r="S265" s="48" t="n"/>
      <c r="T265" s="48" t="n"/>
      <c r="U265" s="48" t="n"/>
      <c r="V265" s="48" t="n"/>
      <c r="W265" s="48" t="n"/>
      <c r="X265" s="48" t="n"/>
      <c r="Y265" s="48" t="n"/>
      <c r="Z265" s="48" t="n"/>
      <c r="AA265" s="48" t="n"/>
      <c r="AB265" s="48" t="n"/>
      <c r="AC265" s="48" t="n"/>
      <c r="AD265" s="48" t="n"/>
      <c r="AE265" s="48" t="n"/>
      <c r="AF265" s="48" t="n"/>
      <c r="AG265" s="48" t="n"/>
      <c r="AH265" s="48" t="n"/>
      <c r="AI265" s="48" t="n"/>
      <c r="AJ265" s="48" t="n"/>
      <c r="AK265" s="48" t="n"/>
      <c r="AL265" s="53" t="n"/>
      <c r="AM265" s="52" t="n"/>
      <c r="AN265" s="48" t="n"/>
      <c r="AO265" s="48" t="n"/>
      <c r="AP265" s="48" t="n"/>
      <c r="AQ265" s="48" t="n"/>
      <c r="AR265" s="48" t="n"/>
      <c r="AS265" s="48" t="n"/>
      <c r="AT265" s="48" t="n"/>
      <c r="AU265" s="48" t="n"/>
      <c r="AV265" s="48" t="n"/>
      <c r="AW265" s="48" t="n"/>
      <c r="AX265" s="48" t="n"/>
      <c r="AY265" s="48" t="n"/>
      <c r="AZ265" s="48" t="n"/>
      <c r="BA265" s="48" t="n"/>
      <c r="BB265" s="48" t="n"/>
      <c r="BC265" s="48" t="n"/>
      <c r="BD265" s="48" t="n"/>
      <c r="BE265" s="48" t="n"/>
      <c r="BF265" s="48" t="n"/>
      <c r="BG265" s="48" t="n"/>
      <c r="BH265" s="48" t="n"/>
      <c r="BI265" s="48" t="n"/>
      <c r="BJ265" s="48" t="n"/>
      <c r="BK265" s="48" t="n"/>
      <c r="BL265" s="48" t="n"/>
      <c r="BM265" s="48" t="n"/>
      <c r="BN265" s="48" t="n"/>
    </row>
    <row r="266">
      <c r="A266" s="47" t="n"/>
      <c r="B266" s="48" t="n"/>
      <c r="C266" s="48" t="n"/>
      <c r="D266" s="49" t="n"/>
      <c r="E266" s="48" t="n"/>
      <c r="F266" s="48" t="n"/>
      <c r="G266" s="50" t="n"/>
      <c r="H266" s="51" t="n"/>
      <c r="I266" s="51" t="n"/>
      <c r="J266" s="48" t="n"/>
      <c r="K266" s="52" t="n"/>
      <c r="L266" s="48" t="n"/>
      <c r="M266" s="48" t="n"/>
      <c r="N266" s="48" t="n"/>
      <c r="O266" s="48" t="n"/>
      <c r="P266" s="48" t="n"/>
      <c r="Q266" s="48" t="n"/>
      <c r="R266" s="48" t="n"/>
      <c r="S266" s="48" t="n"/>
      <c r="T266" s="48" t="n"/>
      <c r="U266" s="48" t="n"/>
      <c r="V266" s="48" t="n"/>
      <c r="W266" s="48" t="n"/>
      <c r="X266" s="48" t="n"/>
      <c r="Y266" s="48" t="n"/>
      <c r="Z266" s="48" t="n"/>
      <c r="AA266" s="48" t="n"/>
      <c r="AB266" s="48" t="n"/>
      <c r="AC266" s="48" t="n"/>
      <c r="AD266" s="48" t="n"/>
      <c r="AE266" s="48" t="n"/>
      <c r="AF266" s="48" t="n"/>
      <c r="AG266" s="48" t="n"/>
      <c r="AH266" s="48" t="n"/>
      <c r="AI266" s="48" t="n"/>
      <c r="AJ266" s="48" t="n"/>
      <c r="AK266" s="48" t="n"/>
      <c r="AL266" s="53" t="n"/>
      <c r="AM266" s="52" t="n"/>
      <c r="AN266" s="48" t="n"/>
      <c r="AO266" s="48" t="n"/>
      <c r="AP266" s="48" t="n"/>
      <c r="AQ266" s="48" t="n"/>
      <c r="AR266" s="48" t="n"/>
      <c r="AS266" s="48" t="n"/>
      <c r="AT266" s="48" t="n"/>
      <c r="AU266" s="48" t="n"/>
      <c r="AV266" s="48" t="n"/>
      <c r="AW266" s="48" t="n"/>
      <c r="AX266" s="48" t="n"/>
      <c r="AY266" s="48" t="n"/>
      <c r="AZ266" s="48" t="n"/>
      <c r="BA266" s="48" t="n"/>
      <c r="BB266" s="48" t="n"/>
      <c r="BC266" s="48" t="n"/>
      <c r="BD266" s="48" t="n"/>
      <c r="BE266" s="48" t="n"/>
      <c r="BF266" s="48" t="n"/>
      <c r="BG266" s="48" t="n"/>
      <c r="BH266" s="48" t="n"/>
      <c r="BI266" s="48" t="n"/>
      <c r="BJ266" s="48" t="n"/>
      <c r="BK266" s="48" t="n"/>
      <c r="BL266" s="48" t="n"/>
      <c r="BM266" s="48" t="n"/>
      <c r="BN266" s="48" t="n"/>
    </row>
    <row r="267">
      <c r="A267" s="47" t="n"/>
      <c r="B267" s="48" t="n"/>
      <c r="C267" s="48" t="n"/>
      <c r="D267" s="49" t="n"/>
      <c r="E267" s="48" t="n"/>
      <c r="F267" s="48" t="n"/>
      <c r="G267" s="50" t="n"/>
      <c r="H267" s="51" t="n"/>
      <c r="I267" s="51" t="n"/>
      <c r="J267" s="48" t="n"/>
      <c r="K267" s="52" t="n"/>
      <c r="L267" s="48" t="n"/>
      <c r="M267" s="48" t="n"/>
      <c r="N267" s="48" t="n"/>
      <c r="O267" s="48" t="n"/>
      <c r="P267" s="48" t="n"/>
      <c r="Q267" s="48" t="n"/>
      <c r="R267" s="48" t="n"/>
      <c r="S267" s="48" t="n"/>
      <c r="T267" s="48" t="n"/>
      <c r="U267" s="48" t="n"/>
      <c r="V267" s="48" t="n"/>
      <c r="W267" s="48" t="n"/>
      <c r="X267" s="48" t="n"/>
      <c r="Y267" s="48" t="n"/>
      <c r="Z267" s="48" t="n"/>
      <c r="AA267" s="48" t="n"/>
      <c r="AB267" s="48" t="n"/>
      <c r="AC267" s="48" t="n"/>
      <c r="AD267" s="48" t="n"/>
      <c r="AE267" s="48" t="n"/>
      <c r="AF267" s="48" t="n"/>
      <c r="AG267" s="48" t="n"/>
      <c r="AH267" s="48" t="n"/>
      <c r="AI267" s="48" t="n"/>
      <c r="AJ267" s="48" t="n"/>
      <c r="AK267" s="48" t="n"/>
      <c r="AL267" s="53" t="n"/>
      <c r="AM267" s="52" t="n"/>
      <c r="AN267" s="48" t="n"/>
      <c r="AO267" s="48" t="n"/>
      <c r="AP267" s="48" t="n"/>
      <c r="AQ267" s="48" t="n"/>
      <c r="AR267" s="48" t="n"/>
      <c r="AS267" s="48" t="n"/>
      <c r="AT267" s="48" t="n"/>
      <c r="AU267" s="48" t="n"/>
      <c r="AV267" s="48" t="n"/>
      <c r="AW267" s="48" t="n"/>
      <c r="AX267" s="48" t="n"/>
      <c r="AY267" s="48" t="n"/>
      <c r="AZ267" s="48" t="n"/>
      <c r="BA267" s="48" t="n"/>
      <c r="BB267" s="48" t="n"/>
      <c r="BC267" s="48" t="n"/>
      <c r="BD267" s="48" t="n"/>
      <c r="BE267" s="48" t="n"/>
      <c r="BF267" s="48" t="n"/>
      <c r="BG267" s="48" t="n"/>
      <c r="BH267" s="48" t="n"/>
      <c r="BI267" s="48" t="n"/>
      <c r="BJ267" s="48" t="n"/>
      <c r="BK267" s="48" t="n"/>
      <c r="BL267" s="48" t="n"/>
      <c r="BM267" s="48" t="n"/>
      <c r="BN267" s="48" t="n"/>
    </row>
    <row r="268">
      <c r="A268" s="47" t="n"/>
      <c r="B268" s="48" t="n"/>
      <c r="C268" s="48" t="n"/>
      <c r="D268" s="49" t="n"/>
      <c r="E268" s="48" t="n"/>
      <c r="F268" s="48" t="n"/>
      <c r="G268" s="50" t="n"/>
      <c r="H268" s="51" t="n"/>
      <c r="I268" s="51" t="n"/>
      <c r="J268" s="48" t="n"/>
      <c r="K268" s="52" t="n"/>
      <c r="L268" s="48" t="n"/>
      <c r="M268" s="48" t="n"/>
      <c r="N268" s="48" t="n"/>
      <c r="O268" s="48" t="n"/>
      <c r="P268" s="48" t="n"/>
      <c r="Q268" s="48" t="n"/>
      <c r="R268" s="48" t="n"/>
      <c r="S268" s="48" t="n"/>
      <c r="T268" s="48" t="n"/>
      <c r="U268" s="48" t="n"/>
      <c r="V268" s="48" t="n"/>
      <c r="W268" s="48" t="n"/>
      <c r="X268" s="48" t="n"/>
      <c r="Y268" s="48" t="n"/>
      <c r="Z268" s="48" t="n"/>
      <c r="AA268" s="48" t="n"/>
      <c r="AB268" s="48" t="n"/>
      <c r="AC268" s="48" t="n"/>
      <c r="AD268" s="48" t="n"/>
      <c r="AE268" s="48" t="n"/>
      <c r="AF268" s="48" t="n"/>
      <c r="AG268" s="48" t="n"/>
      <c r="AH268" s="48" t="n"/>
      <c r="AI268" s="48" t="n"/>
      <c r="AJ268" s="48" t="n"/>
      <c r="AK268" s="48" t="n"/>
      <c r="AL268" s="53" t="n"/>
      <c r="AM268" s="52" t="n"/>
      <c r="AN268" s="48" t="n"/>
      <c r="AO268" s="48" t="n"/>
      <c r="AP268" s="48" t="n"/>
      <c r="AQ268" s="48" t="n"/>
      <c r="AR268" s="48" t="n"/>
      <c r="AS268" s="48" t="n"/>
      <c r="AT268" s="48" t="n"/>
      <c r="AU268" s="48" t="n"/>
      <c r="AV268" s="48" t="n"/>
      <c r="AW268" s="48" t="n"/>
      <c r="AX268" s="48" t="n"/>
      <c r="AY268" s="48" t="n"/>
      <c r="AZ268" s="48" t="n"/>
      <c r="BA268" s="48" t="n"/>
      <c r="BB268" s="48" t="n"/>
      <c r="BC268" s="48" t="n"/>
      <c r="BD268" s="48" t="n"/>
      <c r="BE268" s="48" t="n"/>
      <c r="BF268" s="48" t="n"/>
      <c r="BG268" s="48" t="n"/>
      <c r="BH268" s="48" t="n"/>
      <c r="BI268" s="48" t="n"/>
      <c r="BJ268" s="48" t="n"/>
      <c r="BK268" s="48" t="n"/>
      <c r="BL268" s="48" t="n"/>
      <c r="BM268" s="48" t="n"/>
      <c r="BN268" s="48" t="n"/>
    </row>
    <row r="269">
      <c r="A269" s="47" t="n"/>
      <c r="B269" s="48" t="n"/>
      <c r="C269" s="48" t="n"/>
      <c r="D269" s="49" t="n"/>
      <c r="E269" s="48" t="n"/>
      <c r="F269" s="48" t="n"/>
      <c r="G269" s="50" t="n"/>
      <c r="H269" s="51" t="n"/>
      <c r="I269" s="51" t="n"/>
      <c r="J269" s="48" t="n"/>
      <c r="K269" s="52" t="n"/>
      <c r="L269" s="48" t="n"/>
      <c r="M269" s="48" t="n"/>
      <c r="N269" s="48" t="n"/>
      <c r="O269" s="48" t="n"/>
      <c r="P269" s="48" t="n"/>
      <c r="Q269" s="48" t="n"/>
      <c r="R269" s="48" t="n"/>
      <c r="S269" s="48" t="n"/>
      <c r="T269" s="48" t="n"/>
      <c r="U269" s="48" t="n"/>
      <c r="V269" s="48" t="n"/>
      <c r="W269" s="48" t="n"/>
      <c r="X269" s="48" t="n"/>
      <c r="Y269" s="48" t="n"/>
      <c r="Z269" s="48" t="n"/>
      <c r="AA269" s="48" t="n"/>
      <c r="AB269" s="48" t="n"/>
      <c r="AC269" s="48" t="n"/>
      <c r="AD269" s="48" t="n"/>
      <c r="AE269" s="48" t="n"/>
      <c r="AF269" s="48" t="n"/>
      <c r="AG269" s="48" t="n"/>
      <c r="AH269" s="48" t="n"/>
      <c r="AI269" s="48" t="n"/>
      <c r="AJ269" s="48" t="n"/>
      <c r="AK269" s="48" t="n"/>
      <c r="AL269" s="53" t="n"/>
      <c r="AM269" s="52" t="n"/>
      <c r="AN269" s="48" t="n"/>
      <c r="AO269" s="48" t="n"/>
      <c r="AP269" s="48" t="n"/>
      <c r="AQ269" s="48" t="n"/>
      <c r="AR269" s="48" t="n"/>
      <c r="AS269" s="48" t="n"/>
      <c r="AT269" s="48" t="n"/>
      <c r="AU269" s="48" t="n"/>
      <c r="AV269" s="48" t="n"/>
      <c r="AW269" s="48" t="n"/>
      <c r="AX269" s="48" t="n"/>
      <c r="AY269" s="48" t="n"/>
      <c r="AZ269" s="48" t="n"/>
      <c r="BA269" s="48" t="n"/>
      <c r="BB269" s="48" t="n"/>
      <c r="BC269" s="48" t="n"/>
      <c r="BD269" s="48" t="n"/>
      <c r="BE269" s="48" t="n"/>
      <c r="BF269" s="48" t="n"/>
      <c r="BG269" s="48" t="n"/>
      <c r="BH269" s="48" t="n"/>
      <c r="BI269" s="48" t="n"/>
      <c r="BJ269" s="48" t="n"/>
      <c r="BK269" s="48" t="n"/>
      <c r="BL269" s="48" t="n"/>
      <c r="BM269" s="48" t="n"/>
      <c r="BN269" s="48" t="n"/>
    </row>
    <row r="270">
      <c r="A270" s="47" t="n"/>
      <c r="B270" s="48" t="n"/>
      <c r="C270" s="48" t="n"/>
      <c r="D270" s="49" t="n"/>
      <c r="E270" s="48" t="n"/>
      <c r="F270" s="48" t="n"/>
      <c r="G270" s="50" t="n"/>
      <c r="H270" s="51" t="n"/>
      <c r="I270" s="51" t="n"/>
      <c r="J270" s="48" t="n"/>
      <c r="K270" s="52" t="n"/>
      <c r="L270" s="48" t="n"/>
      <c r="M270" s="48" t="n"/>
      <c r="N270" s="48" t="n"/>
      <c r="O270" s="48" t="n"/>
      <c r="P270" s="48" t="n"/>
      <c r="Q270" s="48" t="n"/>
      <c r="R270" s="48" t="n"/>
      <c r="S270" s="48" t="n"/>
      <c r="T270" s="48" t="n"/>
      <c r="U270" s="48" t="n"/>
      <c r="V270" s="48" t="n"/>
      <c r="W270" s="48" t="n"/>
      <c r="X270" s="48" t="n"/>
      <c r="Y270" s="48" t="n"/>
      <c r="Z270" s="48" t="n"/>
      <c r="AA270" s="48" t="n"/>
      <c r="AB270" s="48" t="n"/>
      <c r="AC270" s="48" t="n"/>
      <c r="AD270" s="48" t="n"/>
      <c r="AE270" s="48" t="n"/>
      <c r="AF270" s="48" t="n"/>
      <c r="AG270" s="48" t="n"/>
      <c r="AH270" s="48" t="n"/>
      <c r="AI270" s="48" t="n"/>
      <c r="AJ270" s="48" t="n"/>
      <c r="AK270" s="48" t="n"/>
      <c r="AL270" s="53" t="n"/>
      <c r="AM270" s="52" t="n"/>
      <c r="AN270" s="48" t="n"/>
      <c r="AO270" s="48" t="n"/>
      <c r="AP270" s="48" t="n"/>
      <c r="AQ270" s="48" t="n"/>
      <c r="AR270" s="48" t="n"/>
      <c r="AS270" s="48" t="n"/>
      <c r="AT270" s="48" t="n"/>
      <c r="AU270" s="48" t="n"/>
      <c r="AV270" s="48" t="n"/>
      <c r="AW270" s="48" t="n"/>
      <c r="AX270" s="48" t="n"/>
      <c r="AY270" s="48" t="n"/>
      <c r="AZ270" s="48" t="n"/>
      <c r="BA270" s="48" t="n"/>
      <c r="BB270" s="48" t="n"/>
      <c r="BC270" s="48" t="n"/>
      <c r="BD270" s="48" t="n"/>
      <c r="BE270" s="48" t="n"/>
      <c r="BF270" s="48" t="n"/>
      <c r="BG270" s="48" t="n"/>
      <c r="BH270" s="48" t="n"/>
      <c r="BI270" s="48" t="n"/>
      <c r="BJ270" s="48" t="n"/>
      <c r="BK270" s="48" t="n"/>
      <c r="BL270" s="48" t="n"/>
      <c r="BM270" s="48" t="n"/>
      <c r="BN270" s="48" t="n"/>
    </row>
    <row r="271">
      <c r="A271" s="47" t="n"/>
      <c r="B271" s="48" t="n"/>
      <c r="C271" s="48" t="n"/>
      <c r="D271" s="49" t="n"/>
      <c r="E271" s="48" t="n"/>
      <c r="F271" s="48" t="n"/>
      <c r="G271" s="50" t="n"/>
      <c r="H271" s="51" t="n"/>
      <c r="I271" s="51" t="n"/>
      <c r="J271" s="48" t="n"/>
      <c r="K271" s="52" t="n"/>
      <c r="L271" s="48" t="n"/>
      <c r="M271" s="48" t="n"/>
      <c r="N271" s="48" t="n"/>
      <c r="O271" s="48" t="n"/>
      <c r="P271" s="48" t="n"/>
      <c r="Q271" s="48" t="n"/>
      <c r="R271" s="48" t="n"/>
      <c r="S271" s="48" t="n"/>
      <c r="T271" s="48" t="n"/>
      <c r="U271" s="48" t="n"/>
      <c r="V271" s="48" t="n"/>
      <c r="W271" s="48" t="n"/>
      <c r="X271" s="48" t="n"/>
      <c r="Y271" s="48" t="n"/>
      <c r="Z271" s="48" t="n"/>
      <c r="AA271" s="48" t="n"/>
      <c r="AB271" s="48" t="n"/>
      <c r="AC271" s="48" t="n"/>
      <c r="AD271" s="48" t="n"/>
      <c r="AE271" s="48" t="n"/>
      <c r="AF271" s="48" t="n"/>
      <c r="AG271" s="48" t="n"/>
      <c r="AH271" s="48" t="n"/>
      <c r="AI271" s="48" t="n"/>
      <c r="AJ271" s="48" t="n"/>
      <c r="AK271" s="48" t="n"/>
      <c r="AL271" s="53" t="n"/>
      <c r="AM271" s="52" t="n"/>
      <c r="AN271" s="48" t="n"/>
      <c r="AO271" s="48" t="n"/>
      <c r="AP271" s="48" t="n"/>
      <c r="AQ271" s="48" t="n"/>
      <c r="AR271" s="48" t="n"/>
      <c r="AS271" s="48" t="n"/>
      <c r="AT271" s="48" t="n"/>
      <c r="AU271" s="48" t="n"/>
      <c r="AV271" s="48" t="n"/>
      <c r="AW271" s="48" t="n"/>
      <c r="AX271" s="48" t="n"/>
      <c r="AY271" s="48" t="n"/>
      <c r="AZ271" s="48" t="n"/>
      <c r="BA271" s="48" t="n"/>
      <c r="BB271" s="48" t="n"/>
      <c r="BC271" s="48" t="n"/>
      <c r="BD271" s="48" t="n"/>
      <c r="BE271" s="48" t="n"/>
      <c r="BF271" s="48" t="n"/>
      <c r="BG271" s="48" t="n"/>
      <c r="BH271" s="48" t="n"/>
      <c r="BI271" s="48" t="n"/>
      <c r="BJ271" s="48" t="n"/>
      <c r="BK271" s="48" t="n"/>
      <c r="BL271" s="48" t="n"/>
      <c r="BM271" s="48" t="n"/>
      <c r="BN271" s="48" t="n"/>
    </row>
    <row r="272">
      <c r="A272" s="47" t="n"/>
      <c r="B272" s="48" t="n"/>
      <c r="C272" s="48" t="n"/>
      <c r="D272" s="49" t="n"/>
      <c r="E272" s="48" t="n"/>
      <c r="F272" s="48" t="n"/>
      <c r="G272" s="50" t="n"/>
      <c r="H272" s="51" t="n"/>
      <c r="I272" s="51" t="n"/>
      <c r="J272" s="48" t="n"/>
      <c r="K272" s="52" t="n"/>
      <c r="L272" s="48" t="n"/>
      <c r="M272" s="48" t="n"/>
      <c r="N272" s="48" t="n"/>
      <c r="O272" s="48" t="n"/>
      <c r="P272" s="48" t="n"/>
      <c r="Q272" s="48" t="n"/>
      <c r="R272" s="48" t="n"/>
      <c r="S272" s="48" t="n"/>
      <c r="T272" s="48" t="n"/>
      <c r="U272" s="48" t="n"/>
      <c r="V272" s="48" t="n"/>
      <c r="W272" s="48" t="n"/>
      <c r="X272" s="48" t="n"/>
      <c r="Y272" s="48" t="n"/>
      <c r="Z272" s="48" t="n"/>
      <c r="AA272" s="48" t="n"/>
      <c r="AB272" s="48" t="n"/>
      <c r="AC272" s="48" t="n"/>
      <c r="AD272" s="48" t="n"/>
      <c r="AE272" s="48" t="n"/>
      <c r="AF272" s="48" t="n"/>
      <c r="AG272" s="48" t="n"/>
      <c r="AH272" s="48" t="n"/>
      <c r="AI272" s="48" t="n"/>
      <c r="AJ272" s="48" t="n"/>
      <c r="AK272" s="48" t="n"/>
      <c r="AL272" s="53" t="n"/>
      <c r="AM272" s="52" t="n"/>
      <c r="AN272" s="48" t="n"/>
      <c r="AO272" s="48" t="n"/>
      <c r="AP272" s="48" t="n"/>
      <c r="AQ272" s="48" t="n"/>
      <c r="AR272" s="48" t="n"/>
      <c r="AS272" s="48" t="n"/>
      <c r="AT272" s="48" t="n"/>
      <c r="AU272" s="48" t="n"/>
      <c r="AV272" s="48" t="n"/>
      <c r="AW272" s="48" t="n"/>
      <c r="AX272" s="48" t="n"/>
      <c r="AY272" s="48" t="n"/>
      <c r="AZ272" s="48" t="n"/>
      <c r="BA272" s="48" t="n"/>
      <c r="BB272" s="48" t="n"/>
      <c r="BC272" s="48" t="n"/>
      <c r="BD272" s="48" t="n"/>
      <c r="BE272" s="48" t="n"/>
      <c r="BF272" s="48" t="n"/>
      <c r="BG272" s="48" t="n"/>
      <c r="BH272" s="48" t="n"/>
      <c r="BI272" s="48" t="n"/>
      <c r="BJ272" s="48" t="n"/>
      <c r="BK272" s="48" t="n"/>
      <c r="BL272" s="48" t="n"/>
      <c r="BM272" s="48" t="n"/>
      <c r="BN272" s="48" t="n"/>
    </row>
    <row r="273">
      <c r="A273" s="47" t="n"/>
      <c r="B273" s="48" t="n"/>
      <c r="C273" s="48" t="n"/>
      <c r="D273" s="49" t="n"/>
      <c r="E273" s="48" t="n"/>
      <c r="F273" s="48" t="n"/>
      <c r="G273" s="50" t="n"/>
      <c r="H273" s="51" t="n"/>
      <c r="I273" s="51" t="n"/>
      <c r="J273" s="48" t="n"/>
      <c r="K273" s="52" t="n"/>
      <c r="L273" s="48" t="n"/>
      <c r="M273" s="48" t="n"/>
      <c r="N273" s="48" t="n"/>
      <c r="O273" s="48" t="n"/>
      <c r="P273" s="48" t="n"/>
      <c r="Q273" s="48" t="n"/>
      <c r="R273" s="48" t="n"/>
      <c r="S273" s="48" t="n"/>
      <c r="T273" s="48" t="n"/>
      <c r="U273" s="48" t="n"/>
      <c r="V273" s="48" t="n"/>
      <c r="W273" s="48" t="n"/>
      <c r="X273" s="48" t="n"/>
      <c r="Y273" s="48" t="n"/>
      <c r="Z273" s="48" t="n"/>
      <c r="AA273" s="48" t="n"/>
      <c r="AB273" s="48" t="n"/>
      <c r="AC273" s="48" t="n"/>
      <c r="AD273" s="48" t="n"/>
      <c r="AE273" s="48" t="n"/>
      <c r="AF273" s="48" t="n"/>
      <c r="AG273" s="48" t="n"/>
      <c r="AH273" s="48" t="n"/>
      <c r="AI273" s="48" t="n"/>
      <c r="AJ273" s="48" t="n"/>
      <c r="AK273" s="48" t="n"/>
      <c r="AL273" s="53" t="n"/>
      <c r="AM273" s="52" t="n"/>
      <c r="AN273" s="48" t="n"/>
      <c r="AO273" s="48" t="n"/>
      <c r="AP273" s="48" t="n"/>
      <c r="AQ273" s="48" t="n"/>
      <c r="AR273" s="48" t="n"/>
      <c r="AS273" s="48" t="n"/>
      <c r="AT273" s="48" t="n"/>
      <c r="AU273" s="48" t="n"/>
      <c r="AV273" s="48" t="n"/>
      <c r="AW273" s="48" t="n"/>
      <c r="AX273" s="48" t="n"/>
      <c r="AY273" s="48" t="n"/>
      <c r="AZ273" s="48" t="n"/>
      <c r="BA273" s="48" t="n"/>
      <c r="BB273" s="48" t="n"/>
      <c r="BC273" s="48" t="n"/>
      <c r="BD273" s="48" t="n"/>
      <c r="BE273" s="48" t="n"/>
      <c r="BF273" s="48" t="n"/>
      <c r="BG273" s="48" t="n"/>
      <c r="BH273" s="48" t="n"/>
      <c r="BI273" s="48" t="n"/>
      <c r="BJ273" s="48" t="n"/>
      <c r="BK273" s="48" t="n"/>
      <c r="BL273" s="48" t="n"/>
      <c r="BM273" s="48" t="n"/>
      <c r="BN273" s="48" t="n"/>
    </row>
    <row r="274">
      <c r="A274" s="47" t="n"/>
      <c r="B274" s="48" t="n"/>
      <c r="C274" s="48" t="n"/>
      <c r="D274" s="49" t="n"/>
      <c r="E274" s="48" t="n"/>
      <c r="F274" s="48" t="n"/>
      <c r="G274" s="50" t="n"/>
      <c r="H274" s="51" t="n"/>
      <c r="I274" s="51" t="n"/>
      <c r="J274" s="48" t="n"/>
      <c r="K274" s="52" t="n"/>
      <c r="L274" s="48" t="n"/>
      <c r="M274" s="48" t="n"/>
      <c r="N274" s="48" t="n"/>
      <c r="O274" s="48" t="n"/>
      <c r="P274" s="48" t="n"/>
      <c r="Q274" s="48" t="n"/>
      <c r="R274" s="48" t="n"/>
      <c r="S274" s="48" t="n"/>
      <c r="T274" s="48" t="n"/>
      <c r="U274" s="48" t="n"/>
      <c r="V274" s="48" t="n"/>
      <c r="W274" s="48" t="n"/>
      <c r="X274" s="48" t="n"/>
      <c r="Y274" s="48" t="n"/>
      <c r="Z274" s="48" t="n"/>
      <c r="AA274" s="48" t="n"/>
      <c r="AB274" s="48" t="n"/>
      <c r="AC274" s="48" t="n"/>
      <c r="AD274" s="48" t="n"/>
      <c r="AE274" s="48" t="n"/>
      <c r="AF274" s="48" t="n"/>
      <c r="AG274" s="48" t="n"/>
      <c r="AH274" s="48" t="n"/>
      <c r="AI274" s="48" t="n"/>
      <c r="AJ274" s="48" t="n"/>
      <c r="AK274" s="48" t="n"/>
      <c r="AL274" s="53" t="n"/>
      <c r="AM274" s="52" t="n"/>
      <c r="AN274" s="48" t="n"/>
      <c r="AO274" s="48" t="n"/>
      <c r="AP274" s="48" t="n"/>
      <c r="AQ274" s="48" t="n"/>
      <c r="AR274" s="48" t="n"/>
      <c r="AS274" s="48" t="n"/>
      <c r="AT274" s="48" t="n"/>
      <c r="AU274" s="48" t="n"/>
      <c r="AV274" s="48" t="n"/>
      <c r="AW274" s="48" t="n"/>
      <c r="AX274" s="48" t="n"/>
      <c r="AY274" s="48" t="n"/>
      <c r="AZ274" s="48" t="n"/>
      <c r="BA274" s="48" t="n"/>
      <c r="BB274" s="48" t="n"/>
      <c r="BC274" s="48" t="n"/>
      <c r="BD274" s="48" t="n"/>
      <c r="BE274" s="48" t="n"/>
      <c r="BF274" s="48" t="n"/>
      <c r="BG274" s="48" t="n"/>
      <c r="BH274" s="48" t="n"/>
      <c r="BI274" s="48" t="n"/>
      <c r="BJ274" s="48" t="n"/>
      <c r="BK274" s="48" t="n"/>
      <c r="BL274" s="48" t="n"/>
      <c r="BM274" s="48" t="n"/>
      <c r="BN274" s="48" t="n"/>
    </row>
    <row r="275">
      <c r="A275" s="47" t="n"/>
      <c r="B275" s="48" t="n"/>
      <c r="C275" s="48" t="n"/>
      <c r="D275" s="49" t="n"/>
      <c r="E275" s="48" t="n"/>
      <c r="F275" s="48" t="n"/>
      <c r="G275" s="50" t="n"/>
      <c r="H275" s="51" t="n"/>
      <c r="I275" s="51" t="n"/>
      <c r="J275" s="48" t="n"/>
      <c r="K275" s="52" t="n"/>
      <c r="L275" s="48" t="n"/>
      <c r="M275" s="48" t="n"/>
      <c r="N275" s="48" t="n"/>
      <c r="O275" s="48" t="n"/>
      <c r="P275" s="48" t="n"/>
      <c r="Q275" s="48" t="n"/>
      <c r="R275" s="48" t="n"/>
      <c r="S275" s="48" t="n"/>
      <c r="T275" s="48" t="n"/>
      <c r="U275" s="48" t="n"/>
      <c r="V275" s="48" t="n"/>
      <c r="W275" s="48" t="n"/>
      <c r="X275" s="48" t="n"/>
      <c r="Y275" s="48" t="n"/>
      <c r="Z275" s="48" t="n"/>
      <c r="AA275" s="48" t="n"/>
      <c r="AB275" s="48" t="n"/>
      <c r="AC275" s="48" t="n"/>
      <c r="AD275" s="48" t="n"/>
      <c r="AE275" s="48" t="n"/>
      <c r="AF275" s="48" t="n"/>
      <c r="AG275" s="48" t="n"/>
      <c r="AH275" s="48" t="n"/>
      <c r="AI275" s="48" t="n"/>
      <c r="AJ275" s="48" t="n"/>
      <c r="AK275" s="48" t="n"/>
      <c r="AL275" s="53" t="n"/>
      <c r="AM275" s="52" t="n"/>
      <c r="AN275" s="48" t="n"/>
      <c r="AO275" s="48" t="n"/>
      <c r="AP275" s="48" t="n"/>
      <c r="AQ275" s="48" t="n"/>
      <c r="AR275" s="48" t="n"/>
      <c r="AS275" s="48" t="n"/>
      <c r="AT275" s="48" t="n"/>
      <c r="AU275" s="48" t="n"/>
      <c r="AV275" s="48" t="n"/>
      <c r="AW275" s="48" t="n"/>
      <c r="AX275" s="48" t="n"/>
      <c r="AY275" s="48" t="n"/>
      <c r="AZ275" s="48" t="n"/>
      <c r="BA275" s="48" t="n"/>
      <c r="BB275" s="48" t="n"/>
      <c r="BC275" s="48" t="n"/>
      <c r="BD275" s="48" t="n"/>
      <c r="BE275" s="48" t="n"/>
      <c r="BF275" s="48" t="n"/>
      <c r="BG275" s="48" t="n"/>
      <c r="BH275" s="48" t="n"/>
      <c r="BI275" s="48" t="n"/>
      <c r="BJ275" s="48" t="n"/>
      <c r="BK275" s="48" t="n"/>
      <c r="BL275" s="48" t="n"/>
      <c r="BM275" s="48" t="n"/>
      <c r="BN275" s="48" t="n"/>
    </row>
    <row r="276">
      <c r="A276" s="47" t="n"/>
      <c r="B276" s="48" t="n"/>
      <c r="C276" s="48" t="n"/>
      <c r="D276" s="49" t="n"/>
      <c r="E276" s="48" t="n"/>
      <c r="F276" s="48" t="n"/>
      <c r="G276" s="50" t="n"/>
      <c r="H276" s="51" t="n"/>
      <c r="I276" s="51" t="n"/>
      <c r="J276" s="48" t="n"/>
      <c r="K276" s="52" t="n"/>
      <c r="L276" s="48" t="n"/>
      <c r="M276" s="48" t="n"/>
      <c r="N276" s="48" t="n"/>
      <c r="O276" s="48" t="n"/>
      <c r="P276" s="48" t="n"/>
      <c r="Q276" s="48" t="n"/>
      <c r="R276" s="48" t="n"/>
      <c r="S276" s="48" t="n"/>
      <c r="T276" s="48" t="n"/>
      <c r="U276" s="48" t="n"/>
      <c r="V276" s="48" t="n"/>
      <c r="W276" s="48" t="n"/>
      <c r="X276" s="48" t="n"/>
      <c r="Y276" s="48" t="n"/>
      <c r="Z276" s="48" t="n"/>
      <c r="AA276" s="48" t="n"/>
      <c r="AB276" s="48" t="n"/>
      <c r="AC276" s="48" t="n"/>
      <c r="AD276" s="48" t="n"/>
      <c r="AE276" s="48" t="n"/>
      <c r="AF276" s="48" t="n"/>
      <c r="AG276" s="48" t="n"/>
      <c r="AH276" s="48" t="n"/>
      <c r="AI276" s="48" t="n"/>
      <c r="AJ276" s="48" t="n"/>
      <c r="AK276" s="48" t="n"/>
      <c r="AL276" s="53" t="n"/>
      <c r="AM276" s="52" t="n"/>
      <c r="AN276" s="48" t="n"/>
      <c r="AO276" s="48" t="n"/>
      <c r="AP276" s="48" t="n"/>
      <c r="AQ276" s="48" t="n"/>
      <c r="AR276" s="48" t="n"/>
      <c r="AS276" s="48" t="n"/>
      <c r="AT276" s="48" t="n"/>
      <c r="AU276" s="48" t="n"/>
      <c r="AV276" s="48" t="n"/>
      <c r="AW276" s="48" t="n"/>
      <c r="AX276" s="48" t="n"/>
      <c r="AY276" s="48" t="n"/>
      <c r="AZ276" s="48" t="n"/>
      <c r="BA276" s="48" t="n"/>
      <c r="BB276" s="48" t="n"/>
      <c r="BC276" s="48" t="n"/>
      <c r="BD276" s="48" t="n"/>
      <c r="BE276" s="48" t="n"/>
      <c r="BF276" s="48" t="n"/>
      <c r="BG276" s="48" t="n"/>
      <c r="BH276" s="48" t="n"/>
      <c r="BI276" s="48" t="n"/>
      <c r="BJ276" s="48" t="n"/>
      <c r="BK276" s="48" t="n"/>
      <c r="BL276" s="48" t="n"/>
      <c r="BM276" s="48" t="n"/>
      <c r="BN276" s="48" t="n"/>
    </row>
    <row r="277">
      <c r="A277" s="47" t="n"/>
      <c r="B277" s="48" t="n"/>
      <c r="C277" s="48" t="n"/>
      <c r="D277" s="49" t="n"/>
      <c r="E277" s="48" t="n"/>
      <c r="F277" s="48" t="n"/>
      <c r="G277" s="50" t="n"/>
      <c r="H277" s="51" t="n"/>
      <c r="I277" s="51" t="n"/>
      <c r="J277" s="48" t="n"/>
      <c r="K277" s="52" t="n"/>
      <c r="L277" s="48" t="n"/>
      <c r="M277" s="48" t="n"/>
      <c r="N277" s="48" t="n"/>
      <c r="O277" s="48" t="n"/>
      <c r="P277" s="48" t="n"/>
      <c r="Q277" s="48" t="n"/>
      <c r="R277" s="48" t="n"/>
      <c r="S277" s="48" t="n"/>
      <c r="T277" s="48" t="n"/>
      <c r="U277" s="48" t="n"/>
      <c r="V277" s="48" t="n"/>
      <c r="W277" s="48" t="n"/>
      <c r="X277" s="48" t="n"/>
      <c r="Y277" s="48" t="n"/>
      <c r="Z277" s="48" t="n"/>
      <c r="AA277" s="48" t="n"/>
      <c r="AB277" s="48" t="n"/>
      <c r="AC277" s="48" t="n"/>
      <c r="AD277" s="48" t="n"/>
      <c r="AE277" s="48" t="n"/>
      <c r="AF277" s="48" t="n"/>
      <c r="AG277" s="48" t="n"/>
      <c r="AH277" s="48" t="n"/>
      <c r="AI277" s="48" t="n"/>
      <c r="AJ277" s="48" t="n"/>
      <c r="AK277" s="48" t="n"/>
      <c r="AL277" s="53" t="n"/>
      <c r="AM277" s="52" t="n"/>
      <c r="AN277" s="48" t="n"/>
      <c r="AO277" s="48" t="n"/>
      <c r="AP277" s="48" t="n"/>
      <c r="AQ277" s="48" t="n"/>
      <c r="AR277" s="48" t="n"/>
      <c r="AS277" s="48" t="n"/>
      <c r="AT277" s="48" t="n"/>
      <c r="AU277" s="48" t="n"/>
      <c r="AV277" s="48" t="n"/>
      <c r="AW277" s="48" t="n"/>
      <c r="AX277" s="48" t="n"/>
      <c r="AY277" s="48" t="n"/>
      <c r="AZ277" s="48" t="n"/>
      <c r="BA277" s="48" t="n"/>
      <c r="BB277" s="48" t="n"/>
      <c r="BC277" s="48" t="n"/>
      <c r="BD277" s="48" t="n"/>
      <c r="BE277" s="48" t="n"/>
      <c r="BF277" s="48" t="n"/>
      <c r="BG277" s="48" t="n"/>
      <c r="BH277" s="48" t="n"/>
      <c r="BI277" s="48" t="n"/>
      <c r="BJ277" s="48" t="n"/>
      <c r="BK277" s="48" t="n"/>
      <c r="BL277" s="48" t="n"/>
      <c r="BM277" s="48" t="n"/>
      <c r="BN277" s="48" t="n"/>
    </row>
    <row r="278">
      <c r="A278" s="47" t="n"/>
      <c r="B278" s="48" t="n"/>
      <c r="C278" s="48" t="n"/>
      <c r="D278" s="49" t="n"/>
      <c r="E278" s="48" t="n"/>
      <c r="F278" s="48" t="n"/>
      <c r="G278" s="50" t="n"/>
      <c r="H278" s="51" t="n"/>
      <c r="I278" s="51" t="n"/>
      <c r="J278" s="48" t="n"/>
      <c r="K278" s="52" t="n"/>
      <c r="L278" s="48" t="n"/>
      <c r="M278" s="48" t="n"/>
      <c r="N278" s="48" t="n"/>
      <c r="O278" s="48" t="n"/>
      <c r="P278" s="48" t="n"/>
      <c r="Q278" s="48" t="n"/>
      <c r="R278" s="48" t="n"/>
      <c r="S278" s="48" t="n"/>
      <c r="T278" s="48" t="n"/>
      <c r="U278" s="48" t="n"/>
      <c r="V278" s="48" t="n"/>
      <c r="W278" s="48" t="n"/>
      <c r="X278" s="48" t="n"/>
      <c r="Y278" s="48" t="n"/>
      <c r="Z278" s="48" t="n"/>
      <c r="AA278" s="48" t="n"/>
      <c r="AB278" s="48" t="n"/>
      <c r="AC278" s="48" t="n"/>
      <c r="AD278" s="48" t="n"/>
      <c r="AE278" s="48" t="n"/>
      <c r="AF278" s="48" t="n"/>
      <c r="AG278" s="48" t="n"/>
      <c r="AH278" s="48" t="n"/>
      <c r="AI278" s="48" t="n"/>
      <c r="AJ278" s="48" t="n"/>
      <c r="AK278" s="48" t="n"/>
      <c r="AL278" s="53" t="n"/>
      <c r="AM278" s="52" t="n"/>
      <c r="AN278" s="48" t="n"/>
      <c r="AO278" s="48" t="n"/>
      <c r="AP278" s="48" t="n"/>
      <c r="AQ278" s="48" t="n"/>
      <c r="AR278" s="48" t="n"/>
      <c r="AS278" s="48" t="n"/>
      <c r="AT278" s="48" t="n"/>
      <c r="AU278" s="48" t="n"/>
      <c r="AV278" s="48" t="n"/>
      <c r="AW278" s="48" t="n"/>
      <c r="AX278" s="48" t="n"/>
      <c r="AY278" s="48" t="n"/>
      <c r="AZ278" s="48" t="n"/>
      <c r="BA278" s="48" t="n"/>
      <c r="BB278" s="48" t="n"/>
      <c r="BC278" s="48" t="n"/>
      <c r="BD278" s="48" t="n"/>
      <c r="BE278" s="48" t="n"/>
      <c r="BF278" s="48" t="n"/>
      <c r="BG278" s="48" t="n"/>
      <c r="BH278" s="48" t="n"/>
      <c r="BI278" s="48" t="n"/>
      <c r="BJ278" s="48" t="n"/>
      <c r="BK278" s="48" t="n"/>
      <c r="BL278" s="48" t="n"/>
      <c r="BM278" s="48" t="n"/>
      <c r="BN278" s="48" t="n"/>
    </row>
    <row r="279">
      <c r="A279" s="47" t="n"/>
      <c r="B279" s="48" t="n"/>
      <c r="C279" s="48" t="n"/>
      <c r="D279" s="49" t="n"/>
      <c r="E279" s="48" t="n"/>
      <c r="F279" s="48" t="n"/>
      <c r="G279" s="50" t="n"/>
      <c r="H279" s="51" t="n"/>
      <c r="I279" s="51" t="n"/>
      <c r="J279" s="48" t="n"/>
      <c r="K279" s="52" t="n"/>
      <c r="L279" s="48" t="n"/>
      <c r="M279" s="48" t="n"/>
      <c r="N279" s="48" t="n"/>
      <c r="O279" s="48" t="n"/>
      <c r="P279" s="48" t="n"/>
      <c r="Q279" s="48" t="n"/>
      <c r="R279" s="48" t="n"/>
      <c r="S279" s="48" t="n"/>
      <c r="T279" s="48" t="n"/>
      <c r="U279" s="48" t="n"/>
      <c r="V279" s="48" t="n"/>
      <c r="W279" s="48" t="n"/>
      <c r="X279" s="48" t="n"/>
      <c r="Y279" s="48" t="n"/>
      <c r="Z279" s="48" t="n"/>
      <c r="AA279" s="48" t="n"/>
      <c r="AB279" s="48" t="n"/>
      <c r="AC279" s="48" t="n"/>
      <c r="AD279" s="48" t="n"/>
      <c r="AE279" s="48" t="n"/>
      <c r="AF279" s="48" t="n"/>
      <c r="AG279" s="48" t="n"/>
      <c r="AH279" s="48" t="n"/>
      <c r="AI279" s="48" t="n"/>
      <c r="AJ279" s="48" t="n"/>
      <c r="AK279" s="48" t="n"/>
      <c r="AL279" s="53" t="n"/>
      <c r="AM279" s="52" t="n"/>
      <c r="AN279" s="48" t="n"/>
      <c r="AO279" s="48" t="n"/>
      <c r="AP279" s="48" t="n"/>
      <c r="AQ279" s="48" t="n"/>
      <c r="AR279" s="48" t="n"/>
      <c r="AS279" s="48" t="n"/>
      <c r="AT279" s="48" t="n"/>
      <c r="AU279" s="48" t="n"/>
      <c r="AV279" s="48" t="n"/>
      <c r="AW279" s="48" t="n"/>
      <c r="AX279" s="48" t="n"/>
      <c r="AY279" s="48" t="n"/>
      <c r="AZ279" s="48" t="n"/>
      <c r="BA279" s="48" t="n"/>
      <c r="BB279" s="48" t="n"/>
      <c r="BC279" s="48" t="n"/>
      <c r="BD279" s="48" t="n"/>
      <c r="BE279" s="48" t="n"/>
      <c r="BF279" s="48" t="n"/>
      <c r="BG279" s="48" t="n"/>
      <c r="BH279" s="48" t="n"/>
      <c r="BI279" s="48" t="n"/>
      <c r="BJ279" s="48" t="n"/>
      <c r="BK279" s="48" t="n"/>
      <c r="BL279" s="48" t="n"/>
      <c r="BM279" s="48" t="n"/>
      <c r="BN279" s="48" t="n"/>
    </row>
    <row r="280">
      <c r="A280" s="47" t="n"/>
      <c r="B280" s="48" t="n"/>
      <c r="C280" s="48" t="n"/>
      <c r="D280" s="49" t="n"/>
      <c r="E280" s="48" t="n"/>
      <c r="F280" s="48" t="n"/>
      <c r="G280" s="50" t="n"/>
      <c r="H280" s="51" t="n"/>
      <c r="I280" s="51" t="n"/>
      <c r="J280" s="48" t="n"/>
      <c r="K280" s="52" t="n"/>
      <c r="L280" s="48" t="n"/>
      <c r="M280" s="48" t="n"/>
      <c r="N280" s="48" t="n"/>
      <c r="O280" s="48" t="n"/>
      <c r="P280" s="48" t="n"/>
      <c r="Q280" s="48" t="n"/>
      <c r="R280" s="48" t="n"/>
      <c r="S280" s="48" t="n"/>
      <c r="T280" s="48" t="n"/>
      <c r="U280" s="48" t="n"/>
      <c r="V280" s="48" t="n"/>
      <c r="W280" s="48" t="n"/>
      <c r="X280" s="48" t="n"/>
      <c r="Y280" s="48" t="n"/>
      <c r="Z280" s="48" t="n"/>
      <c r="AA280" s="48" t="n"/>
      <c r="AB280" s="48" t="n"/>
      <c r="AC280" s="48" t="n"/>
      <c r="AD280" s="48" t="n"/>
      <c r="AE280" s="48" t="n"/>
      <c r="AF280" s="48" t="n"/>
      <c r="AG280" s="48" t="n"/>
      <c r="AH280" s="48" t="n"/>
      <c r="AI280" s="48" t="n"/>
      <c r="AJ280" s="48" t="n"/>
      <c r="AK280" s="48" t="n"/>
      <c r="AL280" s="53" t="n"/>
      <c r="AM280" s="52" t="n"/>
      <c r="AN280" s="48" t="n"/>
      <c r="AO280" s="48" t="n"/>
      <c r="AP280" s="48" t="n"/>
      <c r="AQ280" s="48" t="n"/>
      <c r="AR280" s="48" t="n"/>
      <c r="AS280" s="48" t="n"/>
      <c r="AT280" s="48" t="n"/>
      <c r="AU280" s="48" t="n"/>
      <c r="AV280" s="48" t="n"/>
      <c r="AW280" s="48" t="n"/>
      <c r="AX280" s="48" t="n"/>
      <c r="AY280" s="48" t="n"/>
      <c r="AZ280" s="48" t="n"/>
      <c r="BA280" s="48" t="n"/>
      <c r="BB280" s="48" t="n"/>
      <c r="BC280" s="48" t="n"/>
      <c r="BD280" s="48" t="n"/>
      <c r="BE280" s="48" t="n"/>
      <c r="BF280" s="48" t="n"/>
      <c r="BG280" s="48" t="n"/>
      <c r="BH280" s="48" t="n"/>
      <c r="BI280" s="48" t="n"/>
      <c r="BJ280" s="48" t="n"/>
      <c r="BK280" s="48" t="n"/>
      <c r="BL280" s="48" t="n"/>
      <c r="BM280" s="48" t="n"/>
      <c r="BN280" s="48" t="n"/>
    </row>
    <row r="281">
      <c r="A281" s="47" t="n"/>
      <c r="B281" s="48" t="n"/>
      <c r="C281" s="48" t="n"/>
      <c r="D281" s="49" t="n"/>
      <c r="E281" s="48" t="n"/>
      <c r="F281" s="48" t="n"/>
      <c r="G281" s="50" t="n"/>
      <c r="H281" s="51" t="n"/>
      <c r="I281" s="51" t="n"/>
      <c r="J281" s="48" t="n"/>
      <c r="K281" s="52" t="n"/>
      <c r="L281" s="48" t="n"/>
      <c r="M281" s="48" t="n"/>
      <c r="N281" s="48" t="n"/>
      <c r="O281" s="48" t="n"/>
      <c r="P281" s="48" t="n"/>
      <c r="Q281" s="48" t="n"/>
      <c r="R281" s="48" t="n"/>
      <c r="S281" s="48" t="n"/>
      <c r="T281" s="48" t="n"/>
      <c r="U281" s="48" t="n"/>
      <c r="V281" s="48" t="n"/>
      <c r="W281" s="48" t="n"/>
      <c r="X281" s="48" t="n"/>
      <c r="Y281" s="48" t="n"/>
      <c r="Z281" s="48" t="n"/>
      <c r="AA281" s="48" t="n"/>
      <c r="AB281" s="48" t="n"/>
      <c r="AC281" s="48" t="n"/>
      <c r="AD281" s="48" t="n"/>
      <c r="AE281" s="48" t="n"/>
      <c r="AF281" s="48" t="n"/>
      <c r="AG281" s="48" t="n"/>
      <c r="AH281" s="48" t="n"/>
      <c r="AI281" s="48" t="n"/>
      <c r="AJ281" s="48" t="n"/>
      <c r="AK281" s="48" t="n"/>
      <c r="AL281" s="53" t="n"/>
      <c r="AM281" s="52" t="n"/>
      <c r="AN281" s="48" t="n"/>
      <c r="AO281" s="48" t="n"/>
      <c r="AP281" s="48" t="n"/>
      <c r="AQ281" s="48" t="n"/>
      <c r="AR281" s="48" t="n"/>
      <c r="AS281" s="48" t="n"/>
      <c r="AT281" s="48" t="n"/>
      <c r="AU281" s="48" t="n"/>
      <c r="AV281" s="48" t="n"/>
      <c r="AW281" s="48" t="n"/>
      <c r="AX281" s="48" t="n"/>
      <c r="AY281" s="48" t="n"/>
      <c r="AZ281" s="48" t="n"/>
      <c r="BA281" s="48" t="n"/>
      <c r="BB281" s="48" t="n"/>
      <c r="BC281" s="48" t="n"/>
      <c r="BD281" s="48" t="n"/>
      <c r="BE281" s="48" t="n"/>
      <c r="BF281" s="48" t="n"/>
      <c r="BG281" s="48" t="n"/>
      <c r="BH281" s="48" t="n"/>
      <c r="BI281" s="48" t="n"/>
      <c r="BJ281" s="48" t="n"/>
      <c r="BK281" s="48" t="n"/>
      <c r="BL281" s="48" t="n"/>
      <c r="BM281" s="48" t="n"/>
      <c r="BN281" s="48" t="n"/>
    </row>
    <row r="282">
      <c r="A282" s="47" t="n"/>
      <c r="B282" s="48" t="n"/>
      <c r="C282" s="48" t="n"/>
      <c r="D282" s="49" t="n"/>
      <c r="E282" s="48" t="n"/>
      <c r="F282" s="48" t="n"/>
      <c r="G282" s="50" t="n"/>
      <c r="H282" s="51" t="n"/>
      <c r="I282" s="51" t="n"/>
      <c r="J282" s="48" t="n"/>
      <c r="K282" s="52" t="n"/>
      <c r="L282" s="48" t="n"/>
      <c r="M282" s="48" t="n"/>
      <c r="N282" s="48" t="n"/>
      <c r="O282" s="48" t="n"/>
      <c r="P282" s="48" t="n"/>
      <c r="Q282" s="48" t="n"/>
      <c r="R282" s="48" t="n"/>
      <c r="S282" s="48" t="n"/>
      <c r="T282" s="48" t="n"/>
      <c r="U282" s="48" t="n"/>
      <c r="V282" s="48" t="n"/>
      <c r="W282" s="48" t="n"/>
      <c r="X282" s="48" t="n"/>
      <c r="Y282" s="48" t="n"/>
      <c r="Z282" s="48" t="n"/>
      <c r="AA282" s="48" t="n"/>
      <c r="AB282" s="48" t="n"/>
      <c r="AC282" s="48" t="n"/>
      <c r="AD282" s="48" t="n"/>
      <c r="AE282" s="48" t="n"/>
      <c r="AF282" s="48" t="n"/>
      <c r="AG282" s="48" t="n"/>
      <c r="AH282" s="48" t="n"/>
      <c r="AI282" s="48" t="n"/>
      <c r="AJ282" s="48" t="n"/>
      <c r="AK282" s="48" t="n"/>
      <c r="AL282" s="53" t="n"/>
      <c r="AM282" s="52" t="n"/>
      <c r="AN282" s="48" t="n"/>
      <c r="AO282" s="48" t="n"/>
      <c r="AP282" s="48" t="n"/>
      <c r="AQ282" s="48" t="n"/>
      <c r="AR282" s="48" t="n"/>
      <c r="AS282" s="48" t="n"/>
      <c r="AT282" s="48" t="n"/>
      <c r="AU282" s="48" t="n"/>
      <c r="AV282" s="48" t="n"/>
      <c r="AW282" s="48" t="n"/>
      <c r="AX282" s="48" t="n"/>
      <c r="AY282" s="48" t="n"/>
      <c r="AZ282" s="48" t="n"/>
      <c r="BA282" s="48" t="n"/>
      <c r="BB282" s="48" t="n"/>
      <c r="BC282" s="48" t="n"/>
      <c r="BD282" s="48" t="n"/>
      <c r="BE282" s="48" t="n"/>
      <c r="BF282" s="48" t="n"/>
      <c r="BG282" s="48" t="n"/>
      <c r="BH282" s="48" t="n"/>
      <c r="BI282" s="48" t="n"/>
      <c r="BJ282" s="48" t="n"/>
      <c r="BK282" s="48" t="n"/>
      <c r="BL282" s="48" t="n"/>
      <c r="BM282" s="48" t="n"/>
      <c r="BN282" s="48" t="n"/>
    </row>
    <row r="283">
      <c r="A283" s="47" t="n"/>
      <c r="B283" s="48" t="n"/>
      <c r="C283" s="48" t="n"/>
      <c r="D283" s="49" t="n"/>
      <c r="E283" s="48" t="n"/>
      <c r="F283" s="48" t="n"/>
      <c r="G283" s="50" t="n"/>
      <c r="H283" s="51" t="n"/>
      <c r="I283" s="51" t="n"/>
      <c r="J283" s="48" t="n"/>
      <c r="K283" s="52" t="n"/>
      <c r="L283" s="48" t="n"/>
      <c r="M283" s="48" t="n"/>
      <c r="N283" s="48" t="n"/>
      <c r="O283" s="48" t="n"/>
      <c r="P283" s="48" t="n"/>
      <c r="Q283" s="48" t="n"/>
      <c r="R283" s="48" t="n"/>
      <c r="S283" s="48" t="n"/>
      <c r="T283" s="48" t="n"/>
      <c r="U283" s="48" t="n"/>
      <c r="V283" s="48" t="n"/>
      <c r="W283" s="48" t="n"/>
      <c r="X283" s="48" t="n"/>
      <c r="Y283" s="48" t="n"/>
      <c r="Z283" s="48" t="n"/>
      <c r="AA283" s="48" t="n"/>
      <c r="AB283" s="48" t="n"/>
      <c r="AC283" s="48" t="n"/>
      <c r="AD283" s="48" t="n"/>
      <c r="AE283" s="48" t="n"/>
      <c r="AF283" s="48" t="n"/>
      <c r="AG283" s="48" t="n"/>
      <c r="AH283" s="48" t="n"/>
      <c r="AI283" s="48" t="n"/>
      <c r="AJ283" s="48" t="n"/>
      <c r="AK283" s="48" t="n"/>
      <c r="AL283" s="53" t="n"/>
      <c r="AM283" s="52" t="n"/>
      <c r="AN283" s="48" t="n"/>
      <c r="AO283" s="48" t="n"/>
      <c r="AP283" s="48" t="n"/>
      <c r="AQ283" s="48" t="n"/>
      <c r="AR283" s="48" t="n"/>
      <c r="AS283" s="48" t="n"/>
      <c r="AT283" s="48" t="n"/>
      <c r="AU283" s="48" t="n"/>
      <c r="AV283" s="48" t="n"/>
      <c r="AW283" s="48" t="n"/>
      <c r="AX283" s="48" t="n"/>
      <c r="AY283" s="48" t="n"/>
      <c r="AZ283" s="48" t="n"/>
      <c r="BA283" s="48" t="n"/>
      <c r="BB283" s="48" t="n"/>
      <c r="BC283" s="48" t="n"/>
      <c r="BD283" s="48" t="n"/>
      <c r="BE283" s="48" t="n"/>
      <c r="BF283" s="48" t="n"/>
      <c r="BG283" s="48" t="n"/>
      <c r="BH283" s="48" t="n"/>
      <c r="BI283" s="48" t="n"/>
      <c r="BJ283" s="48" t="n"/>
      <c r="BK283" s="48" t="n"/>
      <c r="BL283" s="48" t="n"/>
      <c r="BM283" s="48" t="n"/>
      <c r="BN283" s="48" t="n"/>
    </row>
    <row r="284">
      <c r="A284" s="47" t="n"/>
      <c r="B284" s="48" t="n"/>
      <c r="C284" s="48" t="n"/>
      <c r="D284" s="49" t="n"/>
      <c r="E284" s="48" t="n"/>
      <c r="F284" s="48" t="n"/>
      <c r="G284" s="50" t="n"/>
      <c r="H284" s="51" t="n"/>
      <c r="I284" s="51" t="n"/>
      <c r="J284" s="48" t="n"/>
      <c r="K284" s="52" t="n"/>
      <c r="L284" s="48" t="n"/>
      <c r="M284" s="48" t="n"/>
      <c r="N284" s="48" t="n"/>
      <c r="O284" s="48" t="n"/>
      <c r="P284" s="48" t="n"/>
      <c r="Q284" s="48" t="n"/>
      <c r="R284" s="48" t="n"/>
      <c r="S284" s="48" t="n"/>
      <c r="T284" s="48" t="n"/>
      <c r="U284" s="48" t="n"/>
      <c r="V284" s="48" t="n"/>
      <c r="W284" s="48" t="n"/>
      <c r="X284" s="48" t="n"/>
      <c r="Y284" s="48" t="n"/>
      <c r="Z284" s="48" t="n"/>
      <c r="AA284" s="48" t="n"/>
      <c r="AB284" s="48" t="n"/>
      <c r="AC284" s="48" t="n"/>
      <c r="AD284" s="48" t="n"/>
      <c r="AE284" s="48" t="n"/>
      <c r="AF284" s="48" t="n"/>
      <c r="AG284" s="48" t="n"/>
      <c r="AH284" s="48" t="n"/>
      <c r="AI284" s="48" t="n"/>
      <c r="AJ284" s="48" t="n"/>
      <c r="AK284" s="48" t="n"/>
      <c r="AL284" s="53" t="n"/>
      <c r="AM284" s="52" t="n"/>
      <c r="AN284" s="48" t="n"/>
      <c r="AO284" s="48" t="n"/>
      <c r="AP284" s="48" t="n"/>
      <c r="AQ284" s="48" t="n"/>
      <c r="AR284" s="48" t="n"/>
      <c r="AS284" s="48" t="n"/>
      <c r="AT284" s="48" t="n"/>
      <c r="AU284" s="48" t="n"/>
      <c r="AV284" s="48" t="n"/>
      <c r="AW284" s="48" t="n"/>
      <c r="AX284" s="48" t="n"/>
      <c r="AY284" s="48" t="n"/>
      <c r="AZ284" s="48" t="n"/>
      <c r="BA284" s="48" t="n"/>
      <c r="BB284" s="48" t="n"/>
      <c r="BC284" s="48" t="n"/>
      <c r="BD284" s="48" t="n"/>
      <c r="BE284" s="48" t="n"/>
      <c r="BF284" s="48" t="n"/>
      <c r="BG284" s="48" t="n"/>
      <c r="BH284" s="48" t="n"/>
      <c r="BI284" s="48" t="n"/>
      <c r="BJ284" s="48" t="n"/>
      <c r="BK284" s="48" t="n"/>
      <c r="BL284" s="48" t="n"/>
      <c r="BM284" s="48" t="n"/>
      <c r="BN284" s="48" t="n"/>
    </row>
    <row r="285">
      <c r="A285" s="47" t="n"/>
      <c r="B285" s="48" t="n"/>
      <c r="C285" s="48" t="n"/>
      <c r="D285" s="49" t="n"/>
      <c r="E285" s="48" t="n"/>
      <c r="F285" s="48" t="n"/>
      <c r="G285" s="50" t="n"/>
      <c r="H285" s="51" t="n"/>
      <c r="I285" s="51" t="n"/>
      <c r="J285" s="48" t="n"/>
      <c r="K285" s="52" t="n"/>
      <c r="L285" s="48" t="n"/>
      <c r="M285" s="48" t="n"/>
      <c r="N285" s="48" t="n"/>
      <c r="O285" s="48" t="n"/>
      <c r="P285" s="48" t="n"/>
      <c r="Q285" s="48" t="n"/>
      <c r="R285" s="48" t="n"/>
      <c r="S285" s="48" t="n"/>
      <c r="T285" s="48" t="n"/>
      <c r="U285" s="48" t="n"/>
      <c r="V285" s="48" t="n"/>
      <c r="W285" s="48" t="n"/>
      <c r="X285" s="48" t="n"/>
      <c r="Y285" s="48" t="n"/>
      <c r="Z285" s="48" t="n"/>
      <c r="AA285" s="48" t="n"/>
      <c r="AB285" s="48" t="n"/>
      <c r="AC285" s="48" t="n"/>
      <c r="AD285" s="48" t="n"/>
      <c r="AE285" s="48" t="n"/>
      <c r="AF285" s="48" t="n"/>
      <c r="AG285" s="48" t="n"/>
      <c r="AH285" s="48" t="n"/>
      <c r="AI285" s="48" t="n"/>
      <c r="AJ285" s="48" t="n"/>
      <c r="AK285" s="48" t="n"/>
      <c r="AL285" s="53" t="n"/>
      <c r="AM285" s="52" t="n"/>
      <c r="AN285" s="48" t="n"/>
      <c r="AO285" s="48" t="n"/>
      <c r="AP285" s="48" t="n"/>
      <c r="AQ285" s="48" t="n"/>
      <c r="AR285" s="48" t="n"/>
      <c r="AS285" s="48" t="n"/>
      <c r="AT285" s="48" t="n"/>
      <c r="AU285" s="48" t="n"/>
      <c r="AV285" s="48" t="n"/>
      <c r="AW285" s="48" t="n"/>
      <c r="AX285" s="48" t="n"/>
      <c r="AY285" s="48" t="n"/>
      <c r="AZ285" s="48" t="n"/>
      <c r="BA285" s="48" t="n"/>
      <c r="BB285" s="48" t="n"/>
      <c r="BC285" s="48" t="n"/>
      <c r="BD285" s="48" t="n"/>
      <c r="BE285" s="48" t="n"/>
      <c r="BF285" s="48" t="n"/>
      <c r="BG285" s="48" t="n"/>
      <c r="BH285" s="48" t="n"/>
      <c r="BI285" s="48" t="n"/>
      <c r="BJ285" s="48" t="n"/>
      <c r="BK285" s="48" t="n"/>
      <c r="BL285" s="48" t="n"/>
      <c r="BM285" s="48" t="n"/>
      <c r="BN285" s="48" t="n"/>
    </row>
    <row r="286">
      <c r="A286" s="47" t="n"/>
      <c r="B286" s="48" t="n"/>
      <c r="C286" s="48" t="n"/>
      <c r="D286" s="49" t="n"/>
      <c r="E286" s="48" t="n"/>
      <c r="F286" s="48" t="n"/>
      <c r="G286" s="50" t="n"/>
      <c r="H286" s="51" t="n"/>
      <c r="I286" s="51" t="n"/>
      <c r="J286" s="48" t="n"/>
      <c r="K286" s="52" t="n"/>
      <c r="L286" s="48" t="n"/>
      <c r="M286" s="48" t="n"/>
      <c r="N286" s="48" t="n"/>
      <c r="O286" s="48" t="n"/>
      <c r="P286" s="48" t="n"/>
      <c r="Q286" s="48" t="n"/>
      <c r="R286" s="48" t="n"/>
      <c r="S286" s="48" t="n"/>
      <c r="T286" s="48" t="n"/>
      <c r="U286" s="48" t="n"/>
      <c r="V286" s="48" t="n"/>
      <c r="W286" s="48" t="n"/>
      <c r="X286" s="48" t="n"/>
      <c r="Y286" s="48" t="n"/>
      <c r="Z286" s="48" t="n"/>
      <c r="AA286" s="48" t="n"/>
      <c r="AB286" s="48" t="n"/>
      <c r="AC286" s="48" t="n"/>
      <c r="AD286" s="48" t="n"/>
      <c r="AE286" s="48" t="n"/>
      <c r="AF286" s="48" t="n"/>
      <c r="AG286" s="48" t="n"/>
      <c r="AH286" s="48" t="n"/>
      <c r="AI286" s="48" t="n"/>
      <c r="AJ286" s="48" t="n"/>
      <c r="AK286" s="48" t="n"/>
      <c r="AL286" s="53" t="n"/>
      <c r="AM286" s="52" t="n"/>
      <c r="AN286" s="48" t="n"/>
      <c r="AO286" s="48" t="n"/>
      <c r="AP286" s="48" t="n"/>
      <c r="AQ286" s="48" t="n"/>
      <c r="AR286" s="48" t="n"/>
      <c r="AS286" s="48" t="n"/>
      <c r="AT286" s="48" t="n"/>
      <c r="AU286" s="48" t="n"/>
      <c r="AV286" s="48" t="n"/>
      <c r="AW286" s="48" t="n"/>
      <c r="AX286" s="48" t="n"/>
      <c r="AY286" s="48" t="n"/>
      <c r="AZ286" s="48" t="n"/>
      <c r="BA286" s="48" t="n"/>
      <c r="BB286" s="48" t="n"/>
      <c r="BC286" s="48" t="n"/>
      <c r="BD286" s="48" t="n"/>
      <c r="BE286" s="48" t="n"/>
      <c r="BF286" s="48" t="n"/>
      <c r="BG286" s="48" t="n"/>
      <c r="BH286" s="48" t="n"/>
      <c r="BI286" s="48" t="n"/>
      <c r="BJ286" s="48" t="n"/>
      <c r="BK286" s="48" t="n"/>
      <c r="BL286" s="48" t="n"/>
      <c r="BM286" s="48" t="n"/>
      <c r="BN286" s="48" t="n"/>
    </row>
    <row r="287">
      <c r="A287" s="47" t="n"/>
      <c r="B287" s="48" t="n"/>
      <c r="C287" s="48" t="n"/>
      <c r="D287" s="49" t="n"/>
      <c r="E287" s="48" t="n"/>
      <c r="F287" s="48" t="n"/>
      <c r="G287" s="50" t="n"/>
      <c r="H287" s="51" t="n"/>
      <c r="I287" s="51" t="n"/>
      <c r="J287" s="48" t="n"/>
      <c r="K287" s="52" t="n"/>
      <c r="L287" s="48" t="n"/>
      <c r="M287" s="48" t="n"/>
      <c r="N287" s="48" t="n"/>
      <c r="O287" s="48" t="n"/>
      <c r="P287" s="48" t="n"/>
      <c r="Q287" s="48" t="n"/>
      <c r="R287" s="48" t="n"/>
      <c r="S287" s="48" t="n"/>
      <c r="T287" s="48" t="n"/>
      <c r="U287" s="48" t="n"/>
      <c r="V287" s="48" t="n"/>
      <c r="W287" s="48" t="n"/>
      <c r="X287" s="48" t="n"/>
      <c r="Y287" s="48" t="n"/>
      <c r="Z287" s="48" t="n"/>
      <c r="AA287" s="48" t="n"/>
      <c r="AB287" s="48" t="n"/>
      <c r="AC287" s="48" t="n"/>
      <c r="AD287" s="48" t="n"/>
      <c r="AE287" s="48" t="n"/>
      <c r="AF287" s="48" t="n"/>
      <c r="AG287" s="48" t="n"/>
      <c r="AH287" s="48" t="n"/>
      <c r="AI287" s="48" t="n"/>
      <c r="AJ287" s="48" t="n"/>
      <c r="AK287" s="48" t="n"/>
      <c r="AL287" s="53" t="n"/>
      <c r="AM287" s="52" t="n"/>
      <c r="AN287" s="48" t="n"/>
      <c r="AO287" s="48" t="n"/>
      <c r="AP287" s="48" t="n"/>
      <c r="AQ287" s="48" t="n"/>
      <c r="AR287" s="48" t="n"/>
      <c r="AS287" s="48" t="n"/>
      <c r="AT287" s="48" t="n"/>
      <c r="AU287" s="48" t="n"/>
      <c r="AV287" s="48" t="n"/>
      <c r="AW287" s="48" t="n"/>
      <c r="AX287" s="48" t="n"/>
      <c r="AY287" s="48" t="n"/>
      <c r="AZ287" s="48" t="n"/>
      <c r="BA287" s="48" t="n"/>
      <c r="BB287" s="48" t="n"/>
      <c r="BC287" s="48" t="n"/>
      <c r="BD287" s="48" t="n"/>
      <c r="BE287" s="48" t="n"/>
      <c r="BF287" s="48" t="n"/>
      <c r="BG287" s="48" t="n"/>
      <c r="BH287" s="48" t="n"/>
      <c r="BI287" s="48" t="n"/>
      <c r="BJ287" s="48" t="n"/>
      <c r="BK287" s="48" t="n"/>
      <c r="BL287" s="48" t="n"/>
      <c r="BM287" s="48" t="n"/>
      <c r="BN287" s="48" t="n"/>
    </row>
    <row r="288">
      <c r="A288" s="47" t="n"/>
      <c r="B288" s="48" t="n"/>
      <c r="C288" s="48" t="n"/>
      <c r="D288" s="49" t="n"/>
      <c r="E288" s="48" t="n"/>
      <c r="F288" s="48" t="n"/>
      <c r="G288" s="50" t="n"/>
      <c r="H288" s="51" t="n"/>
      <c r="I288" s="51" t="n"/>
      <c r="J288" s="48" t="n"/>
      <c r="K288" s="52" t="n"/>
      <c r="L288" s="48" t="n"/>
      <c r="M288" s="48" t="n"/>
      <c r="N288" s="48" t="n"/>
      <c r="O288" s="48" t="n"/>
      <c r="P288" s="48" t="n"/>
      <c r="Q288" s="48" t="n"/>
      <c r="R288" s="48" t="n"/>
      <c r="S288" s="48" t="n"/>
      <c r="T288" s="48" t="n"/>
      <c r="U288" s="48" t="n"/>
      <c r="V288" s="48" t="n"/>
      <c r="W288" s="48" t="n"/>
      <c r="X288" s="48" t="n"/>
      <c r="Y288" s="48" t="n"/>
      <c r="Z288" s="48" t="n"/>
      <c r="AA288" s="48" t="n"/>
      <c r="AB288" s="48" t="n"/>
      <c r="AC288" s="48" t="n"/>
      <c r="AD288" s="48" t="n"/>
      <c r="AE288" s="48" t="n"/>
      <c r="AF288" s="48" t="n"/>
      <c r="AG288" s="48" t="n"/>
      <c r="AH288" s="48" t="n"/>
      <c r="AI288" s="48" t="n"/>
      <c r="AJ288" s="48" t="n"/>
      <c r="AK288" s="48" t="n"/>
      <c r="AL288" s="53" t="n"/>
      <c r="AM288" s="52" t="n"/>
      <c r="AN288" s="48" t="n"/>
      <c r="AO288" s="48" t="n"/>
      <c r="AP288" s="48" t="n"/>
      <c r="AQ288" s="48" t="n"/>
      <c r="AR288" s="48" t="n"/>
      <c r="AS288" s="48" t="n"/>
      <c r="AT288" s="48" t="n"/>
      <c r="AU288" s="48" t="n"/>
      <c r="AV288" s="48" t="n"/>
      <c r="AW288" s="48" t="n"/>
      <c r="AX288" s="48" t="n"/>
      <c r="AY288" s="48" t="n"/>
      <c r="AZ288" s="48" t="n"/>
      <c r="BA288" s="48" t="n"/>
      <c r="BB288" s="48" t="n"/>
      <c r="BC288" s="48" t="n"/>
      <c r="BD288" s="48" t="n"/>
      <c r="BE288" s="48" t="n"/>
      <c r="BF288" s="48" t="n"/>
      <c r="BG288" s="48" t="n"/>
      <c r="BH288" s="48" t="n"/>
      <c r="BI288" s="48" t="n"/>
      <c r="BJ288" s="48" t="n"/>
      <c r="BK288" s="48" t="n"/>
      <c r="BL288" s="48" t="n"/>
      <c r="BM288" s="48" t="n"/>
      <c r="BN288" s="48" t="n"/>
    </row>
    <row r="289">
      <c r="A289" s="47" t="n"/>
      <c r="B289" s="48" t="n"/>
      <c r="C289" s="48" t="n"/>
      <c r="D289" s="49" t="n"/>
      <c r="E289" s="48" t="n"/>
      <c r="F289" s="48" t="n"/>
      <c r="G289" s="50" t="n"/>
      <c r="H289" s="51" t="n"/>
      <c r="I289" s="51" t="n"/>
      <c r="J289" s="48" t="n"/>
      <c r="K289" s="52" t="n"/>
      <c r="L289" s="48" t="n"/>
      <c r="M289" s="48" t="n"/>
      <c r="N289" s="48" t="n"/>
      <c r="O289" s="48" t="n"/>
      <c r="P289" s="48" t="n"/>
      <c r="Q289" s="48" t="n"/>
      <c r="R289" s="48" t="n"/>
      <c r="S289" s="48" t="n"/>
      <c r="T289" s="48" t="n"/>
      <c r="U289" s="48" t="n"/>
      <c r="V289" s="48" t="n"/>
      <c r="W289" s="48" t="n"/>
      <c r="X289" s="48" t="n"/>
      <c r="Y289" s="48" t="n"/>
      <c r="Z289" s="48" t="n"/>
      <c r="AA289" s="48" t="n"/>
      <c r="AB289" s="48" t="n"/>
      <c r="AC289" s="48" t="n"/>
      <c r="AD289" s="48" t="n"/>
      <c r="AE289" s="48" t="n"/>
      <c r="AF289" s="48" t="n"/>
      <c r="AG289" s="48" t="n"/>
      <c r="AH289" s="48" t="n"/>
      <c r="AI289" s="48" t="n"/>
      <c r="AJ289" s="48" t="n"/>
      <c r="AK289" s="48" t="n"/>
      <c r="AL289" s="53" t="n"/>
      <c r="AM289" s="52" t="n"/>
      <c r="AN289" s="48" t="n"/>
      <c r="AO289" s="48" t="n"/>
      <c r="AP289" s="48" t="n"/>
      <c r="AQ289" s="48" t="n"/>
      <c r="AR289" s="48" t="n"/>
      <c r="AS289" s="48" t="n"/>
      <c r="AT289" s="48" t="n"/>
      <c r="AU289" s="48" t="n"/>
      <c r="AV289" s="48" t="n"/>
      <c r="AW289" s="48" t="n"/>
      <c r="AX289" s="48" t="n"/>
      <c r="AY289" s="48" t="n"/>
      <c r="AZ289" s="48" t="n"/>
      <c r="BA289" s="48" t="n"/>
      <c r="BB289" s="48" t="n"/>
      <c r="BC289" s="48" t="n"/>
      <c r="BD289" s="48" t="n"/>
      <c r="BE289" s="48" t="n"/>
      <c r="BF289" s="48" t="n"/>
      <c r="BG289" s="48" t="n"/>
      <c r="BH289" s="48" t="n"/>
      <c r="BI289" s="48" t="n"/>
      <c r="BJ289" s="48" t="n"/>
      <c r="BK289" s="48" t="n"/>
      <c r="BL289" s="48" t="n"/>
      <c r="BM289" s="48" t="n"/>
      <c r="BN289" s="48" t="n"/>
    </row>
    <row r="290">
      <c r="A290" s="47" t="n"/>
      <c r="B290" s="48" t="n"/>
      <c r="C290" s="48" t="n"/>
      <c r="D290" s="49" t="n"/>
      <c r="E290" s="48" t="n"/>
      <c r="F290" s="48" t="n"/>
      <c r="G290" s="50" t="n"/>
      <c r="H290" s="51" t="n"/>
      <c r="I290" s="51" t="n"/>
      <c r="J290" s="48" t="n"/>
      <c r="K290" s="52" t="n"/>
      <c r="L290" s="48" t="n"/>
      <c r="M290" s="48" t="n"/>
      <c r="N290" s="48" t="n"/>
      <c r="O290" s="48" t="n"/>
      <c r="P290" s="48" t="n"/>
      <c r="Q290" s="48" t="n"/>
      <c r="R290" s="48" t="n"/>
      <c r="S290" s="48" t="n"/>
      <c r="T290" s="48" t="n"/>
      <c r="U290" s="48" t="n"/>
      <c r="V290" s="48" t="n"/>
      <c r="W290" s="48" t="n"/>
      <c r="X290" s="48" t="n"/>
      <c r="Y290" s="48" t="n"/>
      <c r="Z290" s="48" t="n"/>
      <c r="AA290" s="48" t="n"/>
      <c r="AB290" s="48" t="n"/>
      <c r="AC290" s="48" t="n"/>
      <c r="AD290" s="48" t="n"/>
      <c r="AE290" s="48" t="n"/>
      <c r="AF290" s="48" t="n"/>
      <c r="AG290" s="48" t="n"/>
      <c r="AH290" s="48" t="n"/>
      <c r="AI290" s="48" t="n"/>
      <c r="AJ290" s="48" t="n"/>
      <c r="AK290" s="48" t="n"/>
      <c r="AL290" s="53" t="n"/>
      <c r="AM290" s="52" t="n"/>
      <c r="AN290" s="48" t="n"/>
      <c r="AO290" s="48" t="n"/>
      <c r="AP290" s="48" t="n"/>
      <c r="AQ290" s="48" t="n"/>
      <c r="AR290" s="48" t="n"/>
      <c r="AS290" s="48" t="n"/>
      <c r="AT290" s="48" t="n"/>
      <c r="AU290" s="48" t="n"/>
      <c r="AV290" s="48" t="n"/>
      <c r="AW290" s="48" t="n"/>
      <c r="AX290" s="48" t="n"/>
      <c r="AY290" s="48" t="n"/>
      <c r="AZ290" s="48" t="n"/>
      <c r="BA290" s="48" t="n"/>
      <c r="BB290" s="48" t="n"/>
      <c r="BC290" s="48" t="n"/>
      <c r="BD290" s="48" t="n"/>
      <c r="BE290" s="48" t="n"/>
      <c r="BF290" s="48" t="n"/>
      <c r="BG290" s="48" t="n"/>
      <c r="BH290" s="48" t="n"/>
      <c r="BI290" s="48" t="n"/>
      <c r="BJ290" s="48" t="n"/>
      <c r="BK290" s="48" t="n"/>
      <c r="BL290" s="48" t="n"/>
      <c r="BM290" s="48" t="n"/>
      <c r="BN290" s="48" t="n"/>
    </row>
    <row r="291">
      <c r="A291" s="47" t="n"/>
      <c r="B291" s="48" t="n"/>
      <c r="C291" s="48" t="n"/>
      <c r="D291" s="49" t="n"/>
      <c r="E291" s="48" t="n"/>
      <c r="F291" s="48" t="n"/>
      <c r="G291" s="50" t="n"/>
      <c r="H291" s="51" t="n"/>
      <c r="I291" s="51" t="n"/>
      <c r="J291" s="48" t="n"/>
      <c r="K291" s="52" t="n"/>
      <c r="L291" s="48" t="n"/>
      <c r="M291" s="48" t="n"/>
      <c r="N291" s="48" t="n"/>
      <c r="O291" s="48" t="n"/>
      <c r="P291" s="48" t="n"/>
      <c r="Q291" s="48" t="n"/>
      <c r="R291" s="48" t="n"/>
      <c r="S291" s="48" t="n"/>
      <c r="T291" s="48" t="n"/>
      <c r="U291" s="48" t="n"/>
      <c r="V291" s="48" t="n"/>
      <c r="W291" s="48" t="n"/>
      <c r="X291" s="48" t="n"/>
      <c r="Y291" s="48" t="n"/>
      <c r="Z291" s="48" t="n"/>
      <c r="AA291" s="48" t="n"/>
      <c r="AB291" s="48" t="n"/>
      <c r="AC291" s="48" t="n"/>
      <c r="AD291" s="48" t="n"/>
      <c r="AE291" s="48" t="n"/>
      <c r="AF291" s="48" t="n"/>
      <c r="AG291" s="48" t="n"/>
      <c r="AH291" s="48" t="n"/>
      <c r="AI291" s="48" t="n"/>
      <c r="AJ291" s="48" t="n"/>
      <c r="AK291" s="48" t="n"/>
      <c r="AL291" s="53" t="n"/>
      <c r="AM291" s="52" t="n"/>
      <c r="AN291" s="48" t="n"/>
      <c r="AO291" s="48" t="n"/>
      <c r="AP291" s="48" t="n"/>
      <c r="AQ291" s="48" t="n"/>
      <c r="AR291" s="48" t="n"/>
      <c r="AS291" s="48" t="n"/>
      <c r="AT291" s="48" t="n"/>
      <c r="AU291" s="48" t="n"/>
      <c r="AV291" s="48" t="n"/>
      <c r="AW291" s="48" t="n"/>
      <c r="AX291" s="48" t="n"/>
      <c r="AY291" s="48" t="n"/>
      <c r="AZ291" s="48" t="n"/>
      <c r="BA291" s="48" t="n"/>
      <c r="BB291" s="48" t="n"/>
      <c r="BC291" s="48" t="n"/>
      <c r="BD291" s="48" t="n"/>
      <c r="BE291" s="48" t="n"/>
      <c r="BF291" s="48" t="n"/>
      <c r="BG291" s="48" t="n"/>
      <c r="BH291" s="48" t="n"/>
      <c r="BI291" s="48" t="n"/>
      <c r="BJ291" s="48" t="n"/>
      <c r="BK291" s="48" t="n"/>
      <c r="BL291" s="48" t="n"/>
      <c r="BM291" s="48" t="n"/>
      <c r="BN291" s="48" t="n"/>
    </row>
    <row r="292">
      <c r="A292" s="47" t="n"/>
      <c r="B292" s="48" t="n"/>
      <c r="C292" s="48" t="n"/>
      <c r="D292" s="49" t="n"/>
      <c r="E292" s="48" t="n"/>
      <c r="F292" s="48" t="n"/>
      <c r="G292" s="50" t="n"/>
      <c r="H292" s="51" t="n"/>
      <c r="I292" s="51" t="n"/>
      <c r="J292" s="48" t="n"/>
      <c r="K292" s="52" t="n"/>
      <c r="L292" s="48" t="n"/>
      <c r="M292" s="48" t="n"/>
      <c r="N292" s="48" t="n"/>
      <c r="O292" s="48" t="n"/>
      <c r="P292" s="48" t="n"/>
      <c r="Q292" s="48" t="n"/>
      <c r="R292" s="48" t="n"/>
      <c r="S292" s="48" t="n"/>
      <c r="T292" s="48" t="n"/>
      <c r="U292" s="48" t="n"/>
      <c r="V292" s="48" t="n"/>
      <c r="W292" s="48" t="n"/>
      <c r="X292" s="48" t="n"/>
      <c r="Y292" s="48" t="n"/>
      <c r="Z292" s="48" t="n"/>
      <c r="AA292" s="48" t="n"/>
      <c r="AB292" s="48" t="n"/>
      <c r="AC292" s="48" t="n"/>
      <c r="AD292" s="48" t="n"/>
      <c r="AE292" s="48" t="n"/>
      <c r="AF292" s="48" t="n"/>
      <c r="AG292" s="48" t="n"/>
      <c r="AH292" s="48" t="n"/>
      <c r="AI292" s="48" t="n"/>
      <c r="AJ292" s="48" t="n"/>
      <c r="AK292" s="48" t="n"/>
      <c r="AL292" s="53" t="n"/>
      <c r="AM292" s="52" t="n"/>
      <c r="AN292" s="48" t="n"/>
      <c r="AO292" s="48" t="n"/>
      <c r="AP292" s="48" t="n"/>
      <c r="AQ292" s="48" t="n"/>
      <c r="AR292" s="48" t="n"/>
      <c r="AS292" s="48" t="n"/>
      <c r="AT292" s="48" t="n"/>
      <c r="AU292" s="48" t="n"/>
      <c r="AV292" s="48" t="n"/>
      <c r="AW292" s="48" t="n"/>
      <c r="AX292" s="48" t="n"/>
      <c r="AY292" s="48" t="n"/>
      <c r="AZ292" s="48" t="n"/>
      <c r="BA292" s="48" t="n"/>
      <c r="BB292" s="48" t="n"/>
      <c r="BC292" s="48" t="n"/>
      <c r="BD292" s="48" t="n"/>
      <c r="BE292" s="48" t="n"/>
      <c r="BF292" s="48" t="n"/>
      <c r="BG292" s="48" t="n"/>
      <c r="BH292" s="48" t="n"/>
      <c r="BI292" s="48" t="n"/>
      <c r="BJ292" s="48" t="n"/>
      <c r="BK292" s="48" t="n"/>
      <c r="BL292" s="48" t="n"/>
      <c r="BM292" s="48" t="n"/>
      <c r="BN292" s="48" t="n"/>
    </row>
    <row r="293">
      <c r="A293" s="47" t="n"/>
      <c r="B293" s="48" t="n"/>
      <c r="C293" s="48" t="n"/>
      <c r="D293" s="49" t="n"/>
      <c r="E293" s="48" t="n"/>
      <c r="F293" s="48" t="n"/>
      <c r="G293" s="50" t="n"/>
      <c r="H293" s="51" t="n"/>
      <c r="I293" s="51" t="n"/>
      <c r="J293" s="48" t="n"/>
      <c r="K293" s="52" t="n"/>
      <c r="L293" s="48" t="n"/>
      <c r="M293" s="48" t="n"/>
      <c r="N293" s="48" t="n"/>
      <c r="O293" s="48" t="n"/>
      <c r="P293" s="48" t="n"/>
      <c r="Q293" s="48" t="n"/>
      <c r="R293" s="48" t="n"/>
      <c r="S293" s="48" t="n"/>
      <c r="T293" s="48" t="n"/>
      <c r="U293" s="48" t="n"/>
      <c r="V293" s="48" t="n"/>
      <c r="W293" s="48" t="n"/>
      <c r="X293" s="48" t="n"/>
      <c r="Y293" s="48" t="n"/>
      <c r="Z293" s="48" t="n"/>
      <c r="AA293" s="48" t="n"/>
      <c r="AB293" s="48" t="n"/>
      <c r="AC293" s="48" t="n"/>
      <c r="AD293" s="48" t="n"/>
      <c r="AE293" s="48" t="n"/>
      <c r="AF293" s="48" t="n"/>
      <c r="AG293" s="48" t="n"/>
      <c r="AH293" s="48" t="n"/>
      <c r="AI293" s="48" t="n"/>
      <c r="AJ293" s="48" t="n"/>
      <c r="AK293" s="48" t="n"/>
      <c r="AL293" s="53" t="n"/>
      <c r="AM293" s="52" t="n"/>
      <c r="AN293" s="48" t="n"/>
      <c r="AO293" s="48" t="n"/>
      <c r="AP293" s="48" t="n"/>
      <c r="AQ293" s="48" t="n"/>
      <c r="AR293" s="48" t="n"/>
      <c r="AS293" s="48" t="n"/>
      <c r="AT293" s="48" t="n"/>
      <c r="AU293" s="48" t="n"/>
      <c r="AV293" s="48" t="n"/>
      <c r="AW293" s="48" t="n"/>
      <c r="AX293" s="48" t="n"/>
      <c r="AY293" s="48" t="n"/>
      <c r="AZ293" s="48" t="n"/>
      <c r="BA293" s="48" t="n"/>
      <c r="BB293" s="48" t="n"/>
      <c r="BC293" s="48" t="n"/>
      <c r="BD293" s="48" t="n"/>
      <c r="BE293" s="48" t="n"/>
      <c r="BF293" s="48" t="n"/>
      <c r="BG293" s="48" t="n"/>
      <c r="BH293" s="48" t="n"/>
      <c r="BI293" s="48" t="n"/>
      <c r="BJ293" s="48" t="n"/>
      <c r="BK293" s="48" t="n"/>
      <c r="BL293" s="48" t="n"/>
      <c r="BM293" s="48" t="n"/>
      <c r="BN293" s="48" t="n"/>
    </row>
    <row r="294">
      <c r="A294" s="47" t="n"/>
      <c r="B294" s="48" t="n"/>
      <c r="C294" s="48" t="n"/>
      <c r="D294" s="49" t="n"/>
      <c r="E294" s="48" t="n"/>
      <c r="F294" s="48" t="n"/>
      <c r="G294" s="50" t="n"/>
      <c r="H294" s="51" t="n"/>
      <c r="I294" s="51" t="n"/>
      <c r="J294" s="48" t="n"/>
      <c r="K294" s="52" t="n"/>
      <c r="L294" s="48" t="n"/>
      <c r="M294" s="48" t="n"/>
      <c r="N294" s="48" t="n"/>
      <c r="O294" s="48" t="n"/>
      <c r="P294" s="48" t="n"/>
      <c r="Q294" s="48" t="n"/>
      <c r="R294" s="48" t="n"/>
      <c r="S294" s="48" t="n"/>
      <c r="T294" s="48" t="n"/>
      <c r="U294" s="48" t="n"/>
      <c r="V294" s="48" t="n"/>
      <c r="W294" s="48" t="n"/>
      <c r="X294" s="48" t="n"/>
      <c r="Y294" s="48" t="n"/>
      <c r="Z294" s="48" t="n"/>
      <c r="AA294" s="48" t="n"/>
      <c r="AB294" s="48" t="n"/>
      <c r="AC294" s="48" t="n"/>
      <c r="AD294" s="48" t="n"/>
      <c r="AE294" s="48" t="n"/>
      <c r="AF294" s="48" t="n"/>
      <c r="AG294" s="48" t="n"/>
      <c r="AH294" s="48" t="n"/>
      <c r="AI294" s="48" t="n"/>
      <c r="AJ294" s="48" t="n"/>
      <c r="AK294" s="48" t="n"/>
      <c r="AL294" s="53" t="n"/>
      <c r="AM294" s="52" t="n"/>
      <c r="AN294" s="48" t="n"/>
      <c r="AO294" s="48" t="n"/>
      <c r="AP294" s="48" t="n"/>
      <c r="AQ294" s="48" t="n"/>
      <c r="AR294" s="48" t="n"/>
      <c r="AS294" s="48" t="n"/>
      <c r="AT294" s="48" t="n"/>
      <c r="AU294" s="48" t="n"/>
      <c r="AV294" s="48" t="n"/>
      <c r="AW294" s="48" t="n"/>
      <c r="AX294" s="48" t="n"/>
      <c r="AY294" s="48" t="n"/>
      <c r="AZ294" s="48" t="n"/>
      <c r="BA294" s="48" t="n"/>
      <c r="BB294" s="48" t="n"/>
      <c r="BC294" s="48" t="n"/>
      <c r="BD294" s="48" t="n"/>
      <c r="BE294" s="48" t="n"/>
      <c r="BF294" s="48" t="n"/>
      <c r="BG294" s="48" t="n"/>
      <c r="BH294" s="48" t="n"/>
      <c r="BI294" s="48" t="n"/>
      <c r="BJ294" s="48" t="n"/>
      <c r="BK294" s="48" t="n"/>
      <c r="BL294" s="48" t="n"/>
      <c r="BM294" s="48" t="n"/>
      <c r="BN294" s="48" t="n"/>
    </row>
    <row r="295">
      <c r="A295" s="47" t="n"/>
      <c r="B295" s="48" t="n"/>
      <c r="C295" s="48" t="n"/>
      <c r="D295" s="49" t="n"/>
      <c r="E295" s="48" t="n"/>
      <c r="F295" s="48" t="n"/>
      <c r="G295" s="50" t="n"/>
      <c r="H295" s="51" t="n"/>
      <c r="I295" s="51" t="n"/>
      <c r="J295" s="48" t="n"/>
      <c r="K295" s="52" t="n"/>
      <c r="L295" s="48" t="n"/>
      <c r="M295" s="48" t="n"/>
      <c r="N295" s="48" t="n"/>
      <c r="O295" s="48" t="n"/>
      <c r="P295" s="48" t="n"/>
      <c r="Q295" s="48" t="n"/>
      <c r="R295" s="48" t="n"/>
      <c r="S295" s="48" t="n"/>
      <c r="T295" s="48" t="n"/>
      <c r="U295" s="48" t="n"/>
      <c r="V295" s="48" t="n"/>
      <c r="W295" s="48" t="n"/>
      <c r="X295" s="48" t="n"/>
      <c r="Y295" s="48" t="n"/>
      <c r="Z295" s="48" t="n"/>
      <c r="AA295" s="48" t="n"/>
      <c r="AB295" s="48" t="n"/>
      <c r="AC295" s="48" t="n"/>
      <c r="AD295" s="48" t="n"/>
      <c r="AE295" s="48" t="n"/>
      <c r="AF295" s="48" t="n"/>
      <c r="AG295" s="48" t="n"/>
      <c r="AH295" s="48" t="n"/>
      <c r="AI295" s="48" t="n"/>
      <c r="AJ295" s="48" t="n"/>
      <c r="AK295" s="48" t="n"/>
      <c r="AL295" s="53" t="n"/>
      <c r="AM295" s="52" t="n"/>
      <c r="AN295" s="48" t="n"/>
      <c r="AO295" s="48" t="n"/>
      <c r="AP295" s="48" t="n"/>
      <c r="AQ295" s="48" t="n"/>
      <c r="AR295" s="48" t="n"/>
      <c r="AS295" s="48" t="n"/>
      <c r="AT295" s="48" t="n"/>
      <c r="AU295" s="48" t="n"/>
      <c r="AV295" s="48" t="n"/>
      <c r="AW295" s="48" t="n"/>
      <c r="AX295" s="48" t="n"/>
      <c r="AY295" s="48" t="n"/>
      <c r="AZ295" s="48" t="n"/>
      <c r="BA295" s="48" t="n"/>
      <c r="BB295" s="48" t="n"/>
      <c r="BC295" s="48" t="n"/>
      <c r="BD295" s="48" t="n"/>
      <c r="BE295" s="48" t="n"/>
      <c r="BF295" s="48" t="n"/>
      <c r="BG295" s="48" t="n"/>
      <c r="BH295" s="48" t="n"/>
      <c r="BI295" s="48" t="n"/>
      <c r="BJ295" s="48" t="n"/>
      <c r="BK295" s="48" t="n"/>
      <c r="BL295" s="48" t="n"/>
      <c r="BM295" s="48" t="n"/>
      <c r="BN295" s="48" t="n"/>
    </row>
    <row r="296">
      <c r="A296" s="47" t="n"/>
      <c r="B296" s="48" t="n"/>
      <c r="C296" s="48" t="n"/>
      <c r="D296" s="49" t="n"/>
      <c r="E296" s="48" t="n"/>
      <c r="F296" s="48" t="n"/>
      <c r="G296" s="50" t="n"/>
      <c r="H296" s="51" t="n"/>
      <c r="I296" s="51" t="n"/>
      <c r="J296" s="48" t="n"/>
      <c r="K296" s="52" t="n"/>
      <c r="L296" s="48" t="n"/>
      <c r="M296" s="48" t="n"/>
      <c r="N296" s="48" t="n"/>
      <c r="O296" s="48" t="n"/>
      <c r="P296" s="48" t="n"/>
      <c r="Q296" s="48" t="n"/>
      <c r="R296" s="48" t="n"/>
      <c r="S296" s="48" t="n"/>
      <c r="T296" s="48" t="n"/>
      <c r="U296" s="48" t="n"/>
      <c r="V296" s="48" t="n"/>
      <c r="W296" s="48" t="n"/>
      <c r="X296" s="48" t="n"/>
      <c r="Y296" s="48" t="n"/>
      <c r="Z296" s="48" t="n"/>
      <c r="AA296" s="48" t="n"/>
      <c r="AB296" s="48" t="n"/>
      <c r="AC296" s="48" t="n"/>
      <c r="AD296" s="48" t="n"/>
      <c r="AE296" s="48" t="n"/>
      <c r="AF296" s="48" t="n"/>
      <c r="AG296" s="48" t="n"/>
      <c r="AH296" s="48" t="n"/>
      <c r="AI296" s="48" t="n"/>
      <c r="AJ296" s="48" t="n"/>
      <c r="AK296" s="48" t="n"/>
      <c r="AL296" s="53" t="n"/>
      <c r="AM296" s="52" t="n"/>
      <c r="AN296" s="48" t="n"/>
      <c r="AO296" s="48" t="n"/>
      <c r="AP296" s="48" t="n"/>
      <c r="AQ296" s="48" t="n"/>
      <c r="AR296" s="48" t="n"/>
      <c r="AS296" s="48" t="n"/>
      <c r="AT296" s="48" t="n"/>
      <c r="AU296" s="48" t="n"/>
      <c r="AV296" s="48" t="n"/>
      <c r="AW296" s="48" t="n"/>
      <c r="AX296" s="48" t="n"/>
      <c r="AY296" s="48" t="n"/>
      <c r="AZ296" s="48" t="n"/>
      <c r="BA296" s="48" t="n"/>
      <c r="BB296" s="48" t="n"/>
      <c r="BC296" s="48" t="n"/>
      <c r="BD296" s="48" t="n"/>
      <c r="BE296" s="48" t="n"/>
      <c r="BF296" s="48" t="n"/>
      <c r="BG296" s="48" t="n"/>
      <c r="BH296" s="48" t="n"/>
      <c r="BI296" s="48" t="n"/>
      <c r="BJ296" s="48" t="n"/>
      <c r="BK296" s="48" t="n"/>
      <c r="BL296" s="48" t="n"/>
      <c r="BM296" s="48" t="n"/>
      <c r="BN296" s="48" t="n"/>
    </row>
    <row r="297">
      <c r="A297" s="47" t="n"/>
      <c r="B297" s="48" t="n"/>
      <c r="C297" s="48" t="n"/>
      <c r="D297" s="49" t="n"/>
      <c r="E297" s="48" t="n"/>
      <c r="F297" s="48" t="n"/>
      <c r="G297" s="50" t="n"/>
      <c r="H297" s="51" t="n"/>
      <c r="I297" s="51" t="n"/>
      <c r="J297" s="48" t="n"/>
      <c r="K297" s="52" t="n"/>
      <c r="L297" s="48" t="n"/>
      <c r="M297" s="48" t="n"/>
      <c r="N297" s="48" t="n"/>
      <c r="O297" s="48" t="n"/>
      <c r="P297" s="48" t="n"/>
      <c r="Q297" s="48" t="n"/>
      <c r="R297" s="48" t="n"/>
      <c r="S297" s="48" t="n"/>
      <c r="T297" s="48" t="n"/>
      <c r="U297" s="48" t="n"/>
      <c r="V297" s="48" t="n"/>
      <c r="W297" s="48" t="n"/>
      <c r="X297" s="48" t="n"/>
      <c r="Y297" s="48" t="n"/>
      <c r="Z297" s="48" t="n"/>
      <c r="AA297" s="48" t="n"/>
      <c r="AB297" s="48" t="n"/>
      <c r="AC297" s="48" t="n"/>
      <c r="AD297" s="48" t="n"/>
      <c r="AE297" s="48" t="n"/>
      <c r="AF297" s="48" t="n"/>
      <c r="AG297" s="48" t="n"/>
      <c r="AH297" s="48" t="n"/>
      <c r="AI297" s="48" t="n"/>
      <c r="AJ297" s="48" t="n"/>
      <c r="AK297" s="48" t="n"/>
      <c r="AL297" s="53" t="n"/>
      <c r="AM297" s="52" t="n"/>
      <c r="AN297" s="48" t="n"/>
      <c r="AO297" s="48" t="n"/>
      <c r="AP297" s="48" t="n"/>
      <c r="AQ297" s="48" t="n"/>
      <c r="AR297" s="48" t="n"/>
      <c r="AS297" s="48" t="n"/>
      <c r="AT297" s="48" t="n"/>
      <c r="AU297" s="48" t="n"/>
      <c r="AV297" s="48" t="n"/>
      <c r="AW297" s="48" t="n"/>
      <c r="AX297" s="48" t="n"/>
      <c r="AY297" s="48" t="n"/>
      <c r="AZ297" s="48" t="n"/>
      <c r="BA297" s="48" t="n"/>
      <c r="BB297" s="48" t="n"/>
      <c r="BC297" s="48" t="n"/>
      <c r="BD297" s="48" t="n"/>
      <c r="BE297" s="48" t="n"/>
      <c r="BF297" s="48" t="n"/>
      <c r="BG297" s="48" t="n"/>
      <c r="BH297" s="48" t="n"/>
      <c r="BI297" s="48" t="n"/>
      <c r="BJ297" s="48" t="n"/>
      <c r="BK297" s="48" t="n"/>
      <c r="BL297" s="48" t="n"/>
      <c r="BM297" s="48" t="n"/>
      <c r="BN297" s="48" t="n"/>
    </row>
    <row r="298">
      <c r="A298" s="47" t="n"/>
      <c r="B298" s="48" t="n"/>
      <c r="C298" s="48" t="n"/>
      <c r="D298" s="49" t="n"/>
      <c r="E298" s="48" t="n"/>
      <c r="F298" s="48" t="n"/>
      <c r="G298" s="50" t="n"/>
      <c r="H298" s="51" t="n"/>
      <c r="I298" s="51" t="n"/>
      <c r="J298" s="48" t="n"/>
      <c r="K298" s="52" t="n"/>
      <c r="L298" s="48" t="n"/>
      <c r="M298" s="48" t="n"/>
      <c r="N298" s="48" t="n"/>
      <c r="O298" s="48" t="n"/>
      <c r="P298" s="48" t="n"/>
      <c r="Q298" s="48" t="n"/>
      <c r="R298" s="48" t="n"/>
      <c r="S298" s="48" t="n"/>
      <c r="T298" s="48" t="n"/>
      <c r="U298" s="48" t="n"/>
      <c r="V298" s="48" t="n"/>
      <c r="W298" s="48" t="n"/>
      <c r="X298" s="48" t="n"/>
      <c r="Y298" s="48" t="n"/>
      <c r="Z298" s="48" t="n"/>
      <c r="AA298" s="48" t="n"/>
      <c r="AB298" s="48" t="n"/>
      <c r="AC298" s="48" t="n"/>
      <c r="AD298" s="48" t="n"/>
      <c r="AE298" s="48" t="n"/>
      <c r="AF298" s="48" t="n"/>
      <c r="AG298" s="48" t="n"/>
      <c r="AH298" s="48" t="n"/>
      <c r="AI298" s="48" t="n"/>
      <c r="AJ298" s="48" t="n"/>
      <c r="AK298" s="48" t="n"/>
      <c r="AL298" s="53" t="n"/>
      <c r="AM298" s="52" t="n"/>
      <c r="AN298" s="48" t="n"/>
      <c r="AO298" s="48" t="n"/>
      <c r="AP298" s="48" t="n"/>
      <c r="AQ298" s="48" t="n"/>
      <c r="AR298" s="48" t="n"/>
      <c r="AS298" s="48" t="n"/>
      <c r="AT298" s="48" t="n"/>
      <c r="AU298" s="48" t="n"/>
      <c r="AV298" s="48" t="n"/>
      <c r="AW298" s="48" t="n"/>
      <c r="AX298" s="48" t="n"/>
      <c r="AY298" s="48" t="n"/>
      <c r="AZ298" s="48" t="n"/>
      <c r="BA298" s="48" t="n"/>
      <c r="BB298" s="48" t="n"/>
      <c r="BC298" s="48" t="n"/>
      <c r="BD298" s="48" t="n"/>
      <c r="BE298" s="48" t="n"/>
      <c r="BF298" s="48" t="n"/>
      <c r="BG298" s="48" t="n"/>
      <c r="BH298" s="48" t="n"/>
      <c r="BI298" s="48" t="n"/>
      <c r="BJ298" s="48" t="n"/>
      <c r="BK298" s="48" t="n"/>
      <c r="BL298" s="48" t="n"/>
      <c r="BM298" s="48" t="n"/>
      <c r="BN298" s="48" t="n"/>
    </row>
    <row r="299">
      <c r="A299" s="47" t="n"/>
      <c r="B299" s="48" t="n"/>
      <c r="C299" s="48" t="n"/>
      <c r="D299" s="49" t="n"/>
      <c r="E299" s="48" t="n"/>
      <c r="F299" s="48" t="n"/>
      <c r="G299" s="50" t="n"/>
      <c r="H299" s="51" t="n"/>
      <c r="I299" s="51" t="n"/>
      <c r="J299" s="48" t="n"/>
      <c r="K299" s="52" t="n"/>
      <c r="L299" s="48" t="n"/>
      <c r="M299" s="48" t="n"/>
      <c r="N299" s="48" t="n"/>
      <c r="O299" s="48" t="n"/>
      <c r="P299" s="48" t="n"/>
      <c r="Q299" s="48" t="n"/>
      <c r="R299" s="48" t="n"/>
      <c r="S299" s="48" t="n"/>
      <c r="T299" s="48" t="n"/>
      <c r="U299" s="48" t="n"/>
      <c r="V299" s="48" t="n"/>
      <c r="W299" s="48" t="n"/>
      <c r="X299" s="48" t="n"/>
      <c r="Y299" s="48" t="n"/>
      <c r="Z299" s="48" t="n"/>
      <c r="AA299" s="48" t="n"/>
      <c r="AB299" s="48" t="n"/>
      <c r="AC299" s="48" t="n"/>
      <c r="AD299" s="48" t="n"/>
      <c r="AE299" s="48" t="n"/>
      <c r="AF299" s="48" t="n"/>
      <c r="AG299" s="48" t="n"/>
      <c r="AH299" s="48" t="n"/>
      <c r="AI299" s="48" t="n"/>
      <c r="AJ299" s="48" t="n"/>
      <c r="AK299" s="48" t="n"/>
      <c r="AL299" s="53" t="n"/>
      <c r="AM299" s="52" t="n"/>
      <c r="AN299" s="48" t="n"/>
      <c r="AO299" s="48" t="n"/>
      <c r="AP299" s="48" t="n"/>
      <c r="AQ299" s="48" t="n"/>
      <c r="AR299" s="48" t="n"/>
      <c r="AS299" s="48" t="n"/>
      <c r="AT299" s="48" t="n"/>
      <c r="AU299" s="48" t="n"/>
      <c r="AV299" s="48" t="n"/>
      <c r="AW299" s="48" t="n"/>
      <c r="AX299" s="48" t="n"/>
      <c r="AY299" s="48" t="n"/>
      <c r="AZ299" s="48" t="n"/>
      <c r="BA299" s="48" t="n"/>
      <c r="BB299" s="48" t="n"/>
      <c r="BC299" s="48" t="n"/>
      <c r="BD299" s="48" t="n"/>
      <c r="BE299" s="48" t="n"/>
      <c r="BF299" s="48" t="n"/>
      <c r="BG299" s="48" t="n"/>
      <c r="BH299" s="48" t="n"/>
      <c r="BI299" s="48" t="n"/>
      <c r="BJ299" s="48" t="n"/>
      <c r="BK299" s="48" t="n"/>
      <c r="BL299" s="48" t="n"/>
      <c r="BM299" s="48" t="n"/>
      <c r="BN299" s="48" t="n"/>
    </row>
    <row r="300">
      <c r="A300" s="47" t="n"/>
      <c r="B300" s="48" t="n"/>
      <c r="C300" s="48" t="n"/>
      <c r="D300" s="49" t="n"/>
      <c r="E300" s="48" t="n"/>
      <c r="F300" s="48" t="n"/>
      <c r="G300" s="50" t="n"/>
      <c r="H300" s="51" t="n"/>
      <c r="I300" s="51" t="n"/>
      <c r="J300" s="48" t="n"/>
      <c r="K300" s="52" t="n"/>
      <c r="L300" s="48" t="n"/>
      <c r="M300" s="48" t="n"/>
      <c r="N300" s="48" t="n"/>
      <c r="O300" s="48" t="n"/>
      <c r="P300" s="48" t="n"/>
      <c r="Q300" s="48" t="n"/>
      <c r="R300" s="48" t="n"/>
      <c r="S300" s="48" t="n"/>
      <c r="T300" s="48" t="n"/>
      <c r="U300" s="48" t="n"/>
      <c r="V300" s="48" t="n"/>
      <c r="W300" s="48" t="n"/>
      <c r="X300" s="48" t="n"/>
      <c r="Y300" s="48" t="n"/>
      <c r="Z300" s="48" t="n"/>
      <c r="AA300" s="48" t="n"/>
      <c r="AB300" s="48" t="n"/>
      <c r="AC300" s="48" t="n"/>
      <c r="AD300" s="48" t="n"/>
      <c r="AE300" s="48" t="n"/>
      <c r="AF300" s="48" t="n"/>
      <c r="AG300" s="48" t="n"/>
      <c r="AH300" s="48" t="n"/>
      <c r="AI300" s="48" t="n"/>
      <c r="AJ300" s="48" t="n"/>
      <c r="AK300" s="48" t="n"/>
      <c r="AL300" s="53" t="n"/>
      <c r="AM300" s="52" t="n"/>
      <c r="AN300" s="48" t="n"/>
      <c r="AO300" s="48" t="n"/>
      <c r="AP300" s="48" t="n"/>
      <c r="AQ300" s="48" t="n"/>
      <c r="AR300" s="48" t="n"/>
      <c r="AS300" s="48" t="n"/>
      <c r="AT300" s="48" t="n"/>
      <c r="AU300" s="48" t="n"/>
      <c r="AV300" s="48" t="n"/>
      <c r="AW300" s="48" t="n"/>
      <c r="AX300" s="48" t="n"/>
      <c r="AY300" s="48" t="n"/>
      <c r="AZ300" s="48" t="n"/>
      <c r="BA300" s="48" t="n"/>
      <c r="BB300" s="48" t="n"/>
      <c r="BC300" s="48" t="n"/>
      <c r="BD300" s="48" t="n"/>
      <c r="BE300" s="48" t="n"/>
      <c r="BF300" s="48" t="n"/>
      <c r="BG300" s="48" t="n"/>
      <c r="BH300" s="48" t="n"/>
      <c r="BI300" s="48" t="n"/>
      <c r="BJ300" s="48" t="n"/>
      <c r="BK300" s="48" t="n"/>
      <c r="BL300" s="48" t="n"/>
      <c r="BM300" s="48" t="n"/>
      <c r="BN300" s="48" t="n"/>
    </row>
    <row r="301">
      <c r="A301" s="47" t="n"/>
      <c r="B301" s="48" t="n"/>
      <c r="C301" s="48" t="n"/>
      <c r="D301" s="49" t="n"/>
      <c r="E301" s="48" t="n"/>
      <c r="F301" s="48" t="n"/>
      <c r="G301" s="50" t="n"/>
      <c r="H301" s="51" t="n"/>
      <c r="I301" s="51" t="n"/>
      <c r="J301" s="48" t="n"/>
      <c r="K301" s="52" t="n"/>
      <c r="L301" s="48" t="n"/>
      <c r="M301" s="48" t="n"/>
      <c r="N301" s="48" t="n"/>
      <c r="O301" s="48" t="n"/>
      <c r="P301" s="48" t="n"/>
      <c r="Q301" s="48" t="n"/>
      <c r="R301" s="48" t="n"/>
      <c r="S301" s="48" t="n"/>
      <c r="T301" s="48" t="n"/>
      <c r="U301" s="48" t="n"/>
      <c r="V301" s="48" t="n"/>
      <c r="W301" s="48" t="n"/>
      <c r="X301" s="48" t="n"/>
      <c r="Y301" s="48" t="n"/>
      <c r="Z301" s="48" t="n"/>
      <c r="AA301" s="48" t="n"/>
      <c r="AB301" s="48" t="n"/>
      <c r="AC301" s="48" t="n"/>
      <c r="AD301" s="48" t="n"/>
      <c r="AE301" s="48" t="n"/>
      <c r="AF301" s="48" t="n"/>
      <c r="AG301" s="48" t="n"/>
      <c r="AH301" s="48" t="n"/>
      <c r="AI301" s="48" t="n"/>
      <c r="AJ301" s="48" t="n"/>
      <c r="AK301" s="48" t="n"/>
      <c r="AL301" s="53" t="n"/>
      <c r="AM301" s="52" t="n"/>
      <c r="AN301" s="48" t="n"/>
      <c r="AO301" s="48" t="n"/>
      <c r="AP301" s="48" t="n"/>
      <c r="AQ301" s="48" t="n"/>
      <c r="AR301" s="48" t="n"/>
      <c r="AS301" s="48" t="n"/>
      <c r="AT301" s="48" t="n"/>
      <c r="AU301" s="48" t="n"/>
      <c r="AV301" s="48" t="n"/>
      <c r="AW301" s="48" t="n"/>
      <c r="AX301" s="48" t="n"/>
      <c r="AY301" s="48" t="n"/>
      <c r="AZ301" s="48" t="n"/>
      <c r="BA301" s="48" t="n"/>
      <c r="BB301" s="48" t="n"/>
      <c r="BC301" s="48" t="n"/>
      <c r="BD301" s="48" t="n"/>
      <c r="BE301" s="48" t="n"/>
      <c r="BF301" s="48" t="n"/>
      <c r="BG301" s="48" t="n"/>
      <c r="BH301" s="48" t="n"/>
      <c r="BI301" s="48" t="n"/>
      <c r="BJ301" s="48" t="n"/>
      <c r="BK301" s="48" t="n"/>
      <c r="BL301" s="48" t="n"/>
      <c r="BM301" s="48" t="n"/>
      <c r="BN301" s="48" t="n"/>
    </row>
    <row r="302">
      <c r="A302" s="47" t="n"/>
      <c r="B302" s="48" t="n"/>
      <c r="C302" s="48" t="n"/>
      <c r="D302" s="49" t="n"/>
      <c r="E302" s="48" t="n"/>
      <c r="F302" s="48" t="n"/>
      <c r="G302" s="50" t="n"/>
      <c r="H302" s="51" t="n"/>
      <c r="I302" s="51" t="n"/>
      <c r="J302" s="48" t="n"/>
      <c r="K302" s="52" t="n"/>
      <c r="L302" s="48" t="n"/>
      <c r="M302" s="48" t="n"/>
      <c r="N302" s="48" t="n"/>
      <c r="O302" s="48" t="n"/>
      <c r="P302" s="48" t="n"/>
      <c r="Q302" s="48" t="n"/>
      <c r="R302" s="48" t="n"/>
      <c r="S302" s="48" t="n"/>
      <c r="T302" s="48" t="n"/>
      <c r="U302" s="48" t="n"/>
      <c r="V302" s="48" t="n"/>
      <c r="W302" s="48" t="n"/>
      <c r="X302" s="48" t="n"/>
      <c r="Y302" s="48" t="n"/>
      <c r="Z302" s="48" t="n"/>
      <c r="AA302" s="48" t="n"/>
      <c r="AB302" s="48" t="n"/>
      <c r="AC302" s="48" t="n"/>
      <c r="AD302" s="48" t="n"/>
      <c r="AE302" s="48" t="n"/>
      <c r="AF302" s="48" t="n"/>
      <c r="AG302" s="48" t="n"/>
      <c r="AH302" s="48" t="n"/>
      <c r="AI302" s="48" t="n"/>
      <c r="AJ302" s="48" t="n"/>
      <c r="AK302" s="48" t="n"/>
      <c r="AL302" s="53" t="n"/>
      <c r="AM302" s="52" t="n"/>
      <c r="AN302" s="48" t="n"/>
      <c r="AO302" s="48" t="n"/>
      <c r="AP302" s="48" t="n"/>
      <c r="AQ302" s="48" t="n"/>
      <c r="AR302" s="48" t="n"/>
      <c r="AS302" s="48" t="n"/>
      <c r="AT302" s="48" t="n"/>
      <c r="AU302" s="48" t="n"/>
      <c r="AV302" s="48" t="n"/>
      <c r="AW302" s="48" t="n"/>
      <c r="AX302" s="48" t="n"/>
      <c r="AY302" s="48" t="n"/>
      <c r="AZ302" s="48" t="n"/>
      <c r="BA302" s="48" t="n"/>
      <c r="BB302" s="48" t="n"/>
      <c r="BC302" s="48" t="n"/>
      <c r="BD302" s="48" t="n"/>
      <c r="BE302" s="48" t="n"/>
      <c r="BF302" s="48" t="n"/>
      <c r="BG302" s="48" t="n"/>
      <c r="BH302" s="48" t="n"/>
      <c r="BI302" s="48" t="n"/>
      <c r="BJ302" s="48" t="n"/>
      <c r="BK302" s="48" t="n"/>
      <c r="BL302" s="48" t="n"/>
      <c r="BM302" s="48" t="n"/>
      <c r="BN302" s="48" t="n"/>
    </row>
    <row r="303">
      <c r="A303" s="47" t="n"/>
      <c r="B303" s="48" t="n"/>
      <c r="C303" s="48" t="n"/>
      <c r="D303" s="49" t="n"/>
      <c r="E303" s="48" t="n"/>
      <c r="F303" s="48" t="n"/>
      <c r="G303" s="50" t="n"/>
      <c r="H303" s="51" t="n"/>
      <c r="I303" s="51" t="n"/>
      <c r="J303" s="48" t="n"/>
      <c r="K303" s="52" t="n"/>
      <c r="L303" s="48" t="n"/>
      <c r="M303" s="48" t="n"/>
      <c r="N303" s="48" t="n"/>
      <c r="O303" s="48" t="n"/>
      <c r="P303" s="48" t="n"/>
      <c r="Q303" s="48" t="n"/>
      <c r="R303" s="48" t="n"/>
      <c r="S303" s="48" t="n"/>
      <c r="T303" s="48" t="n"/>
      <c r="U303" s="48" t="n"/>
      <c r="V303" s="48" t="n"/>
      <c r="W303" s="48" t="n"/>
      <c r="X303" s="48" t="n"/>
      <c r="Y303" s="48" t="n"/>
      <c r="Z303" s="48" t="n"/>
      <c r="AA303" s="48" t="n"/>
      <c r="AB303" s="48" t="n"/>
      <c r="AC303" s="48" t="n"/>
      <c r="AD303" s="48" t="n"/>
      <c r="AE303" s="48" t="n"/>
      <c r="AF303" s="48" t="n"/>
      <c r="AG303" s="48" t="n"/>
      <c r="AH303" s="48" t="n"/>
      <c r="AI303" s="48" t="n"/>
      <c r="AJ303" s="48" t="n"/>
      <c r="AK303" s="48" t="n"/>
      <c r="AL303" s="53" t="n"/>
      <c r="AM303" s="52" t="n"/>
      <c r="AN303" s="48" t="n"/>
      <c r="AO303" s="48" t="n"/>
      <c r="AP303" s="48" t="n"/>
      <c r="AQ303" s="48" t="n"/>
      <c r="AR303" s="48" t="n"/>
      <c r="AS303" s="48" t="n"/>
      <c r="AT303" s="48" t="n"/>
      <c r="AU303" s="48" t="n"/>
      <c r="AV303" s="48" t="n"/>
      <c r="AW303" s="48" t="n"/>
      <c r="AX303" s="48" t="n"/>
      <c r="AY303" s="48" t="n"/>
      <c r="AZ303" s="48" t="n"/>
      <c r="BA303" s="48" t="n"/>
      <c r="BB303" s="48" t="n"/>
      <c r="BC303" s="48" t="n"/>
      <c r="BD303" s="48" t="n"/>
      <c r="BE303" s="48" t="n"/>
      <c r="BF303" s="48" t="n"/>
      <c r="BG303" s="48" t="n"/>
      <c r="BH303" s="48" t="n"/>
      <c r="BI303" s="48" t="n"/>
      <c r="BJ303" s="48" t="n"/>
      <c r="BK303" s="48" t="n"/>
      <c r="BL303" s="48" t="n"/>
      <c r="BM303" s="48" t="n"/>
      <c r="BN303" s="48" t="n"/>
    </row>
    <row r="304">
      <c r="A304" s="47" t="n"/>
      <c r="B304" s="48" t="n"/>
      <c r="C304" s="48" t="n"/>
      <c r="D304" s="49" t="n"/>
      <c r="E304" s="48" t="n"/>
      <c r="F304" s="48" t="n"/>
      <c r="G304" s="50" t="n"/>
      <c r="H304" s="51" t="n"/>
      <c r="I304" s="51" t="n"/>
      <c r="J304" s="48" t="n"/>
      <c r="K304" s="52" t="n"/>
      <c r="L304" s="48" t="n"/>
      <c r="M304" s="48" t="n"/>
      <c r="N304" s="48" t="n"/>
      <c r="O304" s="48" t="n"/>
      <c r="P304" s="48" t="n"/>
      <c r="Q304" s="48" t="n"/>
      <c r="R304" s="48" t="n"/>
      <c r="S304" s="48" t="n"/>
      <c r="T304" s="48" t="n"/>
      <c r="U304" s="48" t="n"/>
      <c r="V304" s="48" t="n"/>
      <c r="W304" s="48" t="n"/>
      <c r="X304" s="48" t="n"/>
      <c r="Y304" s="48" t="n"/>
      <c r="Z304" s="48" t="n"/>
      <c r="AA304" s="48" t="n"/>
      <c r="AB304" s="48" t="n"/>
      <c r="AC304" s="48" t="n"/>
      <c r="AD304" s="48" t="n"/>
      <c r="AE304" s="48" t="n"/>
      <c r="AF304" s="48" t="n"/>
      <c r="AG304" s="48" t="n"/>
      <c r="AH304" s="48" t="n"/>
      <c r="AI304" s="48" t="n"/>
      <c r="AJ304" s="48" t="n"/>
      <c r="AK304" s="48" t="n"/>
      <c r="AL304" s="53" t="n"/>
      <c r="AM304" s="52" t="n"/>
      <c r="AN304" s="48" t="n"/>
      <c r="AO304" s="48" t="n"/>
      <c r="AP304" s="48" t="n"/>
      <c r="AQ304" s="48" t="n"/>
      <c r="AR304" s="48" t="n"/>
      <c r="AS304" s="48" t="n"/>
      <c r="AT304" s="48" t="n"/>
      <c r="AU304" s="48" t="n"/>
      <c r="AV304" s="48" t="n"/>
      <c r="AW304" s="48" t="n"/>
      <c r="AX304" s="48" t="n"/>
      <c r="AY304" s="48" t="n"/>
      <c r="AZ304" s="48" t="n"/>
      <c r="BA304" s="48" t="n"/>
      <c r="BB304" s="48" t="n"/>
      <c r="BC304" s="48" t="n"/>
      <c r="BD304" s="48" t="n"/>
      <c r="BE304" s="48" t="n"/>
      <c r="BF304" s="48" t="n"/>
      <c r="BG304" s="48" t="n"/>
      <c r="BH304" s="48" t="n"/>
      <c r="BI304" s="48" t="n"/>
      <c r="BJ304" s="48" t="n"/>
      <c r="BK304" s="48" t="n"/>
      <c r="BL304" s="48" t="n"/>
      <c r="BM304" s="48" t="n"/>
      <c r="BN304" s="48" t="n"/>
    </row>
    <row r="305">
      <c r="A305" s="47" t="n"/>
      <c r="B305" s="48" t="n"/>
      <c r="C305" s="48" t="n"/>
      <c r="D305" s="49" t="n"/>
      <c r="E305" s="48" t="n"/>
      <c r="F305" s="48" t="n"/>
      <c r="G305" s="50" t="n"/>
      <c r="H305" s="51" t="n"/>
      <c r="I305" s="51" t="n"/>
      <c r="J305" s="48" t="n"/>
      <c r="K305" s="52" t="n"/>
      <c r="L305" s="48" t="n"/>
      <c r="M305" s="48" t="n"/>
      <c r="N305" s="48" t="n"/>
      <c r="O305" s="48" t="n"/>
      <c r="P305" s="48" t="n"/>
      <c r="Q305" s="48" t="n"/>
      <c r="R305" s="48" t="n"/>
      <c r="S305" s="48" t="n"/>
      <c r="T305" s="48" t="n"/>
      <c r="U305" s="48" t="n"/>
      <c r="V305" s="48" t="n"/>
      <c r="W305" s="48" t="n"/>
      <c r="X305" s="48" t="n"/>
      <c r="Y305" s="48" t="n"/>
      <c r="Z305" s="48" t="n"/>
      <c r="AA305" s="48" t="n"/>
      <c r="AB305" s="48" t="n"/>
      <c r="AC305" s="48" t="n"/>
      <c r="AD305" s="48" t="n"/>
      <c r="AE305" s="48" t="n"/>
      <c r="AF305" s="48" t="n"/>
      <c r="AG305" s="48" t="n"/>
      <c r="AH305" s="48" t="n"/>
      <c r="AI305" s="48" t="n"/>
      <c r="AJ305" s="48" t="n"/>
      <c r="AK305" s="48" t="n"/>
      <c r="AL305" s="53" t="n"/>
      <c r="AM305" s="52" t="n"/>
      <c r="AN305" s="48" t="n"/>
      <c r="AO305" s="48" t="n"/>
      <c r="AP305" s="48" t="n"/>
      <c r="AQ305" s="48" t="n"/>
      <c r="AR305" s="48" t="n"/>
      <c r="AS305" s="48" t="n"/>
      <c r="AT305" s="48" t="n"/>
      <c r="AU305" s="48" t="n"/>
      <c r="AV305" s="48" t="n"/>
      <c r="AW305" s="48" t="n"/>
      <c r="AX305" s="48" t="n"/>
      <c r="AY305" s="48" t="n"/>
      <c r="AZ305" s="48" t="n"/>
      <c r="BA305" s="48" t="n"/>
      <c r="BB305" s="48" t="n"/>
      <c r="BC305" s="48" t="n"/>
      <c r="BD305" s="48" t="n"/>
      <c r="BE305" s="48" t="n"/>
      <c r="BF305" s="48" t="n"/>
      <c r="BG305" s="48" t="n"/>
      <c r="BH305" s="48" t="n"/>
      <c r="BI305" s="48" t="n"/>
      <c r="BJ305" s="48" t="n"/>
      <c r="BK305" s="48" t="n"/>
      <c r="BL305" s="48" t="n"/>
      <c r="BM305" s="48" t="n"/>
      <c r="BN305" s="48" t="n"/>
    </row>
    <row r="306">
      <c r="A306" s="47" t="n"/>
      <c r="B306" s="48" t="n"/>
      <c r="C306" s="48" t="n"/>
      <c r="D306" s="49" t="n"/>
      <c r="E306" s="48" t="n"/>
      <c r="F306" s="48" t="n"/>
      <c r="G306" s="50" t="n"/>
      <c r="H306" s="51" t="n"/>
      <c r="I306" s="51" t="n"/>
      <c r="J306" s="48" t="n"/>
      <c r="K306" s="52" t="n"/>
      <c r="L306" s="48" t="n"/>
      <c r="M306" s="48" t="n"/>
      <c r="N306" s="48" t="n"/>
      <c r="O306" s="48" t="n"/>
      <c r="P306" s="48" t="n"/>
      <c r="Q306" s="48" t="n"/>
      <c r="R306" s="48" t="n"/>
      <c r="S306" s="48" t="n"/>
      <c r="T306" s="48" t="n"/>
      <c r="U306" s="48" t="n"/>
      <c r="V306" s="48" t="n"/>
      <c r="W306" s="48" t="n"/>
      <c r="X306" s="48" t="n"/>
      <c r="Y306" s="48" t="n"/>
      <c r="Z306" s="48" t="n"/>
      <c r="AA306" s="48" t="n"/>
      <c r="AB306" s="48" t="n"/>
      <c r="AC306" s="48" t="n"/>
      <c r="AD306" s="48" t="n"/>
      <c r="AE306" s="48" t="n"/>
      <c r="AF306" s="48" t="n"/>
      <c r="AG306" s="48" t="n"/>
      <c r="AH306" s="48" t="n"/>
      <c r="AI306" s="48" t="n"/>
      <c r="AJ306" s="48" t="n"/>
      <c r="AK306" s="48" t="n"/>
      <c r="AL306" s="53" t="n"/>
      <c r="AM306" s="52" t="n"/>
      <c r="AN306" s="48" t="n"/>
      <c r="AO306" s="48" t="n"/>
      <c r="AP306" s="48" t="n"/>
      <c r="AQ306" s="48" t="n"/>
      <c r="AR306" s="48" t="n"/>
      <c r="AS306" s="48" t="n"/>
      <c r="AT306" s="48" t="n"/>
      <c r="AU306" s="48" t="n"/>
      <c r="AV306" s="48" t="n"/>
      <c r="AW306" s="48" t="n"/>
      <c r="AX306" s="48" t="n"/>
      <c r="AY306" s="48" t="n"/>
      <c r="AZ306" s="48" t="n"/>
      <c r="BA306" s="48" t="n"/>
      <c r="BB306" s="48" t="n"/>
      <c r="BC306" s="48" t="n"/>
      <c r="BD306" s="48" t="n"/>
      <c r="BE306" s="48" t="n"/>
      <c r="BF306" s="48" t="n"/>
      <c r="BG306" s="48" t="n"/>
      <c r="BH306" s="48" t="n"/>
      <c r="BI306" s="48" t="n"/>
      <c r="BJ306" s="48" t="n"/>
      <c r="BK306" s="48" t="n"/>
      <c r="BL306" s="48" t="n"/>
      <c r="BM306" s="48" t="n"/>
      <c r="BN306" s="48" t="n"/>
    </row>
    <row r="307">
      <c r="A307" s="47" t="n"/>
      <c r="B307" s="48" t="n"/>
      <c r="C307" s="48" t="n"/>
      <c r="D307" s="49" t="n"/>
      <c r="E307" s="48" t="n"/>
      <c r="F307" s="48" t="n"/>
      <c r="G307" s="50" t="n"/>
      <c r="H307" s="51" t="n"/>
      <c r="I307" s="51" t="n"/>
      <c r="J307" s="48" t="n"/>
      <c r="K307" s="52" t="n"/>
      <c r="L307" s="48" t="n"/>
      <c r="M307" s="48" t="n"/>
      <c r="N307" s="48" t="n"/>
      <c r="O307" s="48" t="n"/>
      <c r="P307" s="48" t="n"/>
      <c r="Q307" s="48" t="n"/>
      <c r="R307" s="48" t="n"/>
      <c r="S307" s="48" t="n"/>
      <c r="T307" s="48" t="n"/>
      <c r="U307" s="48" t="n"/>
      <c r="V307" s="48" t="n"/>
      <c r="W307" s="48" t="n"/>
      <c r="X307" s="48" t="n"/>
      <c r="Y307" s="48" t="n"/>
      <c r="Z307" s="48" t="n"/>
      <c r="AA307" s="48" t="n"/>
      <c r="AB307" s="48" t="n"/>
      <c r="AC307" s="48" t="n"/>
      <c r="AD307" s="48" t="n"/>
      <c r="AE307" s="48" t="n"/>
      <c r="AF307" s="48" t="n"/>
      <c r="AG307" s="48" t="n"/>
      <c r="AH307" s="48" t="n"/>
      <c r="AI307" s="48" t="n"/>
      <c r="AJ307" s="48" t="n"/>
      <c r="AK307" s="48" t="n"/>
      <c r="AL307" s="53" t="n"/>
      <c r="AM307" s="52" t="n"/>
      <c r="AN307" s="48" t="n"/>
      <c r="AO307" s="48" t="n"/>
      <c r="AP307" s="48" t="n"/>
      <c r="AQ307" s="48" t="n"/>
      <c r="AR307" s="48" t="n"/>
      <c r="AS307" s="48" t="n"/>
      <c r="AT307" s="48" t="n"/>
      <c r="AU307" s="48" t="n"/>
      <c r="AV307" s="48" t="n"/>
      <c r="AW307" s="48" t="n"/>
      <c r="AX307" s="48" t="n"/>
      <c r="AY307" s="48" t="n"/>
      <c r="AZ307" s="48" t="n"/>
      <c r="BA307" s="48" t="n"/>
      <c r="BB307" s="48" t="n"/>
      <c r="BC307" s="48" t="n"/>
      <c r="BD307" s="48" t="n"/>
      <c r="BE307" s="48" t="n"/>
      <c r="BF307" s="48" t="n"/>
      <c r="BG307" s="48" t="n"/>
      <c r="BH307" s="48" t="n"/>
      <c r="BI307" s="48" t="n"/>
      <c r="BJ307" s="48" t="n"/>
      <c r="BK307" s="48" t="n"/>
      <c r="BL307" s="48" t="n"/>
      <c r="BM307" s="48" t="n"/>
      <c r="BN307" s="48" t="n"/>
    </row>
    <row r="308">
      <c r="A308" s="47" t="n"/>
      <c r="B308" s="48" t="n"/>
      <c r="C308" s="48" t="n"/>
      <c r="D308" s="49" t="n"/>
      <c r="E308" s="48" t="n"/>
      <c r="F308" s="48" t="n"/>
      <c r="G308" s="50" t="n"/>
      <c r="H308" s="51" t="n"/>
      <c r="I308" s="51" t="n"/>
      <c r="J308" s="48" t="n"/>
      <c r="K308" s="52" t="n"/>
      <c r="L308" s="48" t="n"/>
      <c r="M308" s="48" t="n"/>
      <c r="N308" s="48" t="n"/>
      <c r="O308" s="48" t="n"/>
      <c r="P308" s="48" t="n"/>
      <c r="Q308" s="48" t="n"/>
      <c r="R308" s="48" t="n"/>
      <c r="S308" s="48" t="n"/>
      <c r="T308" s="48" t="n"/>
      <c r="U308" s="48" t="n"/>
      <c r="V308" s="48" t="n"/>
      <c r="W308" s="48" t="n"/>
      <c r="X308" s="48" t="n"/>
      <c r="Y308" s="48" t="n"/>
      <c r="Z308" s="48" t="n"/>
      <c r="AA308" s="48" t="n"/>
      <c r="AB308" s="48" t="n"/>
      <c r="AC308" s="48" t="n"/>
      <c r="AD308" s="48" t="n"/>
      <c r="AE308" s="48" t="n"/>
      <c r="AF308" s="48" t="n"/>
      <c r="AG308" s="48" t="n"/>
      <c r="AH308" s="48" t="n"/>
      <c r="AI308" s="48" t="n"/>
      <c r="AJ308" s="48" t="n"/>
      <c r="AK308" s="48" t="n"/>
      <c r="AL308" s="53" t="n"/>
      <c r="AM308" s="52" t="n"/>
      <c r="AN308" s="48" t="n"/>
      <c r="AO308" s="48" t="n"/>
      <c r="AP308" s="48" t="n"/>
      <c r="AQ308" s="48" t="n"/>
      <c r="AR308" s="48" t="n"/>
      <c r="AS308" s="48" t="n"/>
      <c r="AT308" s="48" t="n"/>
      <c r="AU308" s="48" t="n"/>
      <c r="AV308" s="48" t="n"/>
      <c r="AW308" s="48" t="n"/>
      <c r="AX308" s="48" t="n"/>
      <c r="AY308" s="48" t="n"/>
      <c r="AZ308" s="48" t="n"/>
      <c r="BA308" s="48" t="n"/>
      <c r="BB308" s="48" t="n"/>
      <c r="BC308" s="48" t="n"/>
      <c r="BD308" s="48" t="n"/>
      <c r="BE308" s="48" t="n"/>
      <c r="BF308" s="48" t="n"/>
      <c r="BG308" s="48" t="n"/>
      <c r="BH308" s="48" t="n"/>
      <c r="BI308" s="48" t="n"/>
      <c r="BJ308" s="48" t="n"/>
      <c r="BK308" s="48" t="n"/>
      <c r="BL308" s="48" t="n"/>
      <c r="BM308" s="48" t="n"/>
      <c r="BN308" s="48" t="n"/>
    </row>
    <row r="309">
      <c r="A309" s="47" t="n"/>
      <c r="B309" s="48" t="n"/>
      <c r="C309" s="48" t="n"/>
      <c r="D309" s="49" t="n"/>
      <c r="E309" s="48" t="n"/>
      <c r="F309" s="48" t="n"/>
      <c r="G309" s="50" t="n"/>
      <c r="H309" s="51" t="n"/>
      <c r="I309" s="51" t="n"/>
      <c r="J309" s="48" t="n"/>
      <c r="K309" s="52" t="n"/>
      <c r="L309" s="48" t="n"/>
      <c r="M309" s="48" t="n"/>
      <c r="N309" s="48" t="n"/>
      <c r="O309" s="48" t="n"/>
      <c r="P309" s="48" t="n"/>
      <c r="Q309" s="48" t="n"/>
      <c r="R309" s="48" t="n"/>
      <c r="S309" s="48" t="n"/>
      <c r="T309" s="48" t="n"/>
      <c r="U309" s="48" t="n"/>
      <c r="V309" s="48" t="n"/>
      <c r="W309" s="48" t="n"/>
      <c r="X309" s="48" t="n"/>
      <c r="Y309" s="48" t="n"/>
      <c r="Z309" s="48" t="n"/>
      <c r="AA309" s="48" t="n"/>
      <c r="AB309" s="48" t="n"/>
      <c r="AC309" s="48" t="n"/>
      <c r="AD309" s="48" t="n"/>
      <c r="AE309" s="48" t="n"/>
      <c r="AF309" s="48" t="n"/>
      <c r="AG309" s="48" t="n"/>
      <c r="AH309" s="48" t="n"/>
      <c r="AI309" s="48" t="n"/>
      <c r="AJ309" s="48" t="n"/>
      <c r="AK309" s="48" t="n"/>
      <c r="AL309" s="53" t="n"/>
      <c r="AM309" s="52" t="n"/>
      <c r="AN309" s="48" t="n"/>
      <c r="AO309" s="48" t="n"/>
      <c r="AP309" s="48" t="n"/>
      <c r="AQ309" s="48" t="n"/>
      <c r="AR309" s="48" t="n"/>
      <c r="AS309" s="48" t="n"/>
      <c r="AT309" s="48" t="n"/>
      <c r="AU309" s="48" t="n"/>
      <c r="AV309" s="48" t="n"/>
      <c r="AW309" s="48" t="n"/>
      <c r="AX309" s="48" t="n"/>
      <c r="AY309" s="48" t="n"/>
      <c r="AZ309" s="48" t="n"/>
      <c r="BA309" s="48" t="n"/>
      <c r="BB309" s="48" t="n"/>
      <c r="BC309" s="48" t="n"/>
      <c r="BD309" s="48" t="n"/>
      <c r="BE309" s="48" t="n"/>
      <c r="BF309" s="48" t="n"/>
      <c r="BG309" s="48" t="n"/>
      <c r="BH309" s="48" t="n"/>
      <c r="BI309" s="48" t="n"/>
      <c r="BJ309" s="48" t="n"/>
      <c r="BK309" s="48" t="n"/>
      <c r="BL309" s="48" t="n"/>
      <c r="BM309" s="48" t="n"/>
      <c r="BN309" s="48" t="n"/>
    </row>
    <row r="310">
      <c r="A310" s="47" t="n"/>
      <c r="B310" s="48" t="n"/>
      <c r="C310" s="48" t="n"/>
      <c r="D310" s="49" t="n"/>
      <c r="E310" s="48" t="n"/>
      <c r="F310" s="48" t="n"/>
      <c r="G310" s="50" t="n"/>
      <c r="H310" s="51" t="n"/>
      <c r="I310" s="51" t="n"/>
      <c r="J310" s="48" t="n"/>
      <c r="K310" s="52" t="n"/>
      <c r="L310" s="48" t="n"/>
      <c r="M310" s="48" t="n"/>
      <c r="N310" s="48" t="n"/>
      <c r="O310" s="48" t="n"/>
      <c r="P310" s="48" t="n"/>
      <c r="Q310" s="48" t="n"/>
      <c r="R310" s="48" t="n"/>
      <c r="S310" s="48" t="n"/>
      <c r="T310" s="48" t="n"/>
      <c r="U310" s="48" t="n"/>
      <c r="V310" s="48" t="n"/>
      <c r="W310" s="48" t="n"/>
      <c r="X310" s="48" t="n"/>
      <c r="Y310" s="48" t="n"/>
      <c r="Z310" s="48" t="n"/>
      <c r="AA310" s="48" t="n"/>
      <c r="AB310" s="48" t="n"/>
      <c r="AC310" s="48" t="n"/>
      <c r="AD310" s="48" t="n"/>
      <c r="AE310" s="48" t="n"/>
      <c r="AF310" s="48" t="n"/>
      <c r="AG310" s="48" t="n"/>
      <c r="AH310" s="48" t="n"/>
      <c r="AI310" s="48" t="n"/>
      <c r="AJ310" s="48" t="n"/>
      <c r="AK310" s="48" t="n"/>
      <c r="AL310" s="53" t="n"/>
      <c r="AM310" s="52" t="n"/>
      <c r="AN310" s="48" t="n"/>
      <c r="AO310" s="48" t="n"/>
      <c r="AP310" s="48" t="n"/>
      <c r="AQ310" s="48" t="n"/>
      <c r="AR310" s="48" t="n"/>
      <c r="AS310" s="48" t="n"/>
      <c r="AT310" s="48" t="n"/>
      <c r="AU310" s="48" t="n"/>
      <c r="AV310" s="48" t="n"/>
      <c r="AW310" s="48" t="n"/>
      <c r="AX310" s="48" t="n"/>
      <c r="AY310" s="48" t="n"/>
      <c r="AZ310" s="48" t="n"/>
      <c r="BA310" s="48" t="n"/>
      <c r="BB310" s="48" t="n"/>
      <c r="BC310" s="48" t="n"/>
      <c r="BD310" s="48" t="n"/>
      <c r="BE310" s="48" t="n"/>
      <c r="BF310" s="48" t="n"/>
      <c r="BG310" s="48" t="n"/>
      <c r="BH310" s="48" t="n"/>
      <c r="BI310" s="48" t="n"/>
      <c r="BJ310" s="48" t="n"/>
      <c r="BK310" s="48" t="n"/>
      <c r="BL310" s="48" t="n"/>
      <c r="BM310" s="48" t="n"/>
      <c r="BN310" s="48" t="n"/>
    </row>
    <row r="311">
      <c r="A311" s="47" t="n"/>
      <c r="B311" s="48" t="n"/>
      <c r="C311" s="48" t="n"/>
      <c r="D311" s="49" t="n"/>
      <c r="E311" s="48" t="n"/>
      <c r="F311" s="48" t="n"/>
      <c r="G311" s="50" t="n"/>
      <c r="H311" s="51" t="n"/>
      <c r="I311" s="51" t="n"/>
      <c r="J311" s="48" t="n"/>
      <c r="K311" s="52" t="n"/>
      <c r="L311" s="48" t="n"/>
      <c r="M311" s="48" t="n"/>
      <c r="N311" s="48" t="n"/>
      <c r="O311" s="48" t="n"/>
      <c r="P311" s="48" t="n"/>
      <c r="Q311" s="48" t="n"/>
      <c r="R311" s="48" t="n"/>
      <c r="S311" s="48" t="n"/>
      <c r="T311" s="48" t="n"/>
      <c r="U311" s="48" t="n"/>
      <c r="V311" s="48" t="n"/>
      <c r="W311" s="48" t="n"/>
      <c r="X311" s="48" t="n"/>
      <c r="Y311" s="48" t="n"/>
      <c r="Z311" s="48" t="n"/>
      <c r="AA311" s="48" t="n"/>
      <c r="AB311" s="48" t="n"/>
      <c r="AC311" s="48" t="n"/>
      <c r="AD311" s="48" t="n"/>
      <c r="AE311" s="48" t="n"/>
      <c r="AF311" s="48" t="n"/>
      <c r="AG311" s="48" t="n"/>
      <c r="AH311" s="48" t="n"/>
      <c r="AI311" s="48" t="n"/>
      <c r="AJ311" s="48" t="n"/>
      <c r="AK311" s="48" t="n"/>
      <c r="AL311" s="53" t="n"/>
      <c r="AM311" s="52" t="n"/>
      <c r="AN311" s="48" t="n"/>
      <c r="AO311" s="48" t="n"/>
      <c r="AP311" s="48" t="n"/>
      <c r="AQ311" s="48" t="n"/>
      <c r="AR311" s="48" t="n"/>
      <c r="AS311" s="48" t="n"/>
      <c r="AT311" s="48" t="n"/>
      <c r="AU311" s="48" t="n"/>
      <c r="AV311" s="48" t="n"/>
      <c r="AW311" s="48" t="n"/>
      <c r="AX311" s="48" t="n"/>
      <c r="AY311" s="48" t="n"/>
      <c r="AZ311" s="48" t="n"/>
      <c r="BA311" s="48" t="n"/>
      <c r="BB311" s="48" t="n"/>
      <c r="BC311" s="48" t="n"/>
      <c r="BD311" s="48" t="n"/>
      <c r="BE311" s="48" t="n"/>
      <c r="BF311" s="48" t="n"/>
      <c r="BG311" s="48" t="n"/>
      <c r="BH311" s="48" t="n"/>
      <c r="BI311" s="48" t="n"/>
      <c r="BJ311" s="48" t="n"/>
      <c r="BK311" s="48" t="n"/>
      <c r="BL311" s="48" t="n"/>
      <c r="BM311" s="48" t="n"/>
      <c r="BN311" s="48" t="n"/>
    </row>
    <row r="312">
      <c r="A312" s="47" t="n"/>
      <c r="B312" s="48" t="n"/>
      <c r="C312" s="48" t="n"/>
      <c r="D312" s="49" t="n"/>
      <c r="E312" s="48" t="n"/>
      <c r="F312" s="48" t="n"/>
      <c r="G312" s="50" t="n"/>
      <c r="H312" s="51" t="n"/>
      <c r="I312" s="51" t="n"/>
      <c r="J312" s="48" t="n"/>
      <c r="K312" s="52" t="n"/>
      <c r="L312" s="48" t="n"/>
      <c r="M312" s="48" t="n"/>
      <c r="N312" s="48" t="n"/>
      <c r="O312" s="48" t="n"/>
      <c r="P312" s="48" t="n"/>
      <c r="Q312" s="48" t="n"/>
      <c r="R312" s="48" t="n"/>
      <c r="S312" s="48" t="n"/>
      <c r="T312" s="48" t="n"/>
      <c r="U312" s="48" t="n"/>
      <c r="V312" s="48" t="n"/>
      <c r="W312" s="48" t="n"/>
      <c r="X312" s="48" t="n"/>
      <c r="Y312" s="48" t="n"/>
      <c r="Z312" s="48" t="n"/>
      <c r="AA312" s="48" t="n"/>
      <c r="AB312" s="48" t="n"/>
      <c r="AC312" s="48" t="n"/>
      <c r="AD312" s="48" t="n"/>
      <c r="AE312" s="48" t="n"/>
      <c r="AF312" s="48" t="n"/>
      <c r="AG312" s="48" t="n"/>
      <c r="AH312" s="48" t="n"/>
      <c r="AI312" s="48" t="n"/>
      <c r="AJ312" s="48" t="n"/>
      <c r="AK312" s="48" t="n"/>
      <c r="AL312" s="53" t="n"/>
      <c r="AM312" s="52" t="n"/>
      <c r="AN312" s="48" t="n"/>
      <c r="AO312" s="48" t="n"/>
      <c r="AP312" s="48" t="n"/>
      <c r="AQ312" s="48" t="n"/>
      <c r="AR312" s="48" t="n"/>
      <c r="AS312" s="48" t="n"/>
      <c r="AT312" s="48" t="n"/>
      <c r="AU312" s="48" t="n"/>
      <c r="AV312" s="48" t="n"/>
      <c r="AW312" s="48" t="n"/>
      <c r="AX312" s="48" t="n"/>
      <c r="AY312" s="48" t="n"/>
      <c r="AZ312" s="48" t="n"/>
      <c r="BA312" s="48" t="n"/>
      <c r="BB312" s="48" t="n"/>
      <c r="BC312" s="48" t="n"/>
      <c r="BD312" s="48" t="n"/>
      <c r="BE312" s="48" t="n"/>
      <c r="BF312" s="48" t="n"/>
      <c r="BG312" s="48" t="n"/>
      <c r="BH312" s="48" t="n"/>
      <c r="BI312" s="48" t="n"/>
      <c r="BJ312" s="48" t="n"/>
      <c r="BK312" s="48" t="n"/>
      <c r="BL312" s="48" t="n"/>
      <c r="BM312" s="48" t="n"/>
      <c r="BN312" s="48" t="n"/>
    </row>
    <row r="313">
      <c r="A313" s="47" t="n"/>
      <c r="B313" s="48" t="n"/>
      <c r="C313" s="48" t="n"/>
      <c r="D313" s="49" t="n"/>
      <c r="E313" s="48" t="n"/>
      <c r="F313" s="48" t="n"/>
      <c r="G313" s="50" t="n"/>
      <c r="H313" s="51" t="n"/>
      <c r="I313" s="51" t="n"/>
      <c r="J313" s="48" t="n"/>
      <c r="K313" s="52" t="n"/>
      <c r="L313" s="48" t="n"/>
      <c r="M313" s="48" t="n"/>
      <c r="N313" s="48" t="n"/>
      <c r="O313" s="48" t="n"/>
      <c r="P313" s="48" t="n"/>
      <c r="Q313" s="48" t="n"/>
      <c r="R313" s="48" t="n"/>
      <c r="S313" s="48" t="n"/>
      <c r="T313" s="48" t="n"/>
      <c r="U313" s="48" t="n"/>
      <c r="V313" s="48" t="n"/>
      <c r="W313" s="48" t="n"/>
      <c r="X313" s="48" t="n"/>
      <c r="Y313" s="48" t="n"/>
      <c r="Z313" s="48" t="n"/>
      <c r="AA313" s="48" t="n"/>
      <c r="AB313" s="48" t="n"/>
      <c r="AC313" s="48" t="n"/>
      <c r="AD313" s="48" t="n"/>
      <c r="AE313" s="48" t="n"/>
      <c r="AF313" s="48" t="n"/>
      <c r="AG313" s="48" t="n"/>
      <c r="AH313" s="48" t="n"/>
      <c r="AI313" s="48" t="n"/>
      <c r="AJ313" s="48" t="n"/>
      <c r="AK313" s="48" t="n"/>
      <c r="AL313" s="53" t="n"/>
      <c r="AM313" s="52" t="n"/>
      <c r="AN313" s="48" t="n"/>
      <c r="AO313" s="48" t="n"/>
      <c r="AP313" s="48" t="n"/>
      <c r="AQ313" s="48" t="n"/>
      <c r="AR313" s="48" t="n"/>
      <c r="AS313" s="48" t="n"/>
      <c r="AT313" s="48" t="n"/>
      <c r="AU313" s="48" t="n"/>
      <c r="AV313" s="48" t="n"/>
      <c r="AW313" s="48" t="n"/>
      <c r="AX313" s="48" t="n"/>
      <c r="AY313" s="48" t="n"/>
      <c r="AZ313" s="48" t="n"/>
      <c r="BA313" s="48" t="n"/>
      <c r="BB313" s="48" t="n"/>
      <c r="BC313" s="48" t="n"/>
      <c r="BD313" s="48" t="n"/>
      <c r="BE313" s="48" t="n"/>
      <c r="BF313" s="48" t="n"/>
      <c r="BG313" s="48" t="n"/>
      <c r="BH313" s="48" t="n"/>
      <c r="BI313" s="48" t="n"/>
      <c r="BJ313" s="48" t="n"/>
      <c r="BK313" s="48" t="n"/>
      <c r="BL313" s="48" t="n"/>
      <c r="BM313" s="48" t="n"/>
      <c r="BN313" s="48" t="n"/>
    </row>
    <row r="314">
      <c r="A314" s="47" t="n"/>
      <c r="B314" s="48" t="n"/>
      <c r="C314" s="48" t="n"/>
      <c r="D314" s="49" t="n"/>
      <c r="E314" s="48" t="n"/>
      <c r="F314" s="48" t="n"/>
      <c r="G314" s="50" t="n"/>
      <c r="H314" s="51" t="n"/>
      <c r="I314" s="51" t="n"/>
      <c r="J314" s="48" t="n"/>
      <c r="K314" s="52" t="n"/>
      <c r="L314" s="48" t="n"/>
      <c r="M314" s="48" t="n"/>
      <c r="N314" s="48" t="n"/>
      <c r="O314" s="48" t="n"/>
      <c r="P314" s="48" t="n"/>
      <c r="Q314" s="48" t="n"/>
      <c r="R314" s="48" t="n"/>
      <c r="S314" s="48" t="n"/>
      <c r="T314" s="48" t="n"/>
      <c r="U314" s="48" t="n"/>
      <c r="V314" s="48" t="n"/>
      <c r="W314" s="48" t="n"/>
      <c r="X314" s="48" t="n"/>
      <c r="Y314" s="48" t="n"/>
      <c r="Z314" s="48" t="n"/>
      <c r="AA314" s="48" t="n"/>
      <c r="AB314" s="48" t="n"/>
      <c r="AC314" s="48" t="n"/>
      <c r="AD314" s="48" t="n"/>
      <c r="AE314" s="48" t="n"/>
      <c r="AF314" s="48" t="n"/>
      <c r="AG314" s="48" t="n"/>
      <c r="AH314" s="48" t="n"/>
      <c r="AI314" s="48" t="n"/>
      <c r="AJ314" s="48" t="n"/>
      <c r="AK314" s="48" t="n"/>
      <c r="AL314" s="53" t="n"/>
      <c r="AM314" s="52" t="n"/>
      <c r="AN314" s="48" t="n"/>
      <c r="AO314" s="48" t="n"/>
      <c r="AP314" s="48" t="n"/>
      <c r="AQ314" s="48" t="n"/>
      <c r="AR314" s="48" t="n"/>
      <c r="AS314" s="48" t="n"/>
      <c r="AT314" s="48" t="n"/>
      <c r="AU314" s="48" t="n"/>
      <c r="AV314" s="48" t="n"/>
      <c r="AW314" s="48" t="n"/>
      <c r="AX314" s="48" t="n"/>
      <c r="AY314" s="48" t="n"/>
      <c r="AZ314" s="48" t="n"/>
      <c r="BA314" s="48" t="n"/>
      <c r="BB314" s="48" t="n"/>
      <c r="BC314" s="48" t="n"/>
      <c r="BD314" s="48" t="n"/>
      <c r="BE314" s="48" t="n"/>
      <c r="BF314" s="48" t="n"/>
      <c r="BG314" s="48" t="n"/>
      <c r="BH314" s="48" t="n"/>
      <c r="BI314" s="48" t="n"/>
      <c r="BJ314" s="48" t="n"/>
      <c r="BK314" s="48" t="n"/>
      <c r="BL314" s="48" t="n"/>
      <c r="BM314" s="48" t="n"/>
      <c r="BN314" s="48" t="n"/>
    </row>
    <row r="315">
      <c r="A315" s="47" t="n"/>
      <c r="B315" s="48" t="n"/>
      <c r="C315" s="48" t="n"/>
      <c r="D315" s="49" t="n"/>
      <c r="E315" s="48" t="n"/>
      <c r="F315" s="48" t="n"/>
      <c r="G315" s="50" t="n"/>
      <c r="H315" s="51" t="n"/>
      <c r="I315" s="51" t="n"/>
      <c r="J315" s="48" t="n"/>
      <c r="K315" s="52" t="n"/>
      <c r="L315" s="48" t="n"/>
      <c r="M315" s="48" t="n"/>
      <c r="N315" s="48" t="n"/>
      <c r="O315" s="48" t="n"/>
      <c r="P315" s="48" t="n"/>
      <c r="Q315" s="48" t="n"/>
      <c r="R315" s="48" t="n"/>
      <c r="S315" s="48" t="n"/>
      <c r="T315" s="48" t="n"/>
      <c r="U315" s="48" t="n"/>
      <c r="V315" s="48" t="n"/>
      <c r="W315" s="48" t="n"/>
      <c r="X315" s="48" t="n"/>
      <c r="Y315" s="48" t="n"/>
      <c r="Z315" s="48" t="n"/>
      <c r="AA315" s="48" t="n"/>
      <c r="AB315" s="48" t="n"/>
      <c r="AC315" s="48" t="n"/>
      <c r="AD315" s="48" t="n"/>
      <c r="AE315" s="48" t="n"/>
      <c r="AF315" s="48" t="n"/>
      <c r="AG315" s="48" t="n"/>
      <c r="AH315" s="48" t="n"/>
      <c r="AI315" s="48" t="n"/>
      <c r="AJ315" s="48" t="n"/>
      <c r="AK315" s="48" t="n"/>
      <c r="AL315" s="53" t="n"/>
      <c r="AM315" s="52" t="n"/>
      <c r="AN315" s="48" t="n"/>
      <c r="AO315" s="48" t="n"/>
      <c r="AP315" s="48" t="n"/>
      <c r="AQ315" s="48" t="n"/>
      <c r="AR315" s="48" t="n"/>
      <c r="AS315" s="48" t="n"/>
      <c r="AT315" s="48" t="n"/>
      <c r="AU315" s="48" t="n"/>
      <c r="AV315" s="48" t="n"/>
      <c r="AW315" s="48" t="n"/>
      <c r="AX315" s="48" t="n"/>
      <c r="AY315" s="48" t="n"/>
      <c r="AZ315" s="48" t="n"/>
      <c r="BA315" s="48" t="n"/>
      <c r="BB315" s="48" t="n"/>
      <c r="BC315" s="48" t="n"/>
      <c r="BD315" s="48" t="n"/>
      <c r="BE315" s="48" t="n"/>
      <c r="BF315" s="48" t="n"/>
      <c r="BG315" s="48" t="n"/>
      <c r="BH315" s="48" t="n"/>
      <c r="BI315" s="48" t="n"/>
      <c r="BJ315" s="48" t="n"/>
      <c r="BK315" s="48" t="n"/>
      <c r="BL315" s="48" t="n"/>
      <c r="BM315" s="48" t="n"/>
      <c r="BN315" s="48" t="n"/>
    </row>
    <row r="316">
      <c r="A316" s="47" t="n"/>
      <c r="B316" s="48" t="n"/>
      <c r="C316" s="48" t="n"/>
      <c r="D316" s="49" t="n"/>
      <c r="E316" s="48" t="n"/>
      <c r="F316" s="48" t="n"/>
      <c r="G316" s="50" t="n"/>
      <c r="H316" s="51" t="n"/>
      <c r="I316" s="51" t="n"/>
      <c r="J316" s="48" t="n"/>
      <c r="K316" s="52" t="n"/>
      <c r="L316" s="48" t="n"/>
      <c r="M316" s="48" t="n"/>
      <c r="N316" s="48" t="n"/>
      <c r="O316" s="48" t="n"/>
      <c r="P316" s="48" t="n"/>
      <c r="Q316" s="48" t="n"/>
      <c r="R316" s="48" t="n"/>
      <c r="S316" s="48" t="n"/>
      <c r="T316" s="48" t="n"/>
      <c r="U316" s="48" t="n"/>
      <c r="V316" s="48" t="n"/>
      <c r="W316" s="48" t="n"/>
      <c r="X316" s="48" t="n"/>
      <c r="Y316" s="48" t="n"/>
      <c r="Z316" s="48" t="n"/>
      <c r="AA316" s="48" t="n"/>
      <c r="AB316" s="48" t="n"/>
      <c r="AC316" s="48" t="n"/>
      <c r="AD316" s="48" t="n"/>
      <c r="AE316" s="48" t="n"/>
      <c r="AF316" s="48" t="n"/>
      <c r="AG316" s="48" t="n"/>
      <c r="AH316" s="48" t="n"/>
      <c r="AI316" s="48" t="n"/>
      <c r="AJ316" s="48" t="n"/>
      <c r="AK316" s="48" t="n"/>
      <c r="AL316" s="53" t="n"/>
      <c r="AM316" s="52" t="n"/>
      <c r="AN316" s="48" t="n"/>
      <c r="AO316" s="48" t="n"/>
      <c r="AP316" s="48" t="n"/>
      <c r="AQ316" s="48" t="n"/>
      <c r="AR316" s="48" t="n"/>
      <c r="AS316" s="48" t="n"/>
      <c r="AT316" s="48" t="n"/>
      <c r="AU316" s="48" t="n"/>
      <c r="AV316" s="48" t="n"/>
      <c r="AW316" s="48" t="n"/>
      <c r="AX316" s="48" t="n"/>
      <c r="AY316" s="48" t="n"/>
      <c r="AZ316" s="48" t="n"/>
      <c r="BA316" s="48" t="n"/>
      <c r="BB316" s="48" t="n"/>
      <c r="BC316" s="48" t="n"/>
      <c r="BD316" s="48" t="n"/>
      <c r="BE316" s="48" t="n"/>
      <c r="BF316" s="48" t="n"/>
      <c r="BG316" s="48" t="n"/>
      <c r="BH316" s="48" t="n"/>
      <c r="BI316" s="48" t="n"/>
      <c r="BJ316" s="48" t="n"/>
      <c r="BK316" s="48" t="n"/>
      <c r="BL316" s="48" t="n"/>
      <c r="BM316" s="48" t="n"/>
      <c r="BN316" s="48" t="n"/>
    </row>
    <row r="317">
      <c r="A317" s="47" t="n"/>
      <c r="B317" s="48" t="n"/>
      <c r="C317" s="48" t="n"/>
      <c r="D317" s="49" t="n"/>
      <c r="E317" s="48" t="n"/>
      <c r="F317" s="48" t="n"/>
      <c r="G317" s="50" t="n"/>
      <c r="H317" s="51" t="n"/>
      <c r="I317" s="51" t="n"/>
      <c r="J317" s="48" t="n"/>
      <c r="K317" s="52" t="n"/>
      <c r="L317" s="48" t="n"/>
      <c r="M317" s="48" t="n"/>
      <c r="N317" s="48" t="n"/>
      <c r="O317" s="48" t="n"/>
      <c r="P317" s="48" t="n"/>
      <c r="Q317" s="48" t="n"/>
      <c r="R317" s="48" t="n"/>
      <c r="S317" s="48" t="n"/>
      <c r="T317" s="48" t="n"/>
      <c r="U317" s="48" t="n"/>
      <c r="V317" s="48" t="n"/>
      <c r="W317" s="48" t="n"/>
      <c r="X317" s="48" t="n"/>
      <c r="Y317" s="48" t="n"/>
      <c r="Z317" s="48" t="n"/>
      <c r="AA317" s="48" t="n"/>
      <c r="AB317" s="48" t="n"/>
      <c r="AC317" s="48" t="n"/>
      <c r="AD317" s="48" t="n"/>
      <c r="AE317" s="48" t="n"/>
      <c r="AF317" s="48" t="n"/>
      <c r="AG317" s="48" t="n"/>
      <c r="AH317" s="48" t="n"/>
      <c r="AI317" s="48" t="n"/>
      <c r="AJ317" s="48" t="n"/>
      <c r="AK317" s="48" t="n"/>
      <c r="AL317" s="53" t="n"/>
      <c r="AM317" s="52" t="n"/>
      <c r="AN317" s="48" t="n"/>
      <c r="AO317" s="48" t="n"/>
      <c r="AP317" s="48" t="n"/>
      <c r="AQ317" s="48" t="n"/>
      <c r="AR317" s="48" t="n"/>
      <c r="AS317" s="48" t="n"/>
      <c r="AT317" s="48" t="n"/>
      <c r="AU317" s="48" t="n"/>
      <c r="AV317" s="48" t="n"/>
      <c r="AW317" s="48" t="n"/>
      <c r="AX317" s="48" t="n"/>
      <c r="AY317" s="48" t="n"/>
      <c r="AZ317" s="48" t="n"/>
      <c r="BA317" s="48" t="n"/>
      <c r="BB317" s="48" t="n"/>
      <c r="BC317" s="48" t="n"/>
      <c r="BD317" s="48" t="n"/>
      <c r="BE317" s="48" t="n"/>
      <c r="BF317" s="48" t="n"/>
      <c r="BG317" s="48" t="n"/>
      <c r="BH317" s="48" t="n"/>
      <c r="BI317" s="48" t="n"/>
      <c r="BJ317" s="48" t="n"/>
      <c r="BK317" s="48" t="n"/>
      <c r="BL317" s="48" t="n"/>
      <c r="BM317" s="48" t="n"/>
      <c r="BN317" s="48" t="n"/>
    </row>
    <row r="318">
      <c r="A318" s="47" t="n"/>
      <c r="B318" s="48" t="n"/>
      <c r="C318" s="48" t="n"/>
      <c r="D318" s="49" t="n"/>
      <c r="E318" s="48" t="n"/>
      <c r="F318" s="48" t="n"/>
      <c r="G318" s="50" t="n"/>
      <c r="H318" s="51" t="n"/>
      <c r="I318" s="51" t="n"/>
      <c r="J318" s="48" t="n"/>
      <c r="K318" s="52" t="n"/>
      <c r="L318" s="48" t="n"/>
      <c r="M318" s="48" t="n"/>
      <c r="N318" s="48" t="n"/>
      <c r="O318" s="48" t="n"/>
      <c r="P318" s="48" t="n"/>
      <c r="Q318" s="48" t="n"/>
      <c r="R318" s="48" t="n"/>
      <c r="S318" s="48" t="n"/>
      <c r="T318" s="48" t="n"/>
      <c r="U318" s="48" t="n"/>
      <c r="V318" s="48" t="n"/>
      <c r="W318" s="48" t="n"/>
      <c r="X318" s="48" t="n"/>
      <c r="Y318" s="48" t="n"/>
      <c r="Z318" s="48" t="n"/>
      <c r="AA318" s="48" t="n"/>
      <c r="AB318" s="48" t="n"/>
      <c r="AC318" s="48" t="n"/>
      <c r="AD318" s="48" t="n"/>
      <c r="AE318" s="48" t="n"/>
      <c r="AF318" s="48" t="n"/>
      <c r="AG318" s="48" t="n"/>
      <c r="AH318" s="48" t="n"/>
      <c r="AI318" s="48" t="n"/>
      <c r="AJ318" s="48" t="n"/>
      <c r="AK318" s="48" t="n"/>
      <c r="AL318" s="53" t="n"/>
      <c r="AM318" s="52" t="n"/>
      <c r="AN318" s="48" t="n"/>
      <c r="AO318" s="48" t="n"/>
      <c r="AP318" s="48" t="n"/>
      <c r="AQ318" s="48" t="n"/>
      <c r="AR318" s="48" t="n"/>
      <c r="AS318" s="48" t="n"/>
      <c r="AT318" s="48" t="n"/>
      <c r="AU318" s="48" t="n"/>
      <c r="AV318" s="48" t="n"/>
      <c r="AW318" s="48" t="n"/>
      <c r="AX318" s="48" t="n"/>
      <c r="AY318" s="48" t="n"/>
      <c r="AZ318" s="48" t="n"/>
      <c r="BA318" s="48" t="n"/>
      <c r="BB318" s="48" t="n"/>
      <c r="BC318" s="48" t="n"/>
      <c r="BD318" s="48" t="n"/>
      <c r="BE318" s="48" t="n"/>
      <c r="BF318" s="48" t="n"/>
      <c r="BG318" s="48" t="n"/>
      <c r="BH318" s="48" t="n"/>
      <c r="BI318" s="48" t="n"/>
      <c r="BJ318" s="48" t="n"/>
      <c r="BK318" s="48" t="n"/>
      <c r="BL318" s="48" t="n"/>
      <c r="BM318" s="48" t="n"/>
      <c r="BN318" s="48" t="n"/>
    </row>
    <row r="319">
      <c r="A319" s="47" t="n"/>
      <c r="B319" s="48" t="n"/>
      <c r="C319" s="48" t="n"/>
      <c r="D319" s="49" t="n"/>
      <c r="E319" s="48" t="n"/>
      <c r="F319" s="48" t="n"/>
      <c r="G319" s="50" t="n"/>
      <c r="H319" s="51" t="n"/>
      <c r="I319" s="51" t="n"/>
      <c r="J319" s="48" t="n"/>
      <c r="K319" s="52" t="n"/>
      <c r="L319" s="48" t="n"/>
      <c r="M319" s="48" t="n"/>
      <c r="N319" s="48" t="n"/>
      <c r="O319" s="48" t="n"/>
      <c r="P319" s="48" t="n"/>
      <c r="Q319" s="48" t="n"/>
      <c r="R319" s="48" t="n"/>
      <c r="S319" s="48" t="n"/>
      <c r="T319" s="48" t="n"/>
      <c r="U319" s="48" t="n"/>
      <c r="V319" s="48" t="n"/>
      <c r="W319" s="48" t="n"/>
      <c r="X319" s="48" t="n"/>
      <c r="Y319" s="48" t="n"/>
      <c r="Z319" s="48" t="n"/>
      <c r="AA319" s="48" t="n"/>
      <c r="AB319" s="48" t="n"/>
      <c r="AC319" s="48" t="n"/>
      <c r="AD319" s="48" t="n"/>
      <c r="AE319" s="48" t="n"/>
      <c r="AF319" s="48" t="n"/>
      <c r="AG319" s="48" t="n"/>
      <c r="AH319" s="48" t="n"/>
      <c r="AI319" s="48" t="n"/>
      <c r="AJ319" s="48" t="n"/>
      <c r="AK319" s="48" t="n"/>
      <c r="AL319" s="53" t="n"/>
      <c r="AM319" s="52" t="n"/>
      <c r="AN319" s="48" t="n"/>
      <c r="AO319" s="48" t="n"/>
      <c r="AP319" s="48" t="n"/>
      <c r="AQ319" s="48" t="n"/>
      <c r="AR319" s="48" t="n"/>
      <c r="AS319" s="48" t="n"/>
      <c r="AT319" s="48" t="n"/>
      <c r="AU319" s="48" t="n"/>
      <c r="AV319" s="48" t="n"/>
      <c r="AW319" s="48" t="n"/>
      <c r="AX319" s="48" t="n"/>
      <c r="AY319" s="48" t="n"/>
      <c r="AZ319" s="48" t="n"/>
      <c r="BA319" s="48" t="n"/>
      <c r="BB319" s="48" t="n"/>
      <c r="BC319" s="48" t="n"/>
      <c r="BD319" s="48" t="n"/>
      <c r="BE319" s="48" t="n"/>
      <c r="BF319" s="48" t="n"/>
      <c r="BG319" s="48" t="n"/>
      <c r="BH319" s="48" t="n"/>
      <c r="BI319" s="48" t="n"/>
      <c r="BJ319" s="48" t="n"/>
      <c r="BK319" s="48" t="n"/>
      <c r="BL319" s="48" t="n"/>
      <c r="BM319" s="48" t="n"/>
      <c r="BN319" s="48" t="n"/>
    </row>
    <row r="320">
      <c r="A320" s="47" t="n"/>
      <c r="B320" s="48" t="n"/>
      <c r="C320" s="48" t="n"/>
      <c r="D320" s="49" t="n"/>
      <c r="E320" s="48" t="n"/>
      <c r="F320" s="48" t="n"/>
      <c r="G320" s="50" t="n"/>
      <c r="H320" s="51" t="n"/>
      <c r="I320" s="51" t="n"/>
      <c r="J320" s="48" t="n"/>
      <c r="K320" s="52" t="n"/>
      <c r="L320" s="48" t="n"/>
      <c r="M320" s="48" t="n"/>
      <c r="N320" s="48" t="n"/>
      <c r="O320" s="48" t="n"/>
      <c r="P320" s="48" t="n"/>
      <c r="Q320" s="48" t="n"/>
      <c r="R320" s="48" t="n"/>
      <c r="S320" s="48" t="n"/>
      <c r="T320" s="48" t="n"/>
      <c r="U320" s="48" t="n"/>
      <c r="V320" s="48" t="n"/>
      <c r="W320" s="48" t="n"/>
      <c r="X320" s="48" t="n"/>
      <c r="Y320" s="48" t="n"/>
      <c r="Z320" s="48" t="n"/>
      <c r="AA320" s="48" t="n"/>
      <c r="AB320" s="48" t="n"/>
      <c r="AC320" s="48" t="n"/>
      <c r="AD320" s="48" t="n"/>
      <c r="AE320" s="48" t="n"/>
      <c r="AF320" s="48" t="n"/>
      <c r="AG320" s="48" t="n"/>
      <c r="AH320" s="48" t="n"/>
      <c r="AI320" s="48" t="n"/>
      <c r="AJ320" s="48" t="n"/>
      <c r="AK320" s="48" t="n"/>
      <c r="AL320" s="53" t="n"/>
      <c r="AM320" s="52" t="n"/>
      <c r="AN320" s="48" t="n"/>
      <c r="AO320" s="48" t="n"/>
      <c r="AP320" s="48" t="n"/>
      <c r="AQ320" s="48" t="n"/>
      <c r="AR320" s="48" t="n"/>
      <c r="AS320" s="48" t="n"/>
      <c r="AT320" s="48" t="n"/>
      <c r="AU320" s="48" t="n"/>
      <c r="AV320" s="48" t="n"/>
      <c r="AW320" s="48" t="n"/>
      <c r="AX320" s="48" t="n"/>
      <c r="AY320" s="48" t="n"/>
      <c r="AZ320" s="48" t="n"/>
      <c r="BA320" s="48" t="n"/>
      <c r="BB320" s="48" t="n"/>
      <c r="BC320" s="48" t="n"/>
      <c r="BD320" s="48" t="n"/>
      <c r="BE320" s="48" t="n"/>
      <c r="BF320" s="48" t="n"/>
      <c r="BG320" s="48" t="n"/>
      <c r="BH320" s="48" t="n"/>
      <c r="BI320" s="48" t="n"/>
      <c r="BJ320" s="48" t="n"/>
      <c r="BK320" s="48" t="n"/>
      <c r="BL320" s="48" t="n"/>
      <c r="BM320" s="48" t="n"/>
      <c r="BN320" s="48" t="n"/>
    </row>
    <row r="321">
      <c r="A321" s="47" t="n"/>
      <c r="B321" s="48" t="n"/>
      <c r="C321" s="48" t="n"/>
      <c r="D321" s="49" t="n"/>
      <c r="E321" s="48" t="n"/>
      <c r="F321" s="48" t="n"/>
      <c r="G321" s="50" t="n"/>
      <c r="H321" s="51" t="n"/>
      <c r="I321" s="51" t="n"/>
      <c r="J321" s="48" t="n"/>
      <c r="K321" s="52" t="n"/>
      <c r="L321" s="48" t="n"/>
      <c r="M321" s="48" t="n"/>
      <c r="N321" s="48" t="n"/>
      <c r="O321" s="48" t="n"/>
      <c r="P321" s="48" t="n"/>
      <c r="Q321" s="48" t="n"/>
      <c r="R321" s="48" t="n"/>
      <c r="S321" s="48" t="n"/>
      <c r="T321" s="48" t="n"/>
      <c r="U321" s="48" t="n"/>
      <c r="V321" s="48" t="n"/>
      <c r="W321" s="48" t="n"/>
      <c r="X321" s="48" t="n"/>
      <c r="Y321" s="48" t="n"/>
      <c r="Z321" s="48" t="n"/>
      <c r="AA321" s="48" t="n"/>
      <c r="AB321" s="48" t="n"/>
      <c r="AC321" s="48" t="n"/>
      <c r="AD321" s="48" t="n"/>
      <c r="AE321" s="48" t="n"/>
      <c r="AF321" s="48" t="n"/>
      <c r="AG321" s="48" t="n"/>
      <c r="AH321" s="48" t="n"/>
      <c r="AI321" s="48" t="n"/>
      <c r="AJ321" s="48" t="n"/>
      <c r="AK321" s="48" t="n"/>
      <c r="AL321" s="53" t="n"/>
      <c r="AM321" s="52" t="n"/>
      <c r="AN321" s="48" t="n"/>
      <c r="AO321" s="48" t="n"/>
      <c r="AP321" s="48" t="n"/>
      <c r="AQ321" s="48" t="n"/>
      <c r="AR321" s="48" t="n"/>
      <c r="AS321" s="48" t="n"/>
      <c r="AT321" s="48" t="n"/>
      <c r="AU321" s="48" t="n"/>
      <c r="AV321" s="48" t="n"/>
      <c r="AW321" s="48" t="n"/>
      <c r="AX321" s="48" t="n"/>
      <c r="AY321" s="48" t="n"/>
      <c r="AZ321" s="48" t="n"/>
      <c r="BA321" s="48" t="n"/>
      <c r="BB321" s="48" t="n"/>
      <c r="BC321" s="48" t="n"/>
      <c r="BD321" s="48" t="n"/>
      <c r="BE321" s="48" t="n"/>
      <c r="BF321" s="48" t="n"/>
      <c r="BG321" s="48" t="n"/>
      <c r="BH321" s="48" t="n"/>
      <c r="BI321" s="48" t="n"/>
      <c r="BJ321" s="48" t="n"/>
      <c r="BK321" s="48" t="n"/>
      <c r="BL321" s="48" t="n"/>
      <c r="BM321" s="48" t="n"/>
      <c r="BN321" s="48" t="n"/>
    </row>
    <row r="322">
      <c r="A322" s="47" t="n"/>
      <c r="B322" s="48" t="n"/>
      <c r="C322" s="48" t="n"/>
      <c r="D322" s="49" t="n"/>
      <c r="E322" s="48" t="n"/>
      <c r="F322" s="48" t="n"/>
      <c r="G322" s="50" t="n"/>
      <c r="H322" s="51" t="n"/>
      <c r="I322" s="51" t="n"/>
      <c r="J322" s="48" t="n"/>
      <c r="K322" s="52" t="n"/>
      <c r="L322" s="48" t="n"/>
      <c r="M322" s="48" t="n"/>
      <c r="N322" s="48" t="n"/>
      <c r="O322" s="48" t="n"/>
      <c r="P322" s="48" t="n"/>
      <c r="Q322" s="48" t="n"/>
      <c r="R322" s="48" t="n"/>
      <c r="S322" s="48" t="n"/>
      <c r="T322" s="48" t="n"/>
      <c r="U322" s="48" t="n"/>
      <c r="V322" s="48" t="n"/>
      <c r="W322" s="48" t="n"/>
      <c r="X322" s="48" t="n"/>
      <c r="Y322" s="48" t="n"/>
      <c r="Z322" s="48" t="n"/>
      <c r="AA322" s="48" t="n"/>
      <c r="AB322" s="48" t="n"/>
      <c r="AC322" s="48" t="n"/>
      <c r="AD322" s="48" t="n"/>
      <c r="AE322" s="48" t="n"/>
      <c r="AF322" s="48" t="n"/>
      <c r="AG322" s="48" t="n"/>
      <c r="AH322" s="48" t="n"/>
      <c r="AI322" s="48" t="n"/>
      <c r="AJ322" s="48" t="n"/>
      <c r="AK322" s="48" t="n"/>
      <c r="AL322" s="53" t="n"/>
      <c r="AM322" s="52" t="n"/>
      <c r="AN322" s="48" t="n"/>
      <c r="AO322" s="48" t="n"/>
      <c r="AP322" s="48" t="n"/>
      <c r="AQ322" s="48" t="n"/>
      <c r="AR322" s="48" t="n"/>
      <c r="AS322" s="48" t="n"/>
      <c r="AT322" s="48" t="n"/>
      <c r="AU322" s="48" t="n"/>
      <c r="AV322" s="48" t="n"/>
      <c r="AW322" s="48" t="n"/>
      <c r="AX322" s="48" t="n"/>
      <c r="AY322" s="48" t="n"/>
      <c r="AZ322" s="48" t="n"/>
      <c r="BA322" s="48" t="n"/>
      <c r="BB322" s="48" t="n"/>
      <c r="BC322" s="48" t="n"/>
      <c r="BD322" s="48" t="n"/>
      <c r="BE322" s="48" t="n"/>
      <c r="BF322" s="48" t="n"/>
      <c r="BG322" s="48" t="n"/>
      <c r="BH322" s="48" t="n"/>
      <c r="BI322" s="48" t="n"/>
      <c r="BJ322" s="48" t="n"/>
      <c r="BK322" s="48" t="n"/>
      <c r="BL322" s="48" t="n"/>
      <c r="BM322" s="48" t="n"/>
      <c r="BN322" s="48" t="n"/>
    </row>
    <row r="323">
      <c r="A323" s="47" t="n"/>
      <c r="B323" s="48" t="n"/>
      <c r="C323" s="48" t="n"/>
      <c r="D323" s="49" t="n"/>
      <c r="E323" s="48" t="n"/>
      <c r="F323" s="48" t="n"/>
      <c r="G323" s="50" t="n"/>
      <c r="H323" s="51" t="n"/>
      <c r="I323" s="51" t="n"/>
      <c r="J323" s="48" t="n"/>
      <c r="K323" s="52" t="n"/>
      <c r="L323" s="48" t="n"/>
      <c r="M323" s="48" t="n"/>
      <c r="N323" s="48" t="n"/>
      <c r="O323" s="48" t="n"/>
      <c r="P323" s="48" t="n"/>
      <c r="Q323" s="48" t="n"/>
      <c r="R323" s="48" t="n"/>
      <c r="S323" s="48" t="n"/>
      <c r="T323" s="48" t="n"/>
      <c r="U323" s="48" t="n"/>
      <c r="V323" s="48" t="n"/>
      <c r="W323" s="48" t="n"/>
      <c r="X323" s="48" t="n"/>
      <c r="Y323" s="48" t="n"/>
      <c r="Z323" s="48" t="n"/>
      <c r="AA323" s="48" t="n"/>
      <c r="AB323" s="48" t="n"/>
      <c r="AC323" s="48" t="n"/>
      <c r="AD323" s="48" t="n"/>
      <c r="AE323" s="48" t="n"/>
      <c r="AF323" s="48" t="n"/>
      <c r="AG323" s="48" t="n"/>
      <c r="AH323" s="48" t="n"/>
      <c r="AI323" s="48" t="n"/>
      <c r="AJ323" s="48" t="n"/>
      <c r="AK323" s="48" t="n"/>
      <c r="AL323" s="53" t="n"/>
      <c r="AM323" s="52" t="n"/>
      <c r="AN323" s="48" t="n"/>
      <c r="AO323" s="48" t="n"/>
      <c r="AP323" s="48" t="n"/>
      <c r="AQ323" s="48" t="n"/>
      <c r="AR323" s="48" t="n"/>
      <c r="AS323" s="48" t="n"/>
      <c r="AT323" s="48" t="n"/>
      <c r="AU323" s="48" t="n"/>
      <c r="AV323" s="48" t="n"/>
      <c r="AW323" s="48" t="n"/>
      <c r="AX323" s="48" t="n"/>
      <c r="AY323" s="48" t="n"/>
      <c r="AZ323" s="48" t="n"/>
      <c r="BA323" s="48" t="n"/>
      <c r="BB323" s="48" t="n"/>
      <c r="BC323" s="48" t="n"/>
      <c r="BD323" s="48" t="n"/>
      <c r="BE323" s="48" t="n"/>
      <c r="BF323" s="48" t="n"/>
      <c r="BG323" s="48" t="n"/>
      <c r="BH323" s="48" t="n"/>
      <c r="BI323" s="48" t="n"/>
      <c r="BJ323" s="48" t="n"/>
      <c r="BK323" s="48" t="n"/>
      <c r="BL323" s="48" t="n"/>
      <c r="BM323" s="48" t="n"/>
      <c r="BN323" s="48" t="n"/>
    </row>
    <row r="324">
      <c r="A324" s="47" t="n"/>
      <c r="B324" s="48" t="n"/>
      <c r="C324" s="48" t="n"/>
      <c r="D324" s="49" t="n"/>
      <c r="E324" s="48" t="n"/>
      <c r="F324" s="48" t="n"/>
      <c r="G324" s="50" t="n"/>
      <c r="H324" s="51" t="n"/>
      <c r="I324" s="51" t="n"/>
      <c r="J324" s="48" t="n"/>
      <c r="K324" s="52" t="n"/>
      <c r="L324" s="48" t="n"/>
      <c r="M324" s="48" t="n"/>
      <c r="N324" s="48" t="n"/>
      <c r="O324" s="48" t="n"/>
      <c r="P324" s="48" t="n"/>
      <c r="Q324" s="48" t="n"/>
      <c r="R324" s="48" t="n"/>
      <c r="S324" s="48" t="n"/>
      <c r="T324" s="48" t="n"/>
      <c r="U324" s="48" t="n"/>
      <c r="V324" s="48" t="n"/>
      <c r="W324" s="48" t="n"/>
      <c r="X324" s="48" t="n"/>
      <c r="Y324" s="48" t="n"/>
      <c r="Z324" s="48" t="n"/>
      <c r="AA324" s="48" t="n"/>
      <c r="AB324" s="48" t="n"/>
      <c r="AC324" s="48" t="n"/>
      <c r="AD324" s="48" t="n"/>
      <c r="AE324" s="48" t="n"/>
      <c r="AF324" s="48" t="n"/>
      <c r="AG324" s="48" t="n"/>
      <c r="AH324" s="48" t="n"/>
      <c r="AI324" s="48" t="n"/>
      <c r="AJ324" s="48" t="n"/>
      <c r="AK324" s="48" t="n"/>
      <c r="AL324" s="53" t="n"/>
      <c r="AM324" s="52" t="n"/>
      <c r="AN324" s="48" t="n"/>
      <c r="AO324" s="48" t="n"/>
      <c r="AP324" s="48" t="n"/>
      <c r="AQ324" s="48" t="n"/>
      <c r="AR324" s="48" t="n"/>
      <c r="AS324" s="48" t="n"/>
      <c r="AT324" s="48" t="n"/>
      <c r="AU324" s="48" t="n"/>
      <c r="AV324" s="48" t="n"/>
      <c r="AW324" s="48" t="n"/>
      <c r="AX324" s="48" t="n"/>
      <c r="AY324" s="48" t="n"/>
      <c r="AZ324" s="48" t="n"/>
      <c r="BA324" s="48" t="n"/>
      <c r="BB324" s="48" t="n"/>
      <c r="BC324" s="48" t="n"/>
      <c r="BD324" s="48" t="n"/>
      <c r="BE324" s="48" t="n"/>
      <c r="BF324" s="48" t="n"/>
      <c r="BG324" s="48" t="n"/>
      <c r="BH324" s="48" t="n"/>
      <c r="BI324" s="48" t="n"/>
      <c r="BJ324" s="48" t="n"/>
      <c r="BK324" s="48" t="n"/>
      <c r="BL324" s="48" t="n"/>
      <c r="BM324" s="48" t="n"/>
      <c r="BN324" s="48" t="n"/>
    </row>
    <row r="325">
      <c r="A325" s="47" t="n"/>
      <c r="B325" s="48" t="n"/>
      <c r="C325" s="48" t="n"/>
      <c r="D325" s="49" t="n"/>
      <c r="E325" s="48" t="n"/>
      <c r="F325" s="48" t="n"/>
      <c r="G325" s="50" t="n"/>
      <c r="H325" s="51" t="n"/>
      <c r="I325" s="51" t="n"/>
      <c r="J325" s="48" t="n"/>
      <c r="K325" s="52" t="n"/>
      <c r="L325" s="48" t="n"/>
      <c r="M325" s="48" t="n"/>
      <c r="N325" s="48" t="n"/>
      <c r="O325" s="48" t="n"/>
      <c r="P325" s="48" t="n"/>
      <c r="Q325" s="48" t="n"/>
      <c r="R325" s="48" t="n"/>
      <c r="S325" s="48" t="n"/>
      <c r="T325" s="48" t="n"/>
      <c r="U325" s="48" t="n"/>
      <c r="V325" s="48" t="n"/>
      <c r="W325" s="48" t="n"/>
      <c r="X325" s="48" t="n"/>
      <c r="Y325" s="48" t="n"/>
      <c r="Z325" s="48" t="n"/>
      <c r="AA325" s="48" t="n"/>
      <c r="AB325" s="48" t="n"/>
      <c r="AC325" s="48" t="n"/>
      <c r="AD325" s="48" t="n"/>
      <c r="AE325" s="48" t="n"/>
      <c r="AF325" s="48" t="n"/>
      <c r="AG325" s="48" t="n"/>
      <c r="AH325" s="48" t="n"/>
      <c r="AI325" s="48" t="n"/>
      <c r="AJ325" s="48" t="n"/>
      <c r="AK325" s="48" t="n"/>
      <c r="AL325" s="53" t="n"/>
      <c r="AM325" s="52" t="n"/>
      <c r="AN325" s="48" t="n"/>
      <c r="AO325" s="48" t="n"/>
      <c r="AP325" s="48" t="n"/>
      <c r="AQ325" s="48" t="n"/>
      <c r="AR325" s="48" t="n"/>
      <c r="AS325" s="48" t="n"/>
      <c r="AT325" s="48" t="n"/>
      <c r="AU325" s="48" t="n"/>
      <c r="AV325" s="48" t="n"/>
      <c r="AW325" s="48" t="n"/>
      <c r="AX325" s="48" t="n"/>
      <c r="AY325" s="48" t="n"/>
      <c r="AZ325" s="48" t="n"/>
      <c r="BA325" s="48" t="n"/>
      <c r="BB325" s="48" t="n"/>
      <c r="BC325" s="48" t="n"/>
      <c r="BD325" s="48" t="n"/>
      <c r="BE325" s="48" t="n"/>
      <c r="BF325" s="48" t="n"/>
      <c r="BG325" s="48" t="n"/>
      <c r="BH325" s="48" t="n"/>
      <c r="BI325" s="48" t="n"/>
      <c r="BJ325" s="48" t="n"/>
      <c r="BK325" s="48" t="n"/>
      <c r="BL325" s="48" t="n"/>
      <c r="BM325" s="48" t="n"/>
      <c r="BN325" s="48" t="n"/>
    </row>
    <row r="326">
      <c r="A326" s="47" t="n"/>
      <c r="B326" s="48" t="n"/>
      <c r="C326" s="48" t="n"/>
      <c r="D326" s="49" t="n"/>
      <c r="E326" s="48" t="n"/>
      <c r="F326" s="48" t="n"/>
      <c r="G326" s="50" t="n"/>
      <c r="H326" s="51" t="n"/>
      <c r="I326" s="51" t="n"/>
      <c r="J326" s="48" t="n"/>
      <c r="K326" s="52" t="n"/>
      <c r="L326" s="48" t="n"/>
      <c r="M326" s="48" t="n"/>
      <c r="N326" s="48" t="n"/>
      <c r="O326" s="48" t="n"/>
      <c r="P326" s="48" t="n"/>
      <c r="Q326" s="48" t="n"/>
      <c r="R326" s="48" t="n"/>
      <c r="S326" s="48" t="n"/>
      <c r="T326" s="48" t="n"/>
      <c r="U326" s="48" t="n"/>
      <c r="V326" s="48" t="n"/>
      <c r="W326" s="48" t="n"/>
      <c r="X326" s="48" t="n"/>
      <c r="Y326" s="48" t="n"/>
      <c r="Z326" s="48" t="n"/>
      <c r="AA326" s="48" t="n"/>
      <c r="AB326" s="48" t="n"/>
      <c r="AC326" s="48" t="n"/>
      <c r="AD326" s="48" t="n"/>
      <c r="AE326" s="48" t="n"/>
      <c r="AF326" s="48" t="n"/>
      <c r="AG326" s="48" t="n"/>
      <c r="AH326" s="48" t="n"/>
      <c r="AI326" s="48" t="n"/>
      <c r="AJ326" s="48" t="n"/>
      <c r="AK326" s="48" t="n"/>
      <c r="AL326" s="53" t="n"/>
      <c r="AM326" s="52" t="n"/>
      <c r="AN326" s="48" t="n"/>
      <c r="AO326" s="48" t="n"/>
      <c r="AP326" s="48" t="n"/>
      <c r="AQ326" s="48" t="n"/>
      <c r="AR326" s="48" t="n"/>
      <c r="AS326" s="48" t="n"/>
      <c r="AT326" s="48" t="n"/>
      <c r="AU326" s="48" t="n"/>
      <c r="AV326" s="48" t="n"/>
      <c r="AW326" s="48" t="n"/>
      <c r="AX326" s="48" t="n"/>
      <c r="AY326" s="48" t="n"/>
      <c r="AZ326" s="48" t="n"/>
      <c r="BA326" s="48" t="n"/>
      <c r="BB326" s="48" t="n"/>
      <c r="BC326" s="48" t="n"/>
      <c r="BD326" s="48" t="n"/>
      <c r="BE326" s="48" t="n"/>
      <c r="BF326" s="48" t="n"/>
      <c r="BG326" s="48" t="n"/>
      <c r="BH326" s="48" t="n"/>
      <c r="BI326" s="48" t="n"/>
      <c r="BJ326" s="48" t="n"/>
      <c r="BK326" s="48" t="n"/>
      <c r="BL326" s="48" t="n"/>
      <c r="BM326" s="48" t="n"/>
      <c r="BN326" s="48" t="n"/>
    </row>
    <row r="327">
      <c r="A327" s="47" t="n"/>
      <c r="B327" s="48" t="n"/>
      <c r="C327" s="48" t="n"/>
      <c r="D327" s="49" t="n"/>
      <c r="E327" s="48" t="n"/>
      <c r="F327" s="48" t="n"/>
      <c r="G327" s="50" t="n"/>
      <c r="H327" s="51" t="n"/>
      <c r="I327" s="51" t="n"/>
      <c r="J327" s="48" t="n"/>
      <c r="K327" s="52" t="n"/>
      <c r="L327" s="48" t="n"/>
      <c r="M327" s="48" t="n"/>
      <c r="N327" s="48" t="n"/>
      <c r="O327" s="48" t="n"/>
      <c r="P327" s="48" t="n"/>
      <c r="Q327" s="48" t="n"/>
      <c r="R327" s="48" t="n"/>
      <c r="S327" s="48" t="n"/>
      <c r="T327" s="48" t="n"/>
      <c r="U327" s="48" t="n"/>
      <c r="V327" s="48" t="n"/>
      <c r="W327" s="48" t="n"/>
      <c r="X327" s="48" t="n"/>
      <c r="Y327" s="48" t="n"/>
      <c r="Z327" s="48" t="n"/>
      <c r="AA327" s="48" t="n"/>
      <c r="AB327" s="48" t="n"/>
      <c r="AC327" s="48" t="n"/>
      <c r="AD327" s="48" t="n"/>
      <c r="AE327" s="48" t="n"/>
      <c r="AF327" s="48" t="n"/>
      <c r="AG327" s="48" t="n"/>
      <c r="AH327" s="48" t="n"/>
      <c r="AI327" s="48" t="n"/>
      <c r="AJ327" s="48" t="n"/>
      <c r="AK327" s="48" t="n"/>
      <c r="AL327" s="53" t="n"/>
      <c r="AM327" s="52" t="n"/>
      <c r="AN327" s="48" t="n"/>
      <c r="AO327" s="48" t="n"/>
      <c r="AP327" s="48" t="n"/>
      <c r="AQ327" s="48" t="n"/>
      <c r="AR327" s="48" t="n"/>
      <c r="AS327" s="48" t="n"/>
      <c r="AT327" s="48" t="n"/>
      <c r="AU327" s="48" t="n"/>
      <c r="AV327" s="48" t="n"/>
      <c r="AW327" s="48" t="n"/>
      <c r="AX327" s="48" t="n"/>
      <c r="AY327" s="48" t="n"/>
      <c r="AZ327" s="48" t="n"/>
      <c r="BA327" s="48" t="n"/>
      <c r="BB327" s="48" t="n"/>
      <c r="BC327" s="48" t="n"/>
      <c r="BD327" s="48" t="n"/>
      <c r="BE327" s="48" t="n"/>
      <c r="BF327" s="48" t="n"/>
      <c r="BG327" s="48" t="n"/>
      <c r="BH327" s="48" t="n"/>
      <c r="BI327" s="48" t="n"/>
      <c r="BJ327" s="48" t="n"/>
      <c r="BK327" s="48" t="n"/>
      <c r="BL327" s="48" t="n"/>
      <c r="BM327" s="48" t="n"/>
      <c r="BN327" s="48" t="n"/>
    </row>
    <row r="328">
      <c r="A328" s="47" t="n"/>
      <c r="B328" s="48" t="n"/>
      <c r="C328" s="48" t="n"/>
      <c r="D328" s="49" t="n"/>
      <c r="E328" s="48" t="n"/>
      <c r="F328" s="48" t="n"/>
      <c r="G328" s="50" t="n"/>
      <c r="H328" s="51" t="n"/>
      <c r="I328" s="51" t="n"/>
      <c r="J328" s="48" t="n"/>
      <c r="K328" s="52" t="n"/>
      <c r="L328" s="48" t="n"/>
      <c r="M328" s="48" t="n"/>
      <c r="N328" s="48" t="n"/>
      <c r="O328" s="48" t="n"/>
      <c r="P328" s="48" t="n"/>
      <c r="Q328" s="48" t="n"/>
      <c r="R328" s="48" t="n"/>
      <c r="S328" s="48" t="n"/>
      <c r="T328" s="48" t="n"/>
      <c r="U328" s="48" t="n"/>
      <c r="V328" s="48" t="n"/>
      <c r="W328" s="48" t="n"/>
      <c r="X328" s="48" t="n"/>
      <c r="Y328" s="48" t="n"/>
      <c r="Z328" s="48" t="n"/>
      <c r="AA328" s="48" t="n"/>
      <c r="AB328" s="48" t="n"/>
      <c r="AC328" s="48" t="n"/>
      <c r="AD328" s="48" t="n"/>
      <c r="AE328" s="48" t="n"/>
      <c r="AF328" s="48" t="n"/>
      <c r="AG328" s="48" t="n"/>
      <c r="AH328" s="48" t="n"/>
      <c r="AI328" s="48" t="n"/>
      <c r="AJ328" s="48" t="n"/>
      <c r="AK328" s="48" t="n"/>
      <c r="AL328" s="53" t="n"/>
      <c r="AM328" s="52" t="n"/>
      <c r="AN328" s="48" t="n"/>
      <c r="AO328" s="48" t="n"/>
      <c r="AP328" s="48" t="n"/>
      <c r="AQ328" s="48" t="n"/>
      <c r="AR328" s="48" t="n"/>
      <c r="AS328" s="48" t="n"/>
      <c r="AT328" s="48" t="n"/>
      <c r="AU328" s="48" t="n"/>
      <c r="AV328" s="48" t="n"/>
      <c r="AW328" s="48" t="n"/>
      <c r="AX328" s="48" t="n"/>
      <c r="AY328" s="48" t="n"/>
      <c r="AZ328" s="48" t="n"/>
      <c r="BA328" s="48" t="n"/>
      <c r="BB328" s="48" t="n"/>
      <c r="BC328" s="48" t="n"/>
      <c r="BD328" s="48" t="n"/>
      <c r="BE328" s="48" t="n"/>
      <c r="BF328" s="48" t="n"/>
      <c r="BG328" s="48" t="n"/>
      <c r="BH328" s="48" t="n"/>
      <c r="BI328" s="48" t="n"/>
      <c r="BJ328" s="48" t="n"/>
      <c r="BK328" s="48" t="n"/>
      <c r="BL328" s="48" t="n"/>
      <c r="BM328" s="48" t="n"/>
      <c r="BN328" s="48" t="n"/>
    </row>
    <row r="329">
      <c r="A329" s="47" t="n"/>
      <c r="B329" s="48" t="n"/>
      <c r="C329" s="48" t="n"/>
      <c r="D329" s="49" t="n"/>
      <c r="E329" s="48" t="n"/>
      <c r="F329" s="48" t="n"/>
      <c r="G329" s="50" t="n"/>
      <c r="H329" s="51" t="n"/>
      <c r="I329" s="51" t="n"/>
      <c r="J329" s="48" t="n"/>
      <c r="K329" s="52" t="n"/>
      <c r="L329" s="48" t="n"/>
      <c r="M329" s="48" t="n"/>
      <c r="N329" s="48" t="n"/>
      <c r="O329" s="48" t="n"/>
      <c r="P329" s="48" t="n"/>
      <c r="Q329" s="48" t="n"/>
      <c r="R329" s="48" t="n"/>
      <c r="S329" s="48" t="n"/>
      <c r="T329" s="48" t="n"/>
      <c r="U329" s="48" t="n"/>
      <c r="V329" s="48" t="n"/>
      <c r="W329" s="48" t="n"/>
      <c r="X329" s="48" t="n"/>
      <c r="Y329" s="48" t="n"/>
      <c r="Z329" s="48" t="n"/>
      <c r="AA329" s="48" t="n"/>
      <c r="AB329" s="48" t="n"/>
      <c r="AC329" s="48" t="n"/>
      <c r="AD329" s="48" t="n"/>
      <c r="AE329" s="48" t="n"/>
      <c r="AF329" s="48" t="n"/>
      <c r="AG329" s="48" t="n"/>
      <c r="AH329" s="48" t="n"/>
      <c r="AI329" s="48" t="n"/>
      <c r="AJ329" s="48" t="n"/>
      <c r="AK329" s="48" t="n"/>
      <c r="AL329" s="53" t="n"/>
      <c r="AM329" s="52" t="n"/>
      <c r="AN329" s="48" t="n"/>
      <c r="AO329" s="48" t="n"/>
      <c r="AP329" s="48" t="n"/>
      <c r="AQ329" s="48" t="n"/>
      <c r="AR329" s="48" t="n"/>
      <c r="AS329" s="48" t="n"/>
      <c r="AT329" s="48" t="n"/>
      <c r="AU329" s="48" t="n"/>
      <c r="AV329" s="48" t="n"/>
      <c r="AW329" s="48" t="n"/>
      <c r="AX329" s="48" t="n"/>
      <c r="AY329" s="48" t="n"/>
      <c r="AZ329" s="48" t="n"/>
      <c r="BA329" s="48" t="n"/>
      <c r="BB329" s="48" t="n"/>
      <c r="BC329" s="48" t="n"/>
      <c r="BD329" s="48" t="n"/>
      <c r="BE329" s="48" t="n"/>
      <c r="BF329" s="48" t="n"/>
      <c r="BG329" s="48" t="n"/>
      <c r="BH329" s="48" t="n"/>
      <c r="BI329" s="48" t="n"/>
      <c r="BJ329" s="48" t="n"/>
      <c r="BK329" s="48" t="n"/>
      <c r="BL329" s="48" t="n"/>
      <c r="BM329" s="48" t="n"/>
      <c r="BN329" s="48" t="n"/>
    </row>
    <row r="330">
      <c r="A330" s="47" t="n"/>
      <c r="B330" s="48" t="n"/>
      <c r="C330" s="48" t="n"/>
      <c r="D330" s="49" t="n"/>
      <c r="E330" s="48" t="n"/>
      <c r="F330" s="48" t="n"/>
      <c r="G330" s="50" t="n"/>
      <c r="H330" s="51" t="n"/>
      <c r="I330" s="51" t="n"/>
      <c r="J330" s="48" t="n"/>
      <c r="K330" s="52" t="n"/>
      <c r="L330" s="48" t="n"/>
      <c r="M330" s="48" t="n"/>
      <c r="N330" s="48" t="n"/>
      <c r="O330" s="48" t="n"/>
      <c r="P330" s="48" t="n"/>
      <c r="Q330" s="48" t="n"/>
      <c r="R330" s="48" t="n"/>
      <c r="S330" s="48" t="n"/>
      <c r="T330" s="48" t="n"/>
      <c r="U330" s="48" t="n"/>
      <c r="V330" s="48" t="n"/>
      <c r="W330" s="48" t="n"/>
      <c r="X330" s="48" t="n"/>
      <c r="Y330" s="48" t="n"/>
      <c r="Z330" s="48" t="n"/>
      <c r="AA330" s="48" t="n"/>
      <c r="AB330" s="48" t="n"/>
      <c r="AC330" s="48" t="n"/>
      <c r="AD330" s="48" t="n"/>
      <c r="AE330" s="48" t="n"/>
      <c r="AF330" s="48" t="n"/>
      <c r="AG330" s="48" t="n"/>
      <c r="AH330" s="48" t="n"/>
      <c r="AI330" s="48" t="n"/>
      <c r="AJ330" s="48" t="n"/>
      <c r="AK330" s="48" t="n"/>
      <c r="AL330" s="53" t="n"/>
      <c r="AM330" s="52" t="n"/>
      <c r="AN330" s="48" t="n"/>
      <c r="AO330" s="48" t="n"/>
      <c r="AP330" s="48" t="n"/>
      <c r="AQ330" s="48" t="n"/>
      <c r="AR330" s="48" t="n"/>
      <c r="AS330" s="48" t="n"/>
      <c r="AT330" s="48" t="n"/>
      <c r="AU330" s="48" t="n"/>
      <c r="AV330" s="48" t="n"/>
      <c r="AW330" s="48" t="n"/>
      <c r="AX330" s="48" t="n"/>
      <c r="AY330" s="48" t="n"/>
      <c r="AZ330" s="48" t="n"/>
      <c r="BA330" s="48" t="n"/>
      <c r="BB330" s="48" t="n"/>
      <c r="BC330" s="48" t="n"/>
      <c r="BD330" s="48" t="n"/>
      <c r="BE330" s="48" t="n"/>
      <c r="BF330" s="48" t="n"/>
      <c r="BG330" s="48" t="n"/>
      <c r="BH330" s="48" t="n"/>
      <c r="BI330" s="48" t="n"/>
      <c r="BJ330" s="48" t="n"/>
      <c r="BK330" s="48" t="n"/>
      <c r="BL330" s="48" t="n"/>
      <c r="BM330" s="48" t="n"/>
      <c r="BN330" s="48" t="n"/>
    </row>
    <row r="331">
      <c r="A331" s="47" t="n"/>
      <c r="B331" s="48" t="n"/>
      <c r="C331" s="48" t="n"/>
      <c r="D331" s="49" t="n"/>
      <c r="E331" s="48" t="n"/>
      <c r="F331" s="48" t="n"/>
      <c r="G331" s="50" t="n"/>
      <c r="H331" s="51" t="n"/>
      <c r="I331" s="51" t="n"/>
      <c r="J331" s="48" t="n"/>
      <c r="K331" s="52" t="n"/>
      <c r="L331" s="48" t="n"/>
      <c r="M331" s="48" t="n"/>
      <c r="N331" s="48" t="n"/>
      <c r="O331" s="48" t="n"/>
      <c r="P331" s="48" t="n"/>
      <c r="Q331" s="48" t="n"/>
      <c r="R331" s="48" t="n"/>
      <c r="S331" s="48" t="n"/>
      <c r="T331" s="48" t="n"/>
      <c r="U331" s="48" t="n"/>
      <c r="V331" s="48" t="n"/>
      <c r="W331" s="48" t="n"/>
      <c r="X331" s="48" t="n"/>
      <c r="Y331" s="48" t="n"/>
      <c r="Z331" s="48" t="n"/>
      <c r="AA331" s="48" t="n"/>
      <c r="AB331" s="48" t="n"/>
      <c r="AC331" s="48" t="n"/>
      <c r="AD331" s="48" t="n"/>
      <c r="AE331" s="48" t="n"/>
      <c r="AF331" s="48" t="n"/>
      <c r="AG331" s="48" t="n"/>
      <c r="AH331" s="48" t="n"/>
      <c r="AI331" s="48" t="n"/>
      <c r="AJ331" s="48" t="n"/>
      <c r="AK331" s="48" t="n"/>
      <c r="AL331" s="53" t="n"/>
      <c r="AM331" s="52" t="n"/>
      <c r="AN331" s="48" t="n"/>
      <c r="AO331" s="48" t="n"/>
      <c r="AP331" s="48" t="n"/>
      <c r="AQ331" s="48" t="n"/>
      <c r="AR331" s="48" t="n"/>
      <c r="AS331" s="48" t="n"/>
      <c r="AT331" s="48" t="n"/>
      <c r="AU331" s="48" t="n"/>
      <c r="AV331" s="48" t="n"/>
      <c r="AW331" s="48" t="n"/>
      <c r="AX331" s="48" t="n"/>
      <c r="AY331" s="48" t="n"/>
      <c r="AZ331" s="48" t="n"/>
      <c r="BA331" s="48" t="n"/>
      <c r="BB331" s="48" t="n"/>
      <c r="BC331" s="48" t="n"/>
      <c r="BD331" s="48" t="n"/>
      <c r="BE331" s="48" t="n"/>
      <c r="BF331" s="48" t="n"/>
      <c r="BG331" s="48" t="n"/>
      <c r="BH331" s="48" t="n"/>
      <c r="BI331" s="48" t="n"/>
      <c r="BJ331" s="48" t="n"/>
      <c r="BK331" s="48" t="n"/>
      <c r="BL331" s="48" t="n"/>
      <c r="BM331" s="48" t="n"/>
      <c r="BN331" s="48" t="n"/>
    </row>
    <row r="332">
      <c r="A332" s="47" t="n"/>
      <c r="B332" s="48" t="n"/>
      <c r="C332" s="48" t="n"/>
      <c r="D332" s="49" t="n"/>
      <c r="E332" s="48" t="n"/>
      <c r="F332" s="48" t="n"/>
      <c r="G332" s="50" t="n"/>
      <c r="H332" s="51" t="n"/>
      <c r="I332" s="51" t="n"/>
      <c r="J332" s="48" t="n"/>
      <c r="K332" s="52" t="n"/>
      <c r="L332" s="48" t="n"/>
      <c r="M332" s="48" t="n"/>
      <c r="N332" s="48" t="n"/>
      <c r="O332" s="48" t="n"/>
      <c r="P332" s="48" t="n"/>
      <c r="Q332" s="48" t="n"/>
      <c r="R332" s="48" t="n"/>
      <c r="S332" s="48" t="n"/>
      <c r="T332" s="48" t="n"/>
      <c r="U332" s="48" t="n"/>
      <c r="V332" s="48" t="n"/>
      <c r="W332" s="48" t="n"/>
      <c r="X332" s="48" t="n"/>
      <c r="Y332" s="48" t="n"/>
      <c r="Z332" s="48" t="n"/>
      <c r="AA332" s="48" t="n"/>
      <c r="AB332" s="48" t="n"/>
      <c r="AC332" s="48" t="n"/>
      <c r="AD332" s="48" t="n"/>
      <c r="AE332" s="48" t="n"/>
      <c r="AF332" s="48" t="n"/>
      <c r="AG332" s="48" t="n"/>
      <c r="AH332" s="48" t="n"/>
      <c r="AI332" s="48" t="n"/>
      <c r="AJ332" s="48" t="n"/>
      <c r="AK332" s="48" t="n"/>
      <c r="AL332" s="53" t="n"/>
      <c r="AM332" s="52" t="n"/>
      <c r="AN332" s="48" t="n"/>
      <c r="AO332" s="48" t="n"/>
      <c r="AP332" s="48" t="n"/>
      <c r="AQ332" s="48" t="n"/>
      <c r="AR332" s="48" t="n"/>
      <c r="AS332" s="48" t="n"/>
      <c r="AT332" s="48" t="n"/>
      <c r="AU332" s="48" t="n"/>
      <c r="AV332" s="48" t="n"/>
      <c r="AW332" s="48" t="n"/>
      <c r="AX332" s="48" t="n"/>
      <c r="AY332" s="48" t="n"/>
      <c r="AZ332" s="48" t="n"/>
      <c r="BA332" s="48" t="n"/>
      <c r="BB332" s="48" t="n"/>
      <c r="BC332" s="48" t="n"/>
      <c r="BD332" s="48" t="n"/>
      <c r="BE332" s="48" t="n"/>
      <c r="BF332" s="48" t="n"/>
      <c r="BG332" s="48" t="n"/>
      <c r="BH332" s="48" t="n"/>
      <c r="BI332" s="48" t="n"/>
      <c r="BJ332" s="48" t="n"/>
      <c r="BK332" s="48" t="n"/>
      <c r="BL332" s="48" t="n"/>
      <c r="BM332" s="48" t="n"/>
      <c r="BN332" s="48" t="n"/>
    </row>
    <row r="333">
      <c r="A333" s="47" t="n"/>
      <c r="B333" s="48" t="n"/>
      <c r="C333" s="48" t="n"/>
      <c r="D333" s="49" t="n"/>
      <c r="E333" s="48" t="n"/>
      <c r="F333" s="48" t="n"/>
      <c r="G333" s="50" t="n"/>
      <c r="H333" s="51" t="n"/>
      <c r="I333" s="51" t="n"/>
      <c r="J333" s="48" t="n"/>
      <c r="K333" s="52" t="n"/>
      <c r="L333" s="48" t="n"/>
      <c r="M333" s="48" t="n"/>
      <c r="N333" s="48" t="n"/>
      <c r="O333" s="48" t="n"/>
      <c r="P333" s="48" t="n"/>
      <c r="Q333" s="48" t="n"/>
      <c r="R333" s="48" t="n"/>
      <c r="S333" s="48" t="n"/>
      <c r="T333" s="48" t="n"/>
      <c r="U333" s="48" t="n"/>
      <c r="V333" s="48" t="n"/>
      <c r="W333" s="48" t="n"/>
      <c r="X333" s="48" t="n"/>
      <c r="Y333" s="48" t="n"/>
      <c r="Z333" s="48" t="n"/>
      <c r="AA333" s="48" t="n"/>
      <c r="AB333" s="48" t="n"/>
      <c r="AC333" s="48" t="n"/>
      <c r="AD333" s="48" t="n"/>
      <c r="AE333" s="48" t="n"/>
      <c r="AF333" s="48" t="n"/>
      <c r="AG333" s="48" t="n"/>
      <c r="AH333" s="48" t="n"/>
      <c r="AI333" s="48" t="n"/>
      <c r="AJ333" s="48" t="n"/>
      <c r="AK333" s="48" t="n"/>
      <c r="AL333" s="53" t="n"/>
      <c r="AM333" s="52" t="n"/>
      <c r="AN333" s="48" t="n"/>
      <c r="AO333" s="48" t="n"/>
      <c r="AP333" s="48" t="n"/>
      <c r="AQ333" s="48" t="n"/>
      <c r="AR333" s="48" t="n"/>
      <c r="AS333" s="48" t="n"/>
      <c r="AT333" s="48" t="n"/>
      <c r="AU333" s="48" t="n"/>
      <c r="AV333" s="48" t="n"/>
      <c r="AW333" s="48" t="n"/>
      <c r="AX333" s="48" t="n"/>
      <c r="AY333" s="48" t="n"/>
      <c r="AZ333" s="48" t="n"/>
      <c r="BA333" s="48" t="n"/>
      <c r="BB333" s="48" t="n"/>
      <c r="BC333" s="48" t="n"/>
      <c r="BD333" s="48" t="n"/>
      <c r="BE333" s="48" t="n"/>
      <c r="BF333" s="48" t="n"/>
      <c r="BG333" s="48" t="n"/>
      <c r="BH333" s="48" t="n"/>
      <c r="BI333" s="48" t="n"/>
      <c r="BJ333" s="48" t="n"/>
      <c r="BK333" s="48" t="n"/>
      <c r="BL333" s="48" t="n"/>
      <c r="BM333" s="48" t="n"/>
      <c r="BN333" s="48" t="n"/>
    </row>
    <row r="334">
      <c r="A334" s="47" t="n"/>
      <c r="B334" s="48" t="n"/>
      <c r="C334" s="48" t="n"/>
      <c r="D334" s="49" t="n"/>
      <c r="E334" s="48" t="n"/>
      <c r="F334" s="48" t="n"/>
      <c r="G334" s="50" t="n"/>
      <c r="H334" s="51" t="n"/>
      <c r="I334" s="51" t="n"/>
      <c r="J334" s="48" t="n"/>
      <c r="K334" s="52" t="n"/>
      <c r="L334" s="48" t="n"/>
      <c r="M334" s="48" t="n"/>
      <c r="N334" s="48" t="n"/>
      <c r="O334" s="48" t="n"/>
      <c r="P334" s="48" t="n"/>
      <c r="Q334" s="48" t="n"/>
      <c r="R334" s="48" t="n"/>
      <c r="S334" s="48" t="n"/>
      <c r="T334" s="48" t="n"/>
      <c r="U334" s="48" t="n"/>
      <c r="V334" s="48" t="n"/>
      <c r="W334" s="48" t="n"/>
      <c r="X334" s="48" t="n"/>
      <c r="Y334" s="48" t="n"/>
      <c r="Z334" s="48" t="n"/>
      <c r="AA334" s="48" t="n"/>
      <c r="AB334" s="48" t="n"/>
      <c r="AC334" s="48" t="n"/>
      <c r="AD334" s="48" t="n"/>
      <c r="AE334" s="48" t="n"/>
      <c r="AF334" s="48" t="n"/>
      <c r="AG334" s="48" t="n"/>
      <c r="AH334" s="48" t="n"/>
      <c r="AI334" s="48" t="n"/>
      <c r="AJ334" s="48" t="n"/>
      <c r="AK334" s="48" t="n"/>
      <c r="AL334" s="53" t="n"/>
      <c r="AM334" s="52" t="n"/>
      <c r="AN334" s="48" t="n"/>
      <c r="AO334" s="48" t="n"/>
      <c r="AP334" s="48" t="n"/>
      <c r="AQ334" s="48" t="n"/>
      <c r="AR334" s="48" t="n"/>
      <c r="AS334" s="48" t="n"/>
      <c r="AT334" s="48" t="n"/>
      <c r="AU334" s="48" t="n"/>
      <c r="AV334" s="48" t="n"/>
      <c r="AW334" s="48" t="n"/>
      <c r="AX334" s="48" t="n"/>
      <c r="AY334" s="48" t="n"/>
      <c r="AZ334" s="48" t="n"/>
      <c r="BA334" s="48" t="n"/>
      <c r="BB334" s="48" t="n"/>
      <c r="BC334" s="48" t="n"/>
      <c r="BD334" s="48" t="n"/>
      <c r="BE334" s="48" t="n"/>
      <c r="BF334" s="48" t="n"/>
      <c r="BG334" s="48" t="n"/>
      <c r="BH334" s="48" t="n"/>
      <c r="BI334" s="48" t="n"/>
      <c r="BJ334" s="48" t="n"/>
      <c r="BK334" s="48" t="n"/>
      <c r="BL334" s="48" t="n"/>
      <c r="BM334" s="48" t="n"/>
      <c r="BN334" s="48" t="n"/>
    </row>
    <row r="335">
      <c r="A335" s="47" t="n"/>
      <c r="B335" s="48" t="n"/>
      <c r="C335" s="48" t="n"/>
      <c r="D335" s="49" t="n"/>
      <c r="E335" s="48" t="n"/>
      <c r="F335" s="48" t="n"/>
      <c r="G335" s="50" t="n"/>
      <c r="H335" s="51" t="n"/>
      <c r="I335" s="51" t="n"/>
      <c r="J335" s="48" t="n"/>
      <c r="K335" s="52" t="n"/>
      <c r="L335" s="48" t="n"/>
      <c r="M335" s="48" t="n"/>
      <c r="N335" s="48" t="n"/>
      <c r="O335" s="48" t="n"/>
      <c r="P335" s="48" t="n"/>
      <c r="Q335" s="48" t="n"/>
      <c r="R335" s="48" t="n"/>
      <c r="S335" s="48" t="n"/>
      <c r="T335" s="48" t="n"/>
      <c r="U335" s="48" t="n"/>
      <c r="V335" s="48" t="n"/>
      <c r="W335" s="48" t="n"/>
      <c r="X335" s="48" t="n"/>
      <c r="Y335" s="48" t="n"/>
      <c r="Z335" s="48" t="n"/>
      <c r="AA335" s="48" t="n"/>
      <c r="AB335" s="48" t="n"/>
      <c r="AC335" s="48" t="n"/>
      <c r="AD335" s="48" t="n"/>
      <c r="AE335" s="48" t="n"/>
      <c r="AF335" s="48" t="n"/>
      <c r="AG335" s="48" t="n"/>
      <c r="AH335" s="48" t="n"/>
      <c r="AI335" s="48" t="n"/>
      <c r="AJ335" s="48" t="n"/>
      <c r="AK335" s="48" t="n"/>
      <c r="AL335" s="53" t="n"/>
      <c r="AM335" s="52" t="n"/>
      <c r="AN335" s="48" t="n"/>
      <c r="AO335" s="48" t="n"/>
      <c r="AP335" s="48" t="n"/>
      <c r="AQ335" s="48" t="n"/>
      <c r="AR335" s="48" t="n"/>
      <c r="AS335" s="48" t="n"/>
      <c r="AT335" s="48" t="n"/>
      <c r="AU335" s="48" t="n"/>
      <c r="AV335" s="48" t="n"/>
      <c r="AW335" s="48" t="n"/>
      <c r="AX335" s="48" t="n"/>
      <c r="AY335" s="48" t="n"/>
      <c r="AZ335" s="48" t="n"/>
      <c r="BA335" s="48" t="n"/>
      <c r="BB335" s="48" t="n"/>
      <c r="BC335" s="48" t="n"/>
      <c r="BD335" s="48" t="n"/>
      <c r="BE335" s="48" t="n"/>
      <c r="BF335" s="48" t="n"/>
      <c r="BG335" s="48" t="n"/>
      <c r="BH335" s="48" t="n"/>
      <c r="BI335" s="48" t="n"/>
      <c r="BJ335" s="48" t="n"/>
      <c r="BK335" s="48" t="n"/>
      <c r="BL335" s="48" t="n"/>
      <c r="BM335" s="48" t="n"/>
      <c r="BN335" s="48" t="n"/>
    </row>
    <row r="336">
      <c r="A336" s="47" t="n"/>
      <c r="B336" s="48" t="n"/>
      <c r="C336" s="48" t="n"/>
      <c r="D336" s="49" t="n"/>
      <c r="E336" s="48" t="n"/>
      <c r="F336" s="48" t="n"/>
      <c r="G336" s="50" t="n"/>
      <c r="H336" s="51" t="n"/>
      <c r="I336" s="51" t="n"/>
      <c r="J336" s="48" t="n"/>
      <c r="K336" s="52" t="n"/>
      <c r="L336" s="48" t="n"/>
      <c r="M336" s="48" t="n"/>
      <c r="N336" s="48" t="n"/>
      <c r="O336" s="48" t="n"/>
      <c r="P336" s="48" t="n"/>
      <c r="Q336" s="48" t="n"/>
      <c r="R336" s="48" t="n"/>
      <c r="S336" s="48" t="n"/>
      <c r="T336" s="48" t="n"/>
      <c r="U336" s="48" t="n"/>
      <c r="V336" s="48" t="n"/>
      <c r="W336" s="48" t="n"/>
      <c r="X336" s="48" t="n"/>
      <c r="Y336" s="48" t="n"/>
      <c r="Z336" s="48" t="n"/>
      <c r="AA336" s="48" t="n"/>
      <c r="AB336" s="48" t="n"/>
      <c r="AC336" s="48" t="n"/>
      <c r="AD336" s="48" t="n"/>
      <c r="AE336" s="48" t="n"/>
      <c r="AF336" s="48" t="n"/>
      <c r="AG336" s="48" t="n"/>
      <c r="AH336" s="48" t="n"/>
      <c r="AI336" s="48" t="n"/>
      <c r="AJ336" s="48" t="n"/>
      <c r="AK336" s="48" t="n"/>
      <c r="AL336" s="53" t="n"/>
      <c r="AM336" s="52" t="n"/>
      <c r="AN336" s="48" t="n"/>
      <c r="AO336" s="48" t="n"/>
      <c r="AP336" s="48" t="n"/>
      <c r="AQ336" s="48" t="n"/>
      <c r="AR336" s="48" t="n"/>
      <c r="AS336" s="48" t="n"/>
      <c r="AT336" s="48" t="n"/>
      <c r="AU336" s="48" t="n"/>
      <c r="AV336" s="48" t="n"/>
      <c r="AW336" s="48" t="n"/>
      <c r="AX336" s="48" t="n"/>
      <c r="AY336" s="48" t="n"/>
      <c r="AZ336" s="48" t="n"/>
      <c r="BA336" s="48" t="n"/>
      <c r="BB336" s="48" t="n"/>
      <c r="BC336" s="48" t="n"/>
      <c r="BD336" s="48" t="n"/>
      <c r="BE336" s="48" t="n"/>
      <c r="BF336" s="48" t="n"/>
      <c r="BG336" s="48" t="n"/>
      <c r="BH336" s="48" t="n"/>
      <c r="BI336" s="48" t="n"/>
      <c r="BJ336" s="48" t="n"/>
      <c r="BK336" s="48" t="n"/>
      <c r="BL336" s="48" t="n"/>
      <c r="BM336" s="48" t="n"/>
      <c r="BN336" s="48" t="n"/>
    </row>
    <row r="337">
      <c r="A337" s="47" t="n"/>
      <c r="B337" s="48" t="n"/>
      <c r="C337" s="48" t="n"/>
      <c r="D337" s="49" t="n"/>
      <c r="E337" s="48" t="n"/>
      <c r="F337" s="48" t="n"/>
      <c r="G337" s="50" t="n"/>
      <c r="H337" s="51" t="n"/>
      <c r="I337" s="51" t="n"/>
      <c r="J337" s="48" t="n"/>
      <c r="K337" s="52" t="n"/>
      <c r="L337" s="48" t="n"/>
      <c r="M337" s="48" t="n"/>
      <c r="N337" s="48" t="n"/>
      <c r="O337" s="48" t="n"/>
      <c r="P337" s="48" t="n"/>
      <c r="Q337" s="48" t="n"/>
      <c r="R337" s="48" t="n"/>
      <c r="S337" s="48" t="n"/>
      <c r="T337" s="48" t="n"/>
      <c r="U337" s="48" t="n"/>
      <c r="V337" s="48" t="n"/>
      <c r="W337" s="48" t="n"/>
      <c r="X337" s="48" t="n"/>
      <c r="Y337" s="48" t="n"/>
      <c r="Z337" s="48" t="n"/>
      <c r="AA337" s="48" t="n"/>
      <c r="AB337" s="48" t="n"/>
      <c r="AC337" s="48" t="n"/>
      <c r="AD337" s="48" t="n"/>
      <c r="AE337" s="48" t="n"/>
      <c r="AF337" s="48" t="n"/>
      <c r="AG337" s="48" t="n"/>
      <c r="AH337" s="48" t="n"/>
      <c r="AI337" s="48" t="n"/>
      <c r="AJ337" s="48" t="n"/>
      <c r="AK337" s="48" t="n"/>
      <c r="AL337" s="53" t="n"/>
      <c r="AM337" s="52" t="n"/>
      <c r="AN337" s="48" t="n"/>
      <c r="AO337" s="48" t="n"/>
      <c r="AP337" s="48" t="n"/>
      <c r="AQ337" s="48" t="n"/>
      <c r="AR337" s="48" t="n"/>
      <c r="AS337" s="48" t="n"/>
      <c r="AT337" s="48" t="n"/>
      <c r="AU337" s="48" t="n"/>
      <c r="AV337" s="48" t="n"/>
      <c r="AW337" s="48" t="n"/>
      <c r="AX337" s="48" t="n"/>
      <c r="AY337" s="48" t="n"/>
      <c r="AZ337" s="48" t="n"/>
      <c r="BA337" s="48" t="n"/>
      <c r="BB337" s="48" t="n"/>
      <c r="BC337" s="48" t="n"/>
      <c r="BD337" s="48" t="n"/>
      <c r="BE337" s="48" t="n"/>
      <c r="BF337" s="48" t="n"/>
      <c r="BG337" s="48" t="n"/>
      <c r="BH337" s="48" t="n"/>
      <c r="BI337" s="48" t="n"/>
      <c r="BJ337" s="48" t="n"/>
      <c r="BK337" s="48" t="n"/>
      <c r="BL337" s="48" t="n"/>
      <c r="BM337" s="48" t="n"/>
      <c r="BN337" s="48" t="n"/>
    </row>
    <row r="338">
      <c r="A338" s="47" t="n"/>
      <c r="B338" s="48" t="n"/>
      <c r="C338" s="48" t="n"/>
      <c r="D338" s="49" t="n"/>
      <c r="E338" s="48" t="n"/>
      <c r="F338" s="48" t="n"/>
      <c r="G338" s="50" t="n"/>
      <c r="H338" s="51" t="n"/>
      <c r="I338" s="51" t="n"/>
      <c r="J338" s="48" t="n"/>
      <c r="K338" s="52" t="n"/>
      <c r="L338" s="48" t="n"/>
      <c r="M338" s="48" t="n"/>
      <c r="N338" s="48" t="n"/>
      <c r="O338" s="48" t="n"/>
      <c r="P338" s="48" t="n"/>
      <c r="Q338" s="48" t="n"/>
      <c r="R338" s="48" t="n"/>
      <c r="S338" s="48" t="n"/>
      <c r="T338" s="48" t="n"/>
      <c r="U338" s="48" t="n"/>
      <c r="V338" s="48" t="n"/>
      <c r="W338" s="48" t="n"/>
      <c r="X338" s="48" t="n"/>
      <c r="Y338" s="48" t="n"/>
      <c r="Z338" s="48" t="n"/>
      <c r="AA338" s="48" t="n"/>
      <c r="AB338" s="48" t="n"/>
      <c r="AC338" s="48" t="n"/>
      <c r="AD338" s="48" t="n"/>
      <c r="AE338" s="48" t="n"/>
      <c r="AF338" s="48" t="n"/>
      <c r="AG338" s="48" t="n"/>
      <c r="AH338" s="48" t="n"/>
      <c r="AI338" s="48" t="n"/>
      <c r="AJ338" s="48" t="n"/>
      <c r="AK338" s="48" t="n"/>
      <c r="AL338" s="53" t="n"/>
      <c r="AM338" s="52" t="n"/>
      <c r="AN338" s="48" t="n"/>
      <c r="AO338" s="48" t="n"/>
      <c r="AP338" s="48" t="n"/>
      <c r="AQ338" s="48" t="n"/>
      <c r="AR338" s="48" t="n"/>
      <c r="AS338" s="48" t="n"/>
      <c r="AT338" s="48" t="n"/>
      <c r="AU338" s="48" t="n"/>
      <c r="AV338" s="48" t="n"/>
      <c r="AW338" s="48" t="n"/>
      <c r="AX338" s="48" t="n"/>
      <c r="AY338" s="48" t="n"/>
      <c r="AZ338" s="48" t="n"/>
      <c r="BA338" s="48" t="n"/>
      <c r="BB338" s="48" t="n"/>
      <c r="BC338" s="48" t="n"/>
      <c r="BD338" s="48" t="n"/>
      <c r="BE338" s="48" t="n"/>
      <c r="BF338" s="48" t="n"/>
      <c r="BG338" s="48" t="n"/>
      <c r="BH338" s="48" t="n"/>
      <c r="BI338" s="48" t="n"/>
      <c r="BJ338" s="48" t="n"/>
      <c r="BK338" s="48" t="n"/>
      <c r="BL338" s="48" t="n"/>
      <c r="BM338" s="48" t="n"/>
      <c r="BN338" s="48" t="n"/>
    </row>
    <row r="339">
      <c r="A339" s="47" t="n"/>
      <c r="B339" s="48" t="n"/>
      <c r="C339" s="48" t="n"/>
      <c r="D339" s="49" t="n"/>
      <c r="E339" s="48" t="n"/>
      <c r="F339" s="48" t="n"/>
      <c r="G339" s="50" t="n"/>
      <c r="H339" s="51" t="n"/>
      <c r="I339" s="51" t="n"/>
      <c r="J339" s="48" t="n"/>
      <c r="K339" s="52" t="n"/>
      <c r="L339" s="48" t="n"/>
      <c r="M339" s="48" t="n"/>
      <c r="N339" s="48" t="n"/>
      <c r="O339" s="48" t="n"/>
      <c r="P339" s="48" t="n"/>
      <c r="Q339" s="48" t="n"/>
      <c r="R339" s="48" t="n"/>
      <c r="S339" s="48" t="n"/>
      <c r="T339" s="48" t="n"/>
      <c r="U339" s="48" t="n"/>
      <c r="V339" s="48" t="n"/>
      <c r="W339" s="48" t="n"/>
      <c r="X339" s="48" t="n"/>
      <c r="Y339" s="48" t="n"/>
      <c r="Z339" s="48" t="n"/>
      <c r="AA339" s="48" t="n"/>
      <c r="AB339" s="48" t="n"/>
      <c r="AC339" s="48" t="n"/>
      <c r="AD339" s="48" t="n"/>
      <c r="AE339" s="48" t="n"/>
      <c r="AF339" s="48" t="n"/>
      <c r="AG339" s="48" t="n"/>
      <c r="AH339" s="48" t="n"/>
      <c r="AI339" s="48" t="n"/>
      <c r="AJ339" s="48" t="n"/>
      <c r="AK339" s="48" t="n"/>
      <c r="AL339" s="53" t="n"/>
      <c r="AM339" s="52" t="n"/>
      <c r="AN339" s="48" t="n"/>
      <c r="AO339" s="48" t="n"/>
      <c r="AP339" s="48" t="n"/>
      <c r="AQ339" s="48" t="n"/>
      <c r="AR339" s="48" t="n"/>
      <c r="AS339" s="48" t="n"/>
      <c r="AT339" s="48" t="n"/>
      <c r="AU339" s="48" t="n"/>
      <c r="AV339" s="48" t="n"/>
      <c r="AW339" s="48" t="n"/>
      <c r="AX339" s="48" t="n"/>
      <c r="AY339" s="48" t="n"/>
      <c r="AZ339" s="48" t="n"/>
      <c r="BA339" s="48" t="n"/>
      <c r="BB339" s="48" t="n"/>
      <c r="BC339" s="48" t="n"/>
      <c r="BD339" s="48" t="n"/>
      <c r="BE339" s="48" t="n"/>
      <c r="BF339" s="48" t="n"/>
      <c r="BG339" s="48" t="n"/>
      <c r="BH339" s="48" t="n"/>
      <c r="BI339" s="48" t="n"/>
      <c r="BJ339" s="48" t="n"/>
      <c r="BK339" s="48" t="n"/>
      <c r="BL339" s="48" t="n"/>
      <c r="BM339" s="48" t="n"/>
      <c r="BN339" s="48" t="n"/>
    </row>
    <row r="340">
      <c r="A340" s="47" t="n"/>
      <c r="B340" s="48" t="n"/>
      <c r="C340" s="48" t="n"/>
      <c r="D340" s="49" t="n"/>
      <c r="E340" s="48" t="n"/>
      <c r="F340" s="48" t="n"/>
      <c r="G340" s="50" t="n"/>
      <c r="H340" s="51" t="n"/>
      <c r="I340" s="51" t="n"/>
      <c r="J340" s="48" t="n"/>
      <c r="K340" s="52" t="n"/>
      <c r="L340" s="48" t="n"/>
      <c r="M340" s="48" t="n"/>
      <c r="N340" s="48" t="n"/>
      <c r="O340" s="48" t="n"/>
      <c r="P340" s="48" t="n"/>
      <c r="Q340" s="48" t="n"/>
      <c r="R340" s="48" t="n"/>
      <c r="S340" s="48" t="n"/>
      <c r="T340" s="48" t="n"/>
      <c r="U340" s="48" t="n"/>
      <c r="V340" s="48" t="n"/>
      <c r="W340" s="48" t="n"/>
      <c r="X340" s="48" t="n"/>
      <c r="Y340" s="48" t="n"/>
      <c r="Z340" s="48" t="n"/>
      <c r="AA340" s="48" t="n"/>
      <c r="AB340" s="48" t="n"/>
      <c r="AC340" s="48" t="n"/>
      <c r="AD340" s="48" t="n"/>
      <c r="AE340" s="48" t="n"/>
      <c r="AF340" s="48" t="n"/>
      <c r="AG340" s="48" t="n"/>
      <c r="AH340" s="48" t="n"/>
      <c r="AI340" s="48" t="n"/>
      <c r="AJ340" s="48" t="n"/>
      <c r="AK340" s="48" t="n"/>
      <c r="AL340" s="53" t="n"/>
      <c r="AM340" s="52" t="n"/>
      <c r="AN340" s="48" t="n"/>
      <c r="AO340" s="48" t="n"/>
      <c r="AP340" s="48" t="n"/>
      <c r="AQ340" s="48" t="n"/>
      <c r="AR340" s="48" t="n"/>
      <c r="AS340" s="48" t="n"/>
      <c r="AT340" s="48" t="n"/>
      <c r="AU340" s="48" t="n"/>
      <c r="AV340" s="48" t="n"/>
      <c r="AW340" s="48" t="n"/>
      <c r="AX340" s="48" t="n"/>
      <c r="AY340" s="48" t="n"/>
      <c r="AZ340" s="48" t="n"/>
      <c r="BA340" s="48" t="n"/>
      <c r="BB340" s="48" t="n"/>
      <c r="BC340" s="48" t="n"/>
      <c r="BD340" s="48" t="n"/>
      <c r="BE340" s="48" t="n"/>
      <c r="BF340" s="48" t="n"/>
      <c r="BG340" s="48" t="n"/>
      <c r="BH340" s="48" t="n"/>
      <c r="BI340" s="48" t="n"/>
      <c r="BJ340" s="48" t="n"/>
      <c r="BK340" s="48" t="n"/>
      <c r="BL340" s="48" t="n"/>
      <c r="BM340" s="48" t="n"/>
      <c r="BN340" s="48" t="n"/>
    </row>
    <row r="341">
      <c r="A341" s="47" t="n"/>
      <c r="B341" s="48" t="n"/>
      <c r="C341" s="48" t="n"/>
      <c r="D341" s="49" t="n"/>
      <c r="E341" s="48" t="n"/>
      <c r="F341" s="48" t="n"/>
      <c r="G341" s="50" t="n"/>
      <c r="H341" s="51" t="n"/>
      <c r="I341" s="51" t="n"/>
      <c r="J341" s="48" t="n"/>
      <c r="K341" s="52" t="n"/>
      <c r="L341" s="48" t="n"/>
      <c r="M341" s="48" t="n"/>
      <c r="N341" s="48" t="n"/>
      <c r="O341" s="48" t="n"/>
      <c r="P341" s="48" t="n"/>
      <c r="Q341" s="48" t="n"/>
      <c r="R341" s="48" t="n"/>
      <c r="S341" s="48" t="n"/>
      <c r="T341" s="48" t="n"/>
      <c r="U341" s="48" t="n"/>
      <c r="V341" s="48" t="n"/>
      <c r="W341" s="48" t="n"/>
      <c r="X341" s="48" t="n"/>
      <c r="Y341" s="48" t="n"/>
      <c r="Z341" s="48" t="n"/>
      <c r="AA341" s="48" t="n"/>
      <c r="AB341" s="48" t="n"/>
      <c r="AC341" s="48" t="n"/>
      <c r="AD341" s="48" t="n"/>
      <c r="AE341" s="48" t="n"/>
      <c r="AF341" s="48" t="n"/>
      <c r="AG341" s="48" t="n"/>
      <c r="AH341" s="48" t="n"/>
      <c r="AI341" s="48" t="n"/>
      <c r="AJ341" s="48" t="n"/>
      <c r="AK341" s="48" t="n"/>
      <c r="AL341" s="53" t="n"/>
      <c r="AM341" s="52" t="n"/>
      <c r="AN341" s="48" t="n"/>
      <c r="AO341" s="48" t="n"/>
      <c r="AP341" s="48" t="n"/>
      <c r="AQ341" s="48" t="n"/>
      <c r="AR341" s="48" t="n"/>
      <c r="AS341" s="48" t="n"/>
      <c r="AT341" s="48" t="n"/>
      <c r="AU341" s="48" t="n"/>
      <c r="AV341" s="48" t="n"/>
      <c r="AW341" s="48" t="n"/>
      <c r="AX341" s="48" t="n"/>
      <c r="AY341" s="48" t="n"/>
      <c r="AZ341" s="48" t="n"/>
      <c r="BA341" s="48" t="n"/>
      <c r="BB341" s="48" t="n"/>
      <c r="BC341" s="48" t="n"/>
      <c r="BD341" s="48" t="n"/>
      <c r="BE341" s="48" t="n"/>
      <c r="BF341" s="48" t="n"/>
      <c r="BG341" s="48" t="n"/>
      <c r="BH341" s="48" t="n"/>
      <c r="BI341" s="48" t="n"/>
      <c r="BJ341" s="48" t="n"/>
      <c r="BK341" s="48" t="n"/>
      <c r="BL341" s="48" t="n"/>
      <c r="BM341" s="48" t="n"/>
      <c r="BN341" s="48" t="n"/>
    </row>
    <row r="342">
      <c r="A342" s="47" t="n"/>
      <c r="B342" s="48" t="n"/>
      <c r="C342" s="48" t="n"/>
      <c r="D342" s="49" t="n"/>
      <c r="E342" s="48" t="n"/>
      <c r="F342" s="48" t="n"/>
      <c r="G342" s="50" t="n"/>
      <c r="H342" s="51" t="n"/>
      <c r="I342" s="51" t="n"/>
      <c r="J342" s="48" t="n"/>
      <c r="K342" s="52" t="n"/>
      <c r="L342" s="48" t="n"/>
      <c r="M342" s="48" t="n"/>
      <c r="N342" s="48" t="n"/>
      <c r="O342" s="48" t="n"/>
      <c r="P342" s="48" t="n"/>
      <c r="Q342" s="48" t="n"/>
      <c r="R342" s="48" t="n"/>
      <c r="S342" s="48" t="n"/>
      <c r="T342" s="48" t="n"/>
      <c r="U342" s="48" t="n"/>
      <c r="V342" s="48" t="n"/>
      <c r="W342" s="48" t="n"/>
      <c r="X342" s="48" t="n"/>
      <c r="Y342" s="48" t="n"/>
      <c r="Z342" s="48" t="n"/>
      <c r="AA342" s="48" t="n"/>
      <c r="AB342" s="48" t="n"/>
      <c r="AC342" s="48" t="n"/>
      <c r="AD342" s="48" t="n"/>
      <c r="AE342" s="48" t="n"/>
      <c r="AF342" s="48" t="n"/>
      <c r="AG342" s="48" t="n"/>
      <c r="AH342" s="48" t="n"/>
      <c r="AI342" s="48" t="n"/>
      <c r="AJ342" s="48" t="n"/>
      <c r="AK342" s="48" t="n"/>
      <c r="AL342" s="53" t="n"/>
      <c r="AM342" s="52" t="n"/>
      <c r="AN342" s="48" t="n"/>
      <c r="AO342" s="48" t="n"/>
      <c r="AP342" s="48" t="n"/>
      <c r="AQ342" s="48" t="n"/>
      <c r="AR342" s="48" t="n"/>
      <c r="AS342" s="48" t="n"/>
      <c r="AT342" s="48" t="n"/>
      <c r="AU342" s="48" t="n"/>
      <c r="AV342" s="48" t="n"/>
      <c r="AW342" s="48" t="n"/>
      <c r="AX342" s="48" t="n"/>
      <c r="AY342" s="48" t="n"/>
      <c r="AZ342" s="48" t="n"/>
      <c r="BA342" s="48" t="n"/>
      <c r="BB342" s="48" t="n"/>
      <c r="BC342" s="48" t="n"/>
      <c r="BD342" s="48" t="n"/>
      <c r="BE342" s="48" t="n"/>
      <c r="BF342" s="48" t="n"/>
      <c r="BG342" s="48" t="n"/>
      <c r="BH342" s="48" t="n"/>
      <c r="BI342" s="48" t="n"/>
      <c r="BJ342" s="48" t="n"/>
      <c r="BK342" s="48" t="n"/>
      <c r="BL342" s="48" t="n"/>
      <c r="BM342" s="48" t="n"/>
      <c r="BN342" s="48" t="n"/>
    </row>
    <row r="343">
      <c r="A343" s="47" t="n"/>
      <c r="B343" s="48" t="n"/>
      <c r="C343" s="48" t="n"/>
      <c r="D343" s="49" t="n"/>
      <c r="E343" s="48" t="n"/>
      <c r="F343" s="48" t="n"/>
      <c r="G343" s="50" t="n"/>
      <c r="H343" s="51" t="n"/>
      <c r="I343" s="51" t="n"/>
      <c r="J343" s="48" t="n"/>
      <c r="K343" s="52" t="n"/>
      <c r="L343" s="48" t="n"/>
      <c r="M343" s="48" t="n"/>
      <c r="N343" s="48" t="n"/>
      <c r="O343" s="48" t="n"/>
      <c r="P343" s="48" t="n"/>
      <c r="Q343" s="48" t="n"/>
      <c r="R343" s="48" t="n"/>
      <c r="S343" s="48" t="n"/>
      <c r="T343" s="48" t="n"/>
      <c r="U343" s="48" t="n"/>
      <c r="V343" s="48" t="n"/>
      <c r="W343" s="48" t="n"/>
      <c r="X343" s="48" t="n"/>
      <c r="Y343" s="48" t="n"/>
      <c r="Z343" s="48" t="n"/>
      <c r="AA343" s="48" t="n"/>
      <c r="AB343" s="48" t="n"/>
      <c r="AC343" s="48" t="n"/>
      <c r="AD343" s="48" t="n"/>
      <c r="AE343" s="48" t="n"/>
      <c r="AF343" s="48" t="n"/>
      <c r="AG343" s="48" t="n"/>
      <c r="AH343" s="48" t="n"/>
      <c r="AI343" s="48" t="n"/>
      <c r="AJ343" s="48" t="n"/>
      <c r="AK343" s="48" t="n"/>
      <c r="AL343" s="53" t="n"/>
      <c r="AM343" s="52" t="n"/>
      <c r="AN343" s="48" t="n"/>
      <c r="AO343" s="48" t="n"/>
      <c r="AP343" s="48" t="n"/>
      <c r="AQ343" s="48" t="n"/>
      <c r="AR343" s="48" t="n"/>
      <c r="AS343" s="48" t="n"/>
      <c r="AT343" s="48" t="n"/>
      <c r="AU343" s="48" t="n"/>
      <c r="AV343" s="48" t="n"/>
      <c r="AW343" s="48" t="n"/>
      <c r="AX343" s="48" t="n"/>
      <c r="AY343" s="48" t="n"/>
      <c r="AZ343" s="48" t="n"/>
      <c r="BA343" s="48" t="n"/>
      <c r="BB343" s="48" t="n"/>
      <c r="BC343" s="48" t="n"/>
      <c r="BD343" s="48" t="n"/>
      <c r="BE343" s="48" t="n"/>
      <c r="BF343" s="48" t="n"/>
      <c r="BG343" s="48" t="n"/>
      <c r="BH343" s="48" t="n"/>
      <c r="BI343" s="48" t="n"/>
      <c r="BJ343" s="48" t="n"/>
      <c r="BK343" s="48" t="n"/>
      <c r="BL343" s="48" t="n"/>
      <c r="BM343" s="48" t="n"/>
      <c r="BN343" s="48" t="n"/>
    </row>
    <row r="344">
      <c r="A344" s="47" t="n"/>
      <c r="B344" s="48" t="n"/>
      <c r="C344" s="48" t="n"/>
      <c r="D344" s="49" t="n"/>
      <c r="E344" s="48" t="n"/>
      <c r="F344" s="48" t="n"/>
      <c r="G344" s="50" t="n"/>
      <c r="H344" s="51" t="n"/>
      <c r="I344" s="51" t="n"/>
      <c r="J344" s="48" t="n"/>
      <c r="K344" s="52" t="n"/>
      <c r="L344" s="48" t="n"/>
      <c r="M344" s="48" t="n"/>
      <c r="N344" s="48" t="n"/>
      <c r="O344" s="48" t="n"/>
      <c r="P344" s="48" t="n"/>
      <c r="Q344" s="48" t="n"/>
      <c r="R344" s="48" t="n"/>
      <c r="S344" s="48" t="n"/>
      <c r="T344" s="48" t="n"/>
      <c r="U344" s="48" t="n"/>
      <c r="V344" s="48" t="n"/>
      <c r="W344" s="48" t="n"/>
      <c r="X344" s="48" t="n"/>
      <c r="Y344" s="48" t="n"/>
      <c r="Z344" s="48" t="n"/>
      <c r="AA344" s="48" t="n"/>
      <c r="AB344" s="48" t="n"/>
      <c r="AC344" s="48" t="n"/>
      <c r="AD344" s="48" t="n"/>
      <c r="AE344" s="48" t="n"/>
      <c r="AF344" s="48" t="n"/>
      <c r="AG344" s="48" t="n"/>
      <c r="AH344" s="48" t="n"/>
      <c r="AI344" s="48" t="n"/>
      <c r="AJ344" s="48" t="n"/>
      <c r="AK344" s="48" t="n"/>
      <c r="AL344" s="53" t="n"/>
      <c r="AM344" s="52" t="n"/>
      <c r="AN344" s="48" t="n"/>
      <c r="AO344" s="48" t="n"/>
      <c r="AP344" s="48" t="n"/>
      <c r="AQ344" s="48" t="n"/>
      <c r="AR344" s="48" t="n"/>
      <c r="AS344" s="48" t="n"/>
      <c r="AT344" s="48" t="n"/>
      <c r="AU344" s="48" t="n"/>
      <c r="AV344" s="48" t="n"/>
      <c r="AW344" s="48" t="n"/>
      <c r="AX344" s="48" t="n"/>
      <c r="AY344" s="48" t="n"/>
      <c r="AZ344" s="48" t="n"/>
      <c r="BA344" s="48" t="n"/>
      <c r="BB344" s="48" t="n"/>
      <c r="BC344" s="48" t="n"/>
      <c r="BD344" s="48" t="n"/>
      <c r="BE344" s="48" t="n"/>
      <c r="BF344" s="48" t="n"/>
      <c r="BG344" s="48" t="n"/>
      <c r="BH344" s="48" t="n"/>
      <c r="BI344" s="48" t="n"/>
      <c r="BJ344" s="48" t="n"/>
      <c r="BK344" s="48" t="n"/>
      <c r="BL344" s="48" t="n"/>
      <c r="BM344" s="48" t="n"/>
      <c r="BN344" s="48" t="n"/>
    </row>
    <row r="345">
      <c r="A345" s="47" t="n"/>
      <c r="B345" s="48" t="n"/>
      <c r="C345" s="48" t="n"/>
      <c r="D345" s="49" t="n"/>
      <c r="E345" s="48" t="n"/>
      <c r="F345" s="48" t="n"/>
      <c r="G345" s="50" t="n"/>
      <c r="H345" s="51" t="n"/>
      <c r="I345" s="51" t="n"/>
      <c r="J345" s="48" t="n"/>
      <c r="K345" s="52" t="n"/>
      <c r="L345" s="48" t="n"/>
      <c r="M345" s="48" t="n"/>
      <c r="N345" s="48" t="n"/>
      <c r="O345" s="48" t="n"/>
      <c r="P345" s="48" t="n"/>
      <c r="Q345" s="48" t="n"/>
      <c r="R345" s="48" t="n"/>
      <c r="S345" s="48" t="n"/>
      <c r="T345" s="48" t="n"/>
      <c r="U345" s="48" t="n"/>
      <c r="V345" s="48" t="n"/>
      <c r="W345" s="48" t="n"/>
      <c r="X345" s="48" t="n"/>
      <c r="Y345" s="48" t="n"/>
      <c r="Z345" s="48" t="n"/>
      <c r="AA345" s="48" t="n"/>
      <c r="AB345" s="48" t="n"/>
      <c r="AC345" s="48" t="n"/>
      <c r="AD345" s="48" t="n"/>
      <c r="AE345" s="48" t="n"/>
      <c r="AF345" s="48" t="n"/>
      <c r="AG345" s="48" t="n"/>
      <c r="AH345" s="48" t="n"/>
      <c r="AI345" s="48" t="n"/>
      <c r="AJ345" s="48" t="n"/>
      <c r="AK345" s="48" t="n"/>
      <c r="AL345" s="53" t="n"/>
      <c r="AM345" s="52" t="n"/>
      <c r="AN345" s="48" t="n"/>
      <c r="AO345" s="48" t="n"/>
      <c r="AP345" s="48" t="n"/>
      <c r="AQ345" s="48" t="n"/>
      <c r="AR345" s="48" t="n"/>
      <c r="AS345" s="48" t="n"/>
      <c r="AT345" s="48" t="n"/>
      <c r="AU345" s="48" t="n"/>
      <c r="AV345" s="48" t="n"/>
      <c r="AW345" s="48" t="n"/>
      <c r="AX345" s="48" t="n"/>
      <c r="AY345" s="48" t="n"/>
      <c r="AZ345" s="48" t="n"/>
      <c r="BA345" s="48" t="n"/>
      <c r="BB345" s="48" t="n"/>
      <c r="BC345" s="48" t="n"/>
      <c r="BD345" s="48" t="n"/>
      <c r="BE345" s="48" t="n"/>
      <c r="BF345" s="48" t="n"/>
      <c r="BG345" s="48" t="n"/>
      <c r="BH345" s="48" t="n"/>
      <c r="BI345" s="48" t="n"/>
      <c r="BJ345" s="48" t="n"/>
      <c r="BK345" s="48" t="n"/>
      <c r="BL345" s="48" t="n"/>
      <c r="BM345" s="48" t="n"/>
      <c r="BN345" s="48" t="n"/>
    </row>
    <row r="346">
      <c r="A346" s="47" t="n"/>
      <c r="B346" s="48" t="n"/>
      <c r="C346" s="48" t="n"/>
      <c r="D346" s="49" t="n"/>
      <c r="E346" s="48" t="n"/>
      <c r="F346" s="48" t="n"/>
      <c r="G346" s="50" t="n"/>
      <c r="H346" s="51" t="n"/>
      <c r="I346" s="51" t="n"/>
      <c r="J346" s="48" t="n"/>
      <c r="K346" s="52" t="n"/>
      <c r="L346" s="48" t="n"/>
      <c r="M346" s="48" t="n"/>
      <c r="N346" s="48" t="n"/>
      <c r="O346" s="48" t="n"/>
      <c r="P346" s="48" t="n"/>
      <c r="Q346" s="48" t="n"/>
      <c r="R346" s="48" t="n"/>
      <c r="S346" s="48" t="n"/>
      <c r="T346" s="48" t="n"/>
      <c r="U346" s="48" t="n"/>
      <c r="V346" s="48" t="n"/>
      <c r="W346" s="48" t="n"/>
      <c r="X346" s="48" t="n"/>
      <c r="Y346" s="48" t="n"/>
      <c r="Z346" s="48" t="n"/>
      <c r="AA346" s="48" t="n"/>
      <c r="AB346" s="48" t="n"/>
      <c r="AC346" s="48" t="n"/>
      <c r="AD346" s="48" t="n"/>
      <c r="AE346" s="48" t="n"/>
      <c r="AF346" s="48" t="n"/>
      <c r="AG346" s="48" t="n"/>
      <c r="AH346" s="48" t="n"/>
      <c r="AI346" s="48" t="n"/>
      <c r="AJ346" s="48" t="n"/>
      <c r="AK346" s="48" t="n"/>
      <c r="AL346" s="53" t="n"/>
      <c r="AM346" s="52" t="n"/>
      <c r="AN346" s="48" t="n"/>
      <c r="AO346" s="48" t="n"/>
      <c r="AP346" s="48" t="n"/>
      <c r="AQ346" s="48" t="n"/>
      <c r="AR346" s="48" t="n"/>
      <c r="AS346" s="48" t="n"/>
      <c r="AT346" s="48" t="n"/>
      <c r="AU346" s="48" t="n"/>
      <c r="AV346" s="48" t="n"/>
      <c r="AW346" s="48" t="n"/>
      <c r="AX346" s="48" t="n"/>
      <c r="AY346" s="48" t="n"/>
      <c r="AZ346" s="48" t="n"/>
      <c r="BA346" s="48" t="n"/>
      <c r="BB346" s="48" t="n"/>
      <c r="BC346" s="48" t="n"/>
      <c r="BD346" s="48" t="n"/>
      <c r="BE346" s="48" t="n"/>
      <c r="BF346" s="48" t="n"/>
      <c r="BG346" s="48" t="n"/>
      <c r="BH346" s="48" t="n"/>
      <c r="BI346" s="48" t="n"/>
      <c r="BJ346" s="48" t="n"/>
      <c r="BK346" s="48" t="n"/>
      <c r="BL346" s="48" t="n"/>
      <c r="BM346" s="48" t="n"/>
      <c r="BN346" s="48" t="n"/>
    </row>
    <row r="347">
      <c r="A347" s="47" t="n"/>
      <c r="B347" s="48" t="n"/>
      <c r="C347" s="48" t="n"/>
      <c r="D347" s="49" t="n"/>
      <c r="E347" s="48" t="n"/>
      <c r="F347" s="48" t="n"/>
      <c r="G347" s="50" t="n"/>
      <c r="H347" s="51" t="n"/>
      <c r="I347" s="51" t="n"/>
      <c r="J347" s="48" t="n"/>
      <c r="K347" s="52" t="n"/>
      <c r="L347" s="48" t="n"/>
      <c r="M347" s="48" t="n"/>
      <c r="N347" s="48" t="n"/>
      <c r="O347" s="48" t="n"/>
      <c r="P347" s="48" t="n"/>
      <c r="Q347" s="48" t="n"/>
      <c r="R347" s="48" t="n"/>
      <c r="S347" s="48" t="n"/>
      <c r="T347" s="48" t="n"/>
      <c r="U347" s="48" t="n"/>
      <c r="V347" s="48" t="n"/>
      <c r="W347" s="48" t="n"/>
      <c r="X347" s="48" t="n"/>
      <c r="Y347" s="48" t="n"/>
      <c r="Z347" s="48" t="n"/>
      <c r="AA347" s="48" t="n"/>
      <c r="AB347" s="48" t="n"/>
      <c r="AC347" s="48" t="n"/>
      <c r="AD347" s="48" t="n"/>
      <c r="AE347" s="48" t="n"/>
      <c r="AF347" s="48" t="n"/>
      <c r="AG347" s="48" t="n"/>
      <c r="AH347" s="48" t="n"/>
      <c r="AI347" s="48" t="n"/>
      <c r="AJ347" s="48" t="n"/>
      <c r="AK347" s="48" t="n"/>
      <c r="AL347" s="53" t="n"/>
      <c r="AM347" s="52" t="n"/>
      <c r="AN347" s="48" t="n"/>
      <c r="AO347" s="48" t="n"/>
      <c r="AP347" s="48" t="n"/>
      <c r="AQ347" s="48" t="n"/>
      <c r="AR347" s="48" t="n"/>
      <c r="AS347" s="48" t="n"/>
      <c r="AT347" s="48" t="n"/>
      <c r="AU347" s="48" t="n"/>
      <c r="AV347" s="48" t="n"/>
      <c r="AW347" s="48" t="n"/>
      <c r="AX347" s="48" t="n"/>
      <c r="AY347" s="48" t="n"/>
      <c r="AZ347" s="48" t="n"/>
      <c r="BA347" s="48" t="n"/>
      <c r="BB347" s="48" t="n"/>
      <c r="BC347" s="48" t="n"/>
      <c r="BD347" s="48" t="n"/>
      <c r="BE347" s="48" t="n"/>
      <c r="BF347" s="48" t="n"/>
      <c r="BG347" s="48" t="n"/>
      <c r="BH347" s="48" t="n"/>
      <c r="BI347" s="48" t="n"/>
      <c r="BJ347" s="48" t="n"/>
      <c r="BK347" s="48" t="n"/>
      <c r="BL347" s="48" t="n"/>
      <c r="BM347" s="48" t="n"/>
      <c r="BN347" s="48" t="n"/>
    </row>
    <row r="348">
      <c r="A348" s="47" t="n"/>
      <c r="B348" s="48" t="n"/>
      <c r="C348" s="48" t="n"/>
      <c r="D348" s="49" t="n"/>
      <c r="E348" s="48" t="n"/>
      <c r="F348" s="48" t="n"/>
      <c r="G348" s="50" t="n"/>
      <c r="H348" s="51" t="n"/>
      <c r="I348" s="51" t="n"/>
      <c r="J348" s="48" t="n"/>
      <c r="K348" s="52" t="n"/>
      <c r="L348" s="48" t="n"/>
      <c r="M348" s="48" t="n"/>
      <c r="N348" s="48" t="n"/>
      <c r="O348" s="48" t="n"/>
      <c r="P348" s="48" t="n"/>
      <c r="Q348" s="48" t="n"/>
      <c r="R348" s="48" t="n"/>
      <c r="S348" s="48" t="n"/>
      <c r="T348" s="48" t="n"/>
      <c r="U348" s="48" t="n"/>
      <c r="V348" s="48" t="n"/>
      <c r="W348" s="48" t="n"/>
      <c r="X348" s="48" t="n"/>
      <c r="Y348" s="48" t="n"/>
      <c r="Z348" s="48" t="n"/>
      <c r="AA348" s="48" t="n"/>
      <c r="AB348" s="48" t="n"/>
      <c r="AC348" s="48" t="n"/>
      <c r="AD348" s="48" t="n"/>
      <c r="AE348" s="48" t="n"/>
      <c r="AF348" s="48" t="n"/>
      <c r="AG348" s="48" t="n"/>
      <c r="AH348" s="48" t="n"/>
      <c r="AI348" s="48" t="n"/>
      <c r="AJ348" s="48" t="n"/>
      <c r="AK348" s="48" t="n"/>
      <c r="AL348" s="53" t="n"/>
      <c r="AM348" s="52" t="n"/>
      <c r="AN348" s="48" t="n"/>
      <c r="AO348" s="48" t="n"/>
      <c r="AP348" s="48" t="n"/>
      <c r="AQ348" s="48" t="n"/>
      <c r="AR348" s="48" t="n"/>
      <c r="AS348" s="48" t="n"/>
      <c r="AT348" s="48" t="n"/>
      <c r="AU348" s="48" t="n"/>
      <c r="AV348" s="48" t="n"/>
      <c r="AW348" s="48" t="n"/>
      <c r="AX348" s="48" t="n"/>
      <c r="AY348" s="48" t="n"/>
      <c r="AZ348" s="48" t="n"/>
      <c r="BA348" s="48" t="n"/>
      <c r="BB348" s="48" t="n"/>
      <c r="BC348" s="48" t="n"/>
      <c r="BD348" s="48" t="n"/>
      <c r="BE348" s="48" t="n"/>
      <c r="BF348" s="48" t="n"/>
      <c r="BG348" s="48" t="n"/>
      <c r="BH348" s="48" t="n"/>
      <c r="BI348" s="48" t="n"/>
      <c r="BJ348" s="48" t="n"/>
      <c r="BK348" s="48" t="n"/>
      <c r="BL348" s="48" t="n"/>
      <c r="BM348" s="48" t="n"/>
      <c r="BN348" s="48" t="n"/>
    </row>
    <row r="349">
      <c r="A349" s="47" t="n"/>
      <c r="B349" s="48" t="n"/>
      <c r="C349" s="48" t="n"/>
      <c r="D349" s="49" t="n"/>
      <c r="E349" s="48" t="n"/>
      <c r="F349" s="48" t="n"/>
      <c r="G349" s="50" t="n"/>
      <c r="H349" s="51" t="n"/>
      <c r="I349" s="51" t="n"/>
      <c r="J349" s="48" t="n"/>
      <c r="K349" s="52" t="n"/>
      <c r="L349" s="48" t="n"/>
      <c r="M349" s="48" t="n"/>
      <c r="N349" s="48" t="n"/>
      <c r="O349" s="48" t="n"/>
      <c r="P349" s="48" t="n"/>
      <c r="Q349" s="48" t="n"/>
      <c r="R349" s="48" t="n"/>
      <c r="S349" s="48" t="n"/>
      <c r="T349" s="48" t="n"/>
      <c r="U349" s="48" t="n"/>
      <c r="V349" s="48" t="n"/>
      <c r="W349" s="48" t="n"/>
      <c r="X349" s="48" t="n"/>
      <c r="Y349" s="48" t="n"/>
      <c r="Z349" s="48" t="n"/>
      <c r="AA349" s="48" t="n"/>
      <c r="AB349" s="48" t="n"/>
      <c r="AC349" s="48" t="n"/>
      <c r="AD349" s="48" t="n"/>
      <c r="AE349" s="48" t="n"/>
      <c r="AF349" s="48" t="n"/>
      <c r="AG349" s="48" t="n"/>
      <c r="AH349" s="48" t="n"/>
      <c r="AI349" s="48" t="n"/>
      <c r="AJ349" s="48" t="n"/>
      <c r="AK349" s="48" t="n"/>
      <c r="AL349" s="53" t="n"/>
      <c r="AM349" s="52" t="n"/>
      <c r="AN349" s="48" t="n"/>
      <c r="AO349" s="48" t="n"/>
      <c r="AP349" s="48" t="n"/>
      <c r="AQ349" s="48" t="n"/>
      <c r="AR349" s="48" t="n"/>
      <c r="AS349" s="48" t="n"/>
      <c r="AT349" s="48" t="n"/>
      <c r="AU349" s="48" t="n"/>
      <c r="AV349" s="48" t="n"/>
      <c r="AW349" s="48" t="n"/>
      <c r="AX349" s="48" t="n"/>
      <c r="AY349" s="48" t="n"/>
      <c r="AZ349" s="48" t="n"/>
      <c r="BA349" s="48" t="n"/>
      <c r="BB349" s="48" t="n"/>
      <c r="BC349" s="48" t="n"/>
      <c r="BD349" s="48" t="n"/>
      <c r="BE349" s="48" t="n"/>
      <c r="BF349" s="48" t="n"/>
      <c r="BG349" s="48" t="n"/>
      <c r="BH349" s="48" t="n"/>
      <c r="BI349" s="48" t="n"/>
      <c r="BJ349" s="48" t="n"/>
      <c r="BK349" s="48" t="n"/>
      <c r="BL349" s="48" t="n"/>
      <c r="BM349" s="48" t="n"/>
      <c r="BN349" s="48" t="n"/>
    </row>
    <row r="350">
      <c r="A350" s="47" t="n"/>
      <c r="B350" s="48" t="n"/>
      <c r="C350" s="48" t="n"/>
      <c r="D350" s="49" t="n"/>
      <c r="E350" s="48" t="n"/>
      <c r="F350" s="48" t="n"/>
      <c r="G350" s="50" t="n"/>
      <c r="H350" s="51" t="n"/>
      <c r="I350" s="51" t="n"/>
      <c r="J350" s="48" t="n"/>
      <c r="K350" s="52" t="n"/>
      <c r="L350" s="48" t="n"/>
      <c r="M350" s="48" t="n"/>
      <c r="N350" s="48" t="n"/>
      <c r="O350" s="48" t="n"/>
      <c r="P350" s="48" t="n"/>
      <c r="Q350" s="48" t="n"/>
      <c r="R350" s="48" t="n"/>
      <c r="S350" s="48" t="n"/>
      <c r="T350" s="48" t="n"/>
      <c r="U350" s="48" t="n"/>
      <c r="V350" s="48" t="n"/>
      <c r="W350" s="48" t="n"/>
      <c r="X350" s="48" t="n"/>
      <c r="Y350" s="48" t="n"/>
      <c r="Z350" s="48" t="n"/>
      <c r="AA350" s="48" t="n"/>
      <c r="AB350" s="48" t="n"/>
      <c r="AC350" s="48" t="n"/>
      <c r="AD350" s="48" t="n"/>
      <c r="AE350" s="48" t="n"/>
      <c r="AF350" s="48" t="n"/>
      <c r="AG350" s="48" t="n"/>
      <c r="AH350" s="48" t="n"/>
      <c r="AI350" s="48" t="n"/>
      <c r="AJ350" s="48" t="n"/>
      <c r="AK350" s="48" t="n"/>
      <c r="AL350" s="53" t="n"/>
      <c r="AM350" s="52" t="n"/>
      <c r="AN350" s="48" t="n"/>
      <c r="AO350" s="48" t="n"/>
      <c r="AP350" s="48" t="n"/>
      <c r="AQ350" s="48" t="n"/>
      <c r="AR350" s="48" t="n"/>
      <c r="AS350" s="48" t="n"/>
      <c r="AT350" s="48" t="n"/>
      <c r="AU350" s="48" t="n"/>
      <c r="AV350" s="48" t="n"/>
      <c r="AW350" s="48" t="n"/>
      <c r="AX350" s="48" t="n"/>
      <c r="AY350" s="48" t="n"/>
      <c r="AZ350" s="48" t="n"/>
      <c r="BA350" s="48" t="n"/>
      <c r="BB350" s="48" t="n"/>
      <c r="BC350" s="48" t="n"/>
      <c r="BD350" s="48" t="n"/>
      <c r="BE350" s="48" t="n"/>
      <c r="BF350" s="48" t="n"/>
      <c r="BG350" s="48" t="n"/>
      <c r="BH350" s="48" t="n"/>
      <c r="BI350" s="48" t="n"/>
      <c r="BJ350" s="48" t="n"/>
      <c r="BK350" s="48" t="n"/>
      <c r="BL350" s="48" t="n"/>
      <c r="BM350" s="48" t="n"/>
      <c r="BN350" s="48" t="n"/>
    </row>
    <row r="351">
      <c r="A351" s="47" t="n"/>
      <c r="B351" s="48" t="n"/>
      <c r="C351" s="48" t="n"/>
      <c r="D351" s="49" t="n"/>
      <c r="E351" s="48" t="n"/>
      <c r="F351" s="48" t="n"/>
      <c r="G351" s="50" t="n"/>
      <c r="H351" s="51" t="n"/>
      <c r="I351" s="51" t="n"/>
      <c r="J351" s="48" t="n"/>
      <c r="K351" s="52" t="n"/>
      <c r="L351" s="48" t="n"/>
      <c r="M351" s="48" t="n"/>
      <c r="N351" s="48" t="n"/>
      <c r="O351" s="48" t="n"/>
      <c r="P351" s="48" t="n"/>
      <c r="Q351" s="48" t="n"/>
      <c r="R351" s="48" t="n"/>
      <c r="S351" s="48" t="n"/>
      <c r="T351" s="48" t="n"/>
      <c r="U351" s="48" t="n"/>
      <c r="V351" s="48" t="n"/>
      <c r="W351" s="48" t="n"/>
      <c r="X351" s="48" t="n"/>
      <c r="Y351" s="48" t="n"/>
      <c r="Z351" s="48" t="n"/>
      <c r="AA351" s="48" t="n"/>
      <c r="AB351" s="48" t="n"/>
      <c r="AC351" s="48" t="n"/>
      <c r="AD351" s="48" t="n"/>
      <c r="AE351" s="48" t="n"/>
      <c r="AF351" s="48" t="n"/>
      <c r="AG351" s="48" t="n"/>
      <c r="AH351" s="48" t="n"/>
      <c r="AI351" s="48" t="n"/>
      <c r="AJ351" s="48" t="n"/>
      <c r="AK351" s="48" t="n"/>
      <c r="AL351" s="53" t="n"/>
      <c r="AM351" s="52" t="n"/>
      <c r="AN351" s="48" t="n"/>
      <c r="AO351" s="48" t="n"/>
      <c r="AP351" s="48" t="n"/>
      <c r="AQ351" s="48" t="n"/>
      <c r="AR351" s="48" t="n"/>
      <c r="AS351" s="48" t="n"/>
      <c r="AT351" s="48" t="n"/>
      <c r="AU351" s="48" t="n"/>
      <c r="AV351" s="48" t="n"/>
      <c r="AW351" s="48" t="n"/>
      <c r="AX351" s="48" t="n"/>
      <c r="AY351" s="48" t="n"/>
      <c r="AZ351" s="48" t="n"/>
      <c r="BA351" s="48" t="n"/>
      <c r="BB351" s="48" t="n"/>
      <c r="BC351" s="48" t="n"/>
      <c r="BD351" s="48" t="n"/>
      <c r="BE351" s="48" t="n"/>
      <c r="BF351" s="48" t="n"/>
      <c r="BG351" s="48" t="n"/>
      <c r="BH351" s="48" t="n"/>
      <c r="BI351" s="48" t="n"/>
      <c r="BJ351" s="48" t="n"/>
      <c r="BK351" s="48" t="n"/>
      <c r="BL351" s="48" t="n"/>
      <c r="BM351" s="48" t="n"/>
      <c r="BN351" s="48" t="n"/>
    </row>
    <row r="352">
      <c r="A352" s="47" t="n"/>
      <c r="B352" s="48" t="n"/>
      <c r="C352" s="48" t="n"/>
      <c r="D352" s="49" t="n"/>
      <c r="E352" s="48" t="n"/>
      <c r="F352" s="48" t="n"/>
      <c r="G352" s="50" t="n"/>
      <c r="H352" s="51" t="n"/>
      <c r="I352" s="51" t="n"/>
      <c r="J352" s="48" t="n"/>
      <c r="K352" s="52" t="n"/>
      <c r="L352" s="48" t="n"/>
      <c r="M352" s="48" t="n"/>
      <c r="N352" s="48" t="n"/>
      <c r="O352" s="48" t="n"/>
      <c r="P352" s="48" t="n"/>
      <c r="Q352" s="48" t="n"/>
      <c r="R352" s="48" t="n"/>
      <c r="S352" s="48" t="n"/>
      <c r="T352" s="48" t="n"/>
      <c r="U352" s="48" t="n"/>
      <c r="V352" s="48" t="n"/>
      <c r="W352" s="48" t="n"/>
      <c r="X352" s="48" t="n"/>
      <c r="Y352" s="48" t="n"/>
      <c r="Z352" s="48" t="n"/>
      <c r="AA352" s="48" t="n"/>
      <c r="AB352" s="48" t="n"/>
      <c r="AC352" s="48" t="n"/>
      <c r="AD352" s="48" t="n"/>
      <c r="AE352" s="48" t="n"/>
      <c r="AF352" s="48" t="n"/>
      <c r="AG352" s="48" t="n"/>
      <c r="AH352" s="48" t="n"/>
      <c r="AI352" s="48" t="n"/>
      <c r="AJ352" s="48" t="n"/>
      <c r="AK352" s="48" t="n"/>
      <c r="AL352" s="53" t="n"/>
      <c r="AM352" s="52" t="n"/>
      <c r="AN352" s="48" t="n"/>
      <c r="AO352" s="48" t="n"/>
      <c r="AP352" s="48" t="n"/>
      <c r="AQ352" s="48" t="n"/>
      <c r="AR352" s="48" t="n"/>
      <c r="AS352" s="48" t="n"/>
      <c r="AT352" s="48" t="n"/>
      <c r="AU352" s="48" t="n"/>
      <c r="AV352" s="48" t="n"/>
      <c r="AW352" s="48" t="n"/>
      <c r="AX352" s="48" t="n"/>
      <c r="AY352" s="48" t="n"/>
      <c r="AZ352" s="48" t="n"/>
      <c r="BA352" s="48" t="n"/>
      <c r="BB352" s="48" t="n"/>
      <c r="BC352" s="48" t="n"/>
      <c r="BD352" s="48" t="n"/>
      <c r="BE352" s="48" t="n"/>
      <c r="BF352" s="48" t="n"/>
      <c r="BG352" s="48" t="n"/>
      <c r="BH352" s="48" t="n"/>
      <c r="BI352" s="48" t="n"/>
      <c r="BJ352" s="48" t="n"/>
      <c r="BK352" s="48" t="n"/>
      <c r="BL352" s="48" t="n"/>
      <c r="BM352" s="48" t="n"/>
      <c r="BN352" s="48" t="n"/>
    </row>
    <row r="353">
      <c r="A353" s="47" t="n"/>
      <c r="B353" s="48" t="n"/>
      <c r="C353" s="48" t="n"/>
      <c r="D353" s="49" t="n"/>
      <c r="E353" s="48" t="n"/>
      <c r="F353" s="48" t="n"/>
      <c r="G353" s="50" t="n"/>
      <c r="H353" s="51" t="n"/>
      <c r="I353" s="51" t="n"/>
      <c r="J353" s="48" t="n"/>
      <c r="K353" s="52" t="n"/>
      <c r="L353" s="48" t="n"/>
      <c r="M353" s="48" t="n"/>
      <c r="N353" s="48" t="n"/>
      <c r="O353" s="48" t="n"/>
      <c r="P353" s="48" t="n"/>
      <c r="Q353" s="48" t="n"/>
      <c r="R353" s="48" t="n"/>
      <c r="S353" s="48" t="n"/>
      <c r="T353" s="48" t="n"/>
      <c r="U353" s="48" t="n"/>
      <c r="V353" s="48" t="n"/>
      <c r="W353" s="48" t="n"/>
      <c r="X353" s="48" t="n"/>
      <c r="Y353" s="48" t="n"/>
      <c r="Z353" s="48" t="n"/>
      <c r="AA353" s="48" t="n"/>
      <c r="AB353" s="48" t="n"/>
      <c r="AC353" s="48" t="n"/>
      <c r="AD353" s="48" t="n"/>
      <c r="AE353" s="48" t="n"/>
      <c r="AF353" s="48" t="n"/>
      <c r="AG353" s="48" t="n"/>
      <c r="AH353" s="48" t="n"/>
      <c r="AI353" s="48" t="n"/>
      <c r="AJ353" s="48" t="n"/>
      <c r="AK353" s="48" t="n"/>
      <c r="AL353" s="53" t="n"/>
      <c r="AM353" s="52" t="n"/>
      <c r="AN353" s="48" t="n"/>
      <c r="AO353" s="48" t="n"/>
      <c r="AP353" s="48" t="n"/>
      <c r="AQ353" s="48" t="n"/>
      <c r="AR353" s="48" t="n"/>
      <c r="AS353" s="48" t="n"/>
      <c r="AT353" s="48" t="n"/>
      <c r="AU353" s="48" t="n"/>
      <c r="AV353" s="48" t="n"/>
      <c r="AW353" s="48" t="n"/>
      <c r="AX353" s="48" t="n"/>
      <c r="AY353" s="48" t="n"/>
      <c r="AZ353" s="48" t="n"/>
      <c r="BA353" s="48" t="n"/>
      <c r="BB353" s="48" t="n"/>
      <c r="BC353" s="48" t="n"/>
      <c r="BD353" s="48" t="n"/>
      <c r="BE353" s="48" t="n"/>
      <c r="BF353" s="48" t="n"/>
      <c r="BG353" s="48" t="n"/>
      <c r="BH353" s="48" t="n"/>
      <c r="BI353" s="48" t="n"/>
      <c r="BJ353" s="48" t="n"/>
      <c r="BK353" s="48" t="n"/>
      <c r="BL353" s="48" t="n"/>
      <c r="BM353" s="48" t="n"/>
      <c r="BN353" s="48" t="n"/>
    </row>
    <row r="354">
      <c r="A354" s="47" t="n"/>
      <c r="B354" s="48" t="n"/>
      <c r="C354" s="48" t="n"/>
      <c r="D354" s="49" t="n"/>
      <c r="E354" s="48" t="n"/>
      <c r="F354" s="48" t="n"/>
      <c r="G354" s="50" t="n"/>
      <c r="H354" s="51" t="n"/>
      <c r="I354" s="51" t="n"/>
      <c r="J354" s="48" t="n"/>
      <c r="K354" s="52" t="n"/>
      <c r="L354" s="48" t="n"/>
      <c r="M354" s="48" t="n"/>
      <c r="N354" s="48" t="n"/>
      <c r="O354" s="48" t="n"/>
      <c r="P354" s="48" t="n"/>
      <c r="Q354" s="48" t="n"/>
      <c r="R354" s="48" t="n"/>
      <c r="S354" s="48" t="n"/>
      <c r="T354" s="48" t="n"/>
      <c r="U354" s="48" t="n"/>
      <c r="V354" s="48" t="n"/>
      <c r="W354" s="48" t="n"/>
      <c r="X354" s="48" t="n"/>
      <c r="Y354" s="48" t="n"/>
      <c r="Z354" s="48" t="n"/>
      <c r="AA354" s="48" t="n"/>
      <c r="AB354" s="48" t="n"/>
      <c r="AC354" s="48" t="n"/>
      <c r="AD354" s="48" t="n"/>
      <c r="AE354" s="48" t="n"/>
      <c r="AF354" s="48" t="n"/>
      <c r="AG354" s="48" t="n"/>
      <c r="AH354" s="48" t="n"/>
      <c r="AI354" s="48" t="n"/>
      <c r="AJ354" s="48" t="n"/>
      <c r="AK354" s="48" t="n"/>
      <c r="AL354" s="53" t="n"/>
      <c r="AM354" s="52" t="n"/>
      <c r="AN354" s="48" t="n"/>
      <c r="AO354" s="48" t="n"/>
      <c r="AP354" s="48" t="n"/>
      <c r="AQ354" s="48" t="n"/>
      <c r="AR354" s="48" t="n"/>
      <c r="AS354" s="48" t="n"/>
      <c r="AT354" s="48" t="n"/>
      <c r="AU354" s="48" t="n"/>
      <c r="AV354" s="48" t="n"/>
      <c r="AW354" s="48" t="n"/>
      <c r="AX354" s="48" t="n"/>
      <c r="AY354" s="48" t="n"/>
      <c r="AZ354" s="48" t="n"/>
      <c r="BA354" s="48" t="n"/>
      <c r="BB354" s="48" t="n"/>
      <c r="BC354" s="48" t="n"/>
      <c r="BD354" s="48" t="n"/>
      <c r="BE354" s="48" t="n"/>
      <c r="BF354" s="48" t="n"/>
      <c r="BG354" s="48" t="n"/>
      <c r="BH354" s="48" t="n"/>
      <c r="BI354" s="48" t="n"/>
      <c r="BJ354" s="48" t="n"/>
      <c r="BK354" s="48" t="n"/>
      <c r="BL354" s="48" t="n"/>
      <c r="BM354" s="48" t="n"/>
      <c r="BN354" s="48" t="n"/>
    </row>
    <row r="355">
      <c r="A355" s="47" t="n"/>
      <c r="B355" s="48" t="n"/>
      <c r="C355" s="48" t="n"/>
      <c r="D355" s="49" t="n"/>
      <c r="E355" s="48" t="n"/>
      <c r="F355" s="48" t="n"/>
      <c r="G355" s="50" t="n"/>
      <c r="H355" s="51" t="n"/>
      <c r="I355" s="51" t="n"/>
      <c r="J355" s="48" t="n"/>
      <c r="K355" s="52" t="n"/>
      <c r="L355" s="48" t="n"/>
      <c r="M355" s="48" t="n"/>
      <c r="N355" s="48" t="n"/>
      <c r="O355" s="48" t="n"/>
      <c r="P355" s="48" t="n"/>
      <c r="Q355" s="48" t="n"/>
      <c r="R355" s="48" t="n"/>
      <c r="S355" s="48" t="n"/>
      <c r="T355" s="48" t="n"/>
      <c r="U355" s="48" t="n"/>
      <c r="V355" s="48" t="n"/>
      <c r="W355" s="48" t="n"/>
      <c r="X355" s="48" t="n"/>
      <c r="Y355" s="48" t="n"/>
      <c r="Z355" s="48" t="n"/>
      <c r="AA355" s="48" t="n"/>
      <c r="AB355" s="48" t="n"/>
      <c r="AC355" s="48" t="n"/>
      <c r="AD355" s="48" t="n"/>
      <c r="AE355" s="48" t="n"/>
      <c r="AF355" s="48" t="n"/>
      <c r="AG355" s="48" t="n"/>
      <c r="AH355" s="48" t="n"/>
      <c r="AI355" s="48" t="n"/>
      <c r="AJ355" s="48" t="n"/>
      <c r="AK355" s="48" t="n"/>
      <c r="AL355" s="53" t="n"/>
      <c r="AM355" s="52" t="n"/>
      <c r="AN355" s="48" t="n"/>
      <c r="AO355" s="48" t="n"/>
      <c r="AP355" s="48" t="n"/>
      <c r="AQ355" s="48" t="n"/>
      <c r="AR355" s="48" t="n"/>
      <c r="AS355" s="48" t="n"/>
      <c r="AT355" s="48" t="n"/>
      <c r="AU355" s="48" t="n"/>
      <c r="AV355" s="48" t="n"/>
      <c r="AW355" s="48" t="n"/>
      <c r="AX355" s="48" t="n"/>
      <c r="AY355" s="48" t="n"/>
      <c r="AZ355" s="48" t="n"/>
      <c r="BA355" s="48" t="n"/>
      <c r="BB355" s="48" t="n"/>
      <c r="BC355" s="48" t="n"/>
      <c r="BD355" s="48" t="n"/>
      <c r="BE355" s="48" t="n"/>
      <c r="BF355" s="48" t="n"/>
      <c r="BG355" s="48" t="n"/>
      <c r="BH355" s="48" t="n"/>
      <c r="BI355" s="48" t="n"/>
      <c r="BJ355" s="48" t="n"/>
      <c r="BK355" s="48" t="n"/>
      <c r="BL355" s="48" t="n"/>
      <c r="BM355" s="48" t="n"/>
      <c r="BN355" s="48" t="n"/>
    </row>
    <row r="356">
      <c r="A356" s="47" t="n"/>
      <c r="B356" s="48" t="n"/>
      <c r="C356" s="48" t="n"/>
      <c r="D356" s="49" t="n"/>
      <c r="E356" s="48" t="n"/>
      <c r="F356" s="48" t="n"/>
      <c r="G356" s="50" t="n"/>
      <c r="H356" s="51" t="n"/>
      <c r="I356" s="51" t="n"/>
      <c r="J356" s="48" t="n"/>
      <c r="K356" s="52" t="n"/>
      <c r="L356" s="48" t="n"/>
      <c r="M356" s="48" t="n"/>
      <c r="N356" s="48" t="n"/>
      <c r="O356" s="48" t="n"/>
      <c r="P356" s="48" t="n"/>
      <c r="Q356" s="48" t="n"/>
      <c r="R356" s="48" t="n"/>
      <c r="S356" s="48" t="n"/>
      <c r="T356" s="48" t="n"/>
      <c r="U356" s="48" t="n"/>
      <c r="V356" s="48" t="n"/>
      <c r="W356" s="48" t="n"/>
      <c r="X356" s="48" t="n"/>
      <c r="Y356" s="48" t="n"/>
      <c r="Z356" s="48" t="n"/>
      <c r="AA356" s="48" t="n"/>
      <c r="AB356" s="48" t="n"/>
      <c r="AC356" s="48" t="n"/>
      <c r="AD356" s="48" t="n"/>
      <c r="AE356" s="48" t="n"/>
      <c r="AF356" s="48" t="n"/>
      <c r="AG356" s="48" t="n"/>
      <c r="AH356" s="48" t="n"/>
      <c r="AI356" s="48" t="n"/>
      <c r="AJ356" s="48" t="n"/>
      <c r="AK356" s="48" t="n"/>
      <c r="AL356" s="53" t="n"/>
      <c r="AM356" s="52" t="n"/>
      <c r="AN356" s="48" t="n"/>
      <c r="AO356" s="48" t="n"/>
      <c r="AP356" s="48" t="n"/>
      <c r="AQ356" s="48" t="n"/>
      <c r="AR356" s="48" t="n"/>
      <c r="AS356" s="48" t="n"/>
      <c r="AT356" s="48" t="n"/>
      <c r="AU356" s="48" t="n"/>
      <c r="AV356" s="48" t="n"/>
      <c r="AW356" s="48" t="n"/>
      <c r="AX356" s="48" t="n"/>
      <c r="AY356" s="48" t="n"/>
      <c r="AZ356" s="48" t="n"/>
      <c r="BA356" s="48" t="n"/>
      <c r="BB356" s="48" t="n"/>
      <c r="BC356" s="48" t="n"/>
      <c r="BD356" s="48" t="n"/>
      <c r="BE356" s="48" t="n"/>
      <c r="BF356" s="48" t="n"/>
      <c r="BG356" s="48" t="n"/>
      <c r="BH356" s="48" t="n"/>
      <c r="BI356" s="48" t="n"/>
      <c r="BJ356" s="48" t="n"/>
      <c r="BK356" s="48" t="n"/>
      <c r="BL356" s="48" t="n"/>
      <c r="BM356" s="48" t="n"/>
      <c r="BN356" s="48" t="n"/>
    </row>
    <row r="357">
      <c r="A357" s="47" t="n"/>
      <c r="B357" s="48" t="n"/>
      <c r="C357" s="48" t="n"/>
      <c r="D357" s="49" t="n"/>
      <c r="E357" s="48" t="n"/>
      <c r="F357" s="48" t="n"/>
      <c r="G357" s="50" t="n"/>
      <c r="H357" s="51" t="n"/>
      <c r="I357" s="51" t="n"/>
      <c r="J357" s="48" t="n"/>
      <c r="K357" s="52" t="n"/>
      <c r="L357" s="48" t="n"/>
      <c r="M357" s="48" t="n"/>
      <c r="N357" s="48" t="n"/>
      <c r="O357" s="48" t="n"/>
      <c r="P357" s="48" t="n"/>
      <c r="Q357" s="48" t="n"/>
      <c r="R357" s="48" t="n"/>
      <c r="S357" s="48" t="n"/>
      <c r="T357" s="48" t="n"/>
      <c r="U357" s="48" t="n"/>
      <c r="V357" s="48" t="n"/>
      <c r="W357" s="48" t="n"/>
      <c r="X357" s="48" t="n"/>
      <c r="Y357" s="48" t="n"/>
      <c r="Z357" s="48" t="n"/>
      <c r="AA357" s="48" t="n"/>
      <c r="AB357" s="48" t="n"/>
      <c r="AC357" s="48" t="n"/>
      <c r="AD357" s="48" t="n"/>
      <c r="AE357" s="48" t="n"/>
      <c r="AF357" s="48" t="n"/>
      <c r="AG357" s="48" t="n"/>
      <c r="AH357" s="48" t="n"/>
      <c r="AI357" s="48" t="n"/>
      <c r="AJ357" s="48" t="n"/>
      <c r="AK357" s="48" t="n"/>
      <c r="AL357" s="53" t="n"/>
      <c r="AM357" s="52" t="n"/>
      <c r="AN357" s="48" t="n"/>
      <c r="AO357" s="48" t="n"/>
      <c r="AP357" s="48" t="n"/>
      <c r="AQ357" s="48" t="n"/>
      <c r="AR357" s="48" t="n"/>
      <c r="AS357" s="48" t="n"/>
      <c r="AT357" s="48" t="n"/>
      <c r="AU357" s="48" t="n"/>
      <c r="AV357" s="48" t="n"/>
      <c r="AW357" s="48" t="n"/>
      <c r="AX357" s="48" t="n"/>
      <c r="AY357" s="48" t="n"/>
      <c r="AZ357" s="48" t="n"/>
      <c r="BA357" s="48" t="n"/>
      <c r="BB357" s="48" t="n"/>
      <c r="BC357" s="48" t="n"/>
      <c r="BD357" s="48" t="n"/>
      <c r="BE357" s="48" t="n"/>
      <c r="BF357" s="48" t="n"/>
      <c r="BG357" s="48" t="n"/>
      <c r="BH357" s="48" t="n"/>
      <c r="BI357" s="48" t="n"/>
      <c r="BJ357" s="48" t="n"/>
      <c r="BK357" s="48" t="n"/>
      <c r="BL357" s="48" t="n"/>
      <c r="BM357" s="48" t="n"/>
      <c r="BN357" s="48" t="n"/>
    </row>
    <row r="358">
      <c r="A358" s="47" t="n"/>
      <c r="B358" s="48" t="n"/>
      <c r="C358" s="48" t="n"/>
      <c r="D358" s="49" t="n"/>
      <c r="E358" s="48" t="n"/>
      <c r="F358" s="48" t="n"/>
      <c r="G358" s="50" t="n"/>
      <c r="H358" s="51" t="n"/>
      <c r="I358" s="51" t="n"/>
      <c r="J358" s="48" t="n"/>
      <c r="K358" s="52" t="n"/>
      <c r="L358" s="48" t="n"/>
      <c r="M358" s="48" t="n"/>
      <c r="N358" s="48" t="n"/>
      <c r="O358" s="48" t="n"/>
      <c r="P358" s="48" t="n"/>
      <c r="Q358" s="48" t="n"/>
      <c r="R358" s="48" t="n"/>
      <c r="S358" s="48" t="n"/>
      <c r="T358" s="48" t="n"/>
      <c r="U358" s="48" t="n"/>
      <c r="V358" s="48" t="n"/>
      <c r="W358" s="48" t="n"/>
      <c r="X358" s="48" t="n"/>
      <c r="Y358" s="48" t="n"/>
      <c r="Z358" s="48" t="n"/>
      <c r="AA358" s="48" t="n"/>
      <c r="AB358" s="48" t="n"/>
      <c r="AC358" s="48" t="n"/>
      <c r="AD358" s="48" t="n"/>
      <c r="AE358" s="48" t="n"/>
      <c r="AF358" s="48" t="n"/>
      <c r="AG358" s="48" t="n"/>
      <c r="AH358" s="48" t="n"/>
      <c r="AI358" s="48" t="n"/>
      <c r="AJ358" s="48" t="n"/>
      <c r="AK358" s="48" t="n"/>
      <c r="AL358" s="53" t="n"/>
      <c r="AM358" s="52" t="n"/>
      <c r="AN358" s="48" t="n"/>
      <c r="AO358" s="48" t="n"/>
      <c r="AP358" s="48" t="n"/>
      <c r="AQ358" s="48" t="n"/>
      <c r="AR358" s="48" t="n"/>
      <c r="AS358" s="48" t="n"/>
      <c r="AT358" s="48" t="n"/>
      <c r="AU358" s="48" t="n"/>
      <c r="AV358" s="48" t="n"/>
      <c r="AW358" s="48" t="n"/>
      <c r="AX358" s="48" t="n"/>
      <c r="AY358" s="48" t="n"/>
      <c r="AZ358" s="48" t="n"/>
      <c r="BA358" s="48" t="n"/>
      <c r="BB358" s="48" t="n"/>
      <c r="BC358" s="48" t="n"/>
      <c r="BD358" s="48" t="n"/>
      <c r="BE358" s="48" t="n"/>
      <c r="BF358" s="48" t="n"/>
      <c r="BG358" s="48" t="n"/>
      <c r="BH358" s="48" t="n"/>
      <c r="BI358" s="48" t="n"/>
      <c r="BJ358" s="48" t="n"/>
      <c r="BK358" s="48" t="n"/>
      <c r="BL358" s="48" t="n"/>
      <c r="BM358" s="48" t="n"/>
      <c r="BN358" s="48" t="n"/>
    </row>
    <row r="359">
      <c r="A359" s="47" t="n"/>
      <c r="B359" s="48" t="n"/>
      <c r="C359" s="48" t="n"/>
      <c r="D359" s="49" t="n"/>
      <c r="E359" s="48" t="n"/>
      <c r="F359" s="48" t="n"/>
      <c r="G359" s="50" t="n"/>
      <c r="H359" s="51" t="n"/>
      <c r="I359" s="51" t="n"/>
      <c r="J359" s="48" t="n"/>
      <c r="K359" s="52" t="n"/>
      <c r="L359" s="48" t="n"/>
      <c r="M359" s="48" t="n"/>
      <c r="N359" s="48" t="n"/>
      <c r="O359" s="48" t="n"/>
      <c r="P359" s="48" t="n"/>
      <c r="Q359" s="48" t="n"/>
      <c r="R359" s="48" t="n"/>
      <c r="S359" s="48" t="n"/>
      <c r="T359" s="48" t="n"/>
      <c r="U359" s="48" t="n"/>
      <c r="V359" s="48" t="n"/>
      <c r="W359" s="48" t="n"/>
      <c r="X359" s="48" t="n"/>
      <c r="Y359" s="48" t="n"/>
      <c r="Z359" s="48" t="n"/>
      <c r="AA359" s="48" t="n"/>
      <c r="AB359" s="48" t="n"/>
      <c r="AC359" s="48" t="n"/>
      <c r="AD359" s="48" t="n"/>
      <c r="AE359" s="48" t="n"/>
      <c r="AF359" s="48" t="n"/>
      <c r="AG359" s="48" t="n"/>
      <c r="AH359" s="48" t="n"/>
      <c r="AI359" s="48" t="n"/>
      <c r="AJ359" s="48" t="n"/>
      <c r="AK359" s="48" t="n"/>
      <c r="AL359" s="53" t="n"/>
      <c r="AM359" s="52" t="n"/>
      <c r="AN359" s="48" t="n"/>
      <c r="AO359" s="48" t="n"/>
      <c r="AP359" s="48" t="n"/>
      <c r="AQ359" s="48" t="n"/>
      <c r="AR359" s="48" t="n"/>
      <c r="AS359" s="48" t="n"/>
      <c r="AT359" s="48" t="n"/>
      <c r="AU359" s="48" t="n"/>
      <c r="AV359" s="48" t="n"/>
      <c r="AW359" s="48" t="n"/>
      <c r="AX359" s="48" t="n"/>
      <c r="AY359" s="48" t="n"/>
      <c r="AZ359" s="48" t="n"/>
      <c r="BA359" s="48" t="n"/>
      <c r="BB359" s="48" t="n"/>
      <c r="BC359" s="48" t="n"/>
      <c r="BD359" s="48" t="n"/>
      <c r="BE359" s="48" t="n"/>
      <c r="BF359" s="48" t="n"/>
      <c r="BG359" s="48" t="n"/>
      <c r="BH359" s="48" t="n"/>
      <c r="BI359" s="48" t="n"/>
      <c r="BJ359" s="48" t="n"/>
      <c r="BK359" s="48" t="n"/>
      <c r="BL359" s="48" t="n"/>
      <c r="BM359" s="48" t="n"/>
      <c r="BN359" s="48" t="n"/>
    </row>
    <row r="360">
      <c r="A360" s="47" t="n"/>
      <c r="B360" s="48" t="n"/>
      <c r="C360" s="48" t="n"/>
      <c r="D360" s="49" t="n"/>
      <c r="E360" s="48" t="n"/>
      <c r="F360" s="48" t="n"/>
      <c r="G360" s="50" t="n"/>
      <c r="H360" s="51" t="n"/>
      <c r="I360" s="51" t="n"/>
      <c r="J360" s="48" t="n"/>
      <c r="K360" s="52" t="n"/>
      <c r="L360" s="48" t="n"/>
      <c r="M360" s="48" t="n"/>
      <c r="N360" s="48" t="n"/>
      <c r="O360" s="48" t="n"/>
      <c r="P360" s="48" t="n"/>
      <c r="Q360" s="48" t="n"/>
      <c r="R360" s="48" t="n"/>
      <c r="S360" s="48" t="n"/>
      <c r="T360" s="48" t="n"/>
      <c r="U360" s="48" t="n"/>
      <c r="V360" s="48" t="n"/>
      <c r="W360" s="48" t="n"/>
      <c r="X360" s="48" t="n"/>
      <c r="Y360" s="48" t="n"/>
      <c r="Z360" s="48" t="n"/>
      <c r="AA360" s="48" t="n"/>
      <c r="AB360" s="48" t="n"/>
      <c r="AC360" s="48" t="n"/>
      <c r="AD360" s="48" t="n"/>
      <c r="AE360" s="48" t="n"/>
      <c r="AF360" s="48" t="n"/>
      <c r="AG360" s="48" t="n"/>
      <c r="AH360" s="48" t="n"/>
      <c r="AI360" s="48" t="n"/>
      <c r="AJ360" s="48" t="n"/>
      <c r="AK360" s="48" t="n"/>
      <c r="AL360" s="53" t="n"/>
      <c r="AM360" s="52" t="n"/>
      <c r="AN360" s="48" t="n"/>
      <c r="AO360" s="48" t="n"/>
      <c r="AP360" s="48" t="n"/>
      <c r="AQ360" s="48" t="n"/>
      <c r="AR360" s="48" t="n"/>
      <c r="AS360" s="48" t="n"/>
      <c r="AT360" s="48" t="n"/>
      <c r="AU360" s="48" t="n"/>
      <c r="AV360" s="48" t="n"/>
      <c r="AW360" s="48" t="n"/>
      <c r="AX360" s="48" t="n"/>
      <c r="AY360" s="48" t="n"/>
      <c r="AZ360" s="48" t="n"/>
      <c r="BA360" s="48" t="n"/>
      <c r="BB360" s="48" t="n"/>
      <c r="BC360" s="48" t="n"/>
      <c r="BD360" s="48" t="n"/>
      <c r="BE360" s="48" t="n"/>
      <c r="BF360" s="48" t="n"/>
      <c r="BG360" s="48" t="n"/>
      <c r="BH360" s="48" t="n"/>
      <c r="BI360" s="48" t="n"/>
      <c r="BJ360" s="48" t="n"/>
      <c r="BK360" s="48" t="n"/>
      <c r="BL360" s="48" t="n"/>
      <c r="BM360" s="48" t="n"/>
      <c r="BN360" s="48" t="n"/>
    </row>
    <row r="361">
      <c r="A361" s="47" t="n"/>
      <c r="B361" s="48" t="n"/>
      <c r="C361" s="48" t="n"/>
      <c r="D361" s="49" t="n"/>
      <c r="E361" s="48" t="n"/>
      <c r="F361" s="48" t="n"/>
      <c r="G361" s="50" t="n"/>
      <c r="H361" s="51" t="n"/>
      <c r="I361" s="51" t="n"/>
      <c r="J361" s="48" t="n"/>
      <c r="K361" s="52" t="n"/>
      <c r="L361" s="48" t="n"/>
      <c r="M361" s="48" t="n"/>
      <c r="N361" s="48" t="n"/>
      <c r="O361" s="48" t="n"/>
      <c r="P361" s="48" t="n"/>
      <c r="Q361" s="48" t="n"/>
      <c r="R361" s="48" t="n"/>
      <c r="S361" s="48" t="n"/>
      <c r="T361" s="48" t="n"/>
      <c r="U361" s="48" t="n"/>
      <c r="V361" s="48" t="n"/>
      <c r="W361" s="48" t="n"/>
      <c r="X361" s="48" t="n"/>
      <c r="Y361" s="48" t="n"/>
      <c r="Z361" s="48" t="n"/>
      <c r="AA361" s="48" t="n"/>
      <c r="AB361" s="48" t="n"/>
      <c r="AC361" s="48" t="n"/>
      <c r="AD361" s="48" t="n"/>
      <c r="AE361" s="48" t="n"/>
      <c r="AF361" s="48" t="n"/>
      <c r="AG361" s="48" t="n"/>
      <c r="AH361" s="48" t="n"/>
      <c r="AI361" s="48" t="n"/>
      <c r="AJ361" s="48" t="n"/>
      <c r="AK361" s="48" t="n"/>
      <c r="AL361" s="53" t="n"/>
      <c r="AM361" s="52" t="n"/>
      <c r="AN361" s="48" t="n"/>
      <c r="AO361" s="48" t="n"/>
      <c r="AP361" s="48" t="n"/>
      <c r="AQ361" s="48" t="n"/>
      <c r="AR361" s="48" t="n"/>
      <c r="AS361" s="48" t="n"/>
      <c r="AT361" s="48" t="n"/>
      <c r="AU361" s="48" t="n"/>
      <c r="AV361" s="48" t="n"/>
      <c r="AW361" s="48" t="n"/>
      <c r="AX361" s="48" t="n"/>
      <c r="AY361" s="48" t="n"/>
      <c r="AZ361" s="48" t="n"/>
      <c r="BA361" s="48" t="n"/>
      <c r="BB361" s="48" t="n"/>
      <c r="BC361" s="48" t="n"/>
      <c r="BD361" s="48" t="n"/>
      <c r="BE361" s="48" t="n"/>
      <c r="BF361" s="48" t="n"/>
      <c r="BG361" s="48" t="n"/>
      <c r="BH361" s="48" t="n"/>
      <c r="BI361" s="48" t="n"/>
      <c r="BJ361" s="48" t="n"/>
      <c r="BK361" s="48" t="n"/>
      <c r="BL361" s="48" t="n"/>
      <c r="BM361" s="48" t="n"/>
      <c r="BN361" s="48" t="n"/>
    </row>
    <row r="362">
      <c r="A362" s="47" t="n"/>
      <c r="B362" s="48" t="n"/>
      <c r="C362" s="48" t="n"/>
      <c r="D362" s="49" t="n"/>
      <c r="E362" s="48" t="n"/>
      <c r="F362" s="48" t="n"/>
      <c r="G362" s="50" t="n"/>
      <c r="H362" s="51" t="n"/>
      <c r="I362" s="51" t="n"/>
      <c r="J362" s="48" t="n"/>
      <c r="K362" s="52" t="n"/>
      <c r="L362" s="48" t="n"/>
      <c r="M362" s="48" t="n"/>
      <c r="N362" s="48" t="n"/>
      <c r="O362" s="48" t="n"/>
      <c r="P362" s="48" t="n"/>
      <c r="Q362" s="48" t="n"/>
      <c r="R362" s="48" t="n"/>
      <c r="S362" s="48" t="n"/>
      <c r="T362" s="48" t="n"/>
      <c r="U362" s="48" t="n"/>
      <c r="V362" s="48" t="n"/>
      <c r="W362" s="48" t="n"/>
      <c r="X362" s="48" t="n"/>
      <c r="Y362" s="48" t="n"/>
      <c r="Z362" s="48" t="n"/>
      <c r="AA362" s="48" t="n"/>
      <c r="AB362" s="48" t="n"/>
      <c r="AC362" s="48" t="n"/>
      <c r="AD362" s="48" t="n"/>
      <c r="AE362" s="48" t="n"/>
      <c r="AF362" s="48" t="n"/>
      <c r="AG362" s="48" t="n"/>
      <c r="AH362" s="48" t="n"/>
      <c r="AI362" s="48" t="n"/>
      <c r="AJ362" s="48" t="n"/>
      <c r="AK362" s="48" t="n"/>
      <c r="AL362" s="53" t="n"/>
      <c r="AM362" s="52" t="n"/>
      <c r="AN362" s="48" t="n"/>
      <c r="AO362" s="48" t="n"/>
      <c r="AP362" s="48" t="n"/>
      <c r="AQ362" s="48" t="n"/>
      <c r="AR362" s="48" t="n"/>
      <c r="AS362" s="48" t="n"/>
      <c r="AT362" s="48" t="n"/>
      <c r="AU362" s="48" t="n"/>
      <c r="AV362" s="48" t="n"/>
      <c r="AW362" s="48" t="n"/>
      <c r="AX362" s="48" t="n"/>
      <c r="AY362" s="48" t="n"/>
      <c r="AZ362" s="48" t="n"/>
      <c r="BA362" s="48" t="n"/>
      <c r="BB362" s="48" t="n"/>
      <c r="BC362" s="48" t="n"/>
      <c r="BD362" s="48" t="n"/>
      <c r="BE362" s="48" t="n"/>
      <c r="BF362" s="48" t="n"/>
      <c r="BG362" s="48" t="n"/>
      <c r="BH362" s="48" t="n"/>
      <c r="BI362" s="48" t="n"/>
      <c r="BJ362" s="48" t="n"/>
      <c r="BK362" s="48" t="n"/>
      <c r="BL362" s="48" t="n"/>
      <c r="BM362" s="48" t="n"/>
      <c r="BN362" s="48" t="n"/>
    </row>
    <row r="363">
      <c r="A363" s="47" t="n"/>
      <c r="B363" s="48" t="n"/>
      <c r="C363" s="48" t="n"/>
      <c r="D363" s="49" t="n"/>
      <c r="E363" s="48" t="n"/>
      <c r="F363" s="48" t="n"/>
      <c r="G363" s="50" t="n"/>
      <c r="H363" s="51" t="n"/>
      <c r="I363" s="51" t="n"/>
      <c r="J363" s="48" t="n"/>
      <c r="K363" s="52" t="n"/>
      <c r="L363" s="48" t="n"/>
      <c r="M363" s="48" t="n"/>
      <c r="N363" s="48" t="n"/>
      <c r="O363" s="48" t="n"/>
      <c r="P363" s="48" t="n"/>
      <c r="Q363" s="48" t="n"/>
      <c r="R363" s="48" t="n"/>
      <c r="S363" s="48" t="n"/>
      <c r="T363" s="48" t="n"/>
      <c r="U363" s="48" t="n"/>
      <c r="V363" s="48" t="n"/>
      <c r="W363" s="48" t="n"/>
      <c r="X363" s="48" t="n"/>
      <c r="Y363" s="48" t="n"/>
      <c r="Z363" s="48" t="n"/>
      <c r="AA363" s="48" t="n"/>
      <c r="AB363" s="48" t="n"/>
      <c r="AC363" s="48" t="n"/>
      <c r="AD363" s="48" t="n"/>
      <c r="AE363" s="48" t="n"/>
      <c r="AF363" s="48" t="n"/>
      <c r="AG363" s="48" t="n"/>
      <c r="AH363" s="48" t="n"/>
      <c r="AI363" s="48" t="n"/>
      <c r="AJ363" s="48" t="n"/>
      <c r="AK363" s="48" t="n"/>
      <c r="AL363" s="53" t="n"/>
      <c r="AM363" s="52" t="n"/>
      <c r="AN363" s="48" t="n"/>
      <c r="AO363" s="48" t="n"/>
      <c r="AP363" s="48" t="n"/>
      <c r="AQ363" s="48" t="n"/>
      <c r="AR363" s="48" t="n"/>
      <c r="AS363" s="48" t="n"/>
      <c r="AT363" s="48" t="n"/>
      <c r="AU363" s="48" t="n"/>
      <c r="AV363" s="48" t="n"/>
      <c r="AW363" s="48" t="n"/>
      <c r="AX363" s="48" t="n"/>
      <c r="AY363" s="48" t="n"/>
      <c r="AZ363" s="48" t="n"/>
      <c r="BA363" s="48" t="n"/>
      <c r="BB363" s="48" t="n"/>
      <c r="BC363" s="48" t="n"/>
      <c r="BD363" s="48" t="n"/>
      <c r="BE363" s="48" t="n"/>
      <c r="BF363" s="48" t="n"/>
      <c r="BG363" s="48" t="n"/>
      <c r="BH363" s="48" t="n"/>
      <c r="BI363" s="48" t="n"/>
      <c r="BJ363" s="48" t="n"/>
      <c r="BK363" s="48" t="n"/>
      <c r="BL363" s="48" t="n"/>
      <c r="BM363" s="48" t="n"/>
      <c r="BN363" s="48" t="n"/>
    </row>
    <row r="364">
      <c r="A364" s="47" t="n"/>
      <c r="B364" s="48" t="n"/>
      <c r="C364" s="48" t="n"/>
      <c r="D364" s="49" t="n"/>
      <c r="E364" s="48" t="n"/>
      <c r="F364" s="48" t="n"/>
      <c r="G364" s="50" t="n"/>
      <c r="H364" s="51" t="n"/>
      <c r="I364" s="51" t="n"/>
      <c r="J364" s="48" t="n"/>
      <c r="K364" s="52" t="n"/>
      <c r="L364" s="48" t="n"/>
      <c r="M364" s="48" t="n"/>
      <c r="N364" s="48" t="n"/>
      <c r="O364" s="48" t="n"/>
      <c r="P364" s="48" t="n"/>
      <c r="Q364" s="48" t="n"/>
      <c r="R364" s="48" t="n"/>
      <c r="S364" s="48" t="n"/>
      <c r="T364" s="48" t="n"/>
      <c r="U364" s="48" t="n"/>
      <c r="V364" s="48" t="n"/>
      <c r="W364" s="48" t="n"/>
      <c r="X364" s="48" t="n"/>
      <c r="Y364" s="48" t="n"/>
      <c r="Z364" s="48" t="n"/>
      <c r="AA364" s="48" t="n"/>
      <c r="AB364" s="48" t="n"/>
      <c r="AC364" s="48" t="n"/>
      <c r="AD364" s="48" t="n"/>
      <c r="AE364" s="48" t="n"/>
      <c r="AF364" s="48" t="n"/>
      <c r="AG364" s="48" t="n"/>
      <c r="AH364" s="48" t="n"/>
      <c r="AI364" s="48" t="n"/>
      <c r="AJ364" s="48" t="n"/>
      <c r="AK364" s="48" t="n"/>
      <c r="AL364" s="53" t="n"/>
      <c r="AM364" s="52" t="n"/>
      <c r="AN364" s="48" t="n"/>
      <c r="AO364" s="48" t="n"/>
      <c r="AP364" s="48" t="n"/>
      <c r="AQ364" s="48" t="n"/>
      <c r="AR364" s="48" t="n"/>
      <c r="AS364" s="48" t="n"/>
      <c r="AT364" s="48" t="n"/>
      <c r="AU364" s="48" t="n"/>
      <c r="AV364" s="48" t="n"/>
      <c r="AW364" s="48" t="n"/>
      <c r="AX364" s="48" t="n"/>
      <c r="AY364" s="48" t="n"/>
      <c r="AZ364" s="48" t="n"/>
      <c r="BA364" s="48" t="n"/>
      <c r="BB364" s="48" t="n"/>
      <c r="BC364" s="48" t="n"/>
      <c r="BD364" s="48" t="n"/>
      <c r="BE364" s="48" t="n"/>
      <c r="BF364" s="48" t="n"/>
      <c r="BG364" s="48" t="n"/>
      <c r="BH364" s="48" t="n"/>
      <c r="BI364" s="48" t="n"/>
      <c r="BJ364" s="48" t="n"/>
      <c r="BK364" s="48" t="n"/>
      <c r="BL364" s="48" t="n"/>
      <c r="BM364" s="48" t="n"/>
      <c r="BN364" s="48" t="n"/>
    </row>
    <row r="365">
      <c r="A365" s="47" t="n"/>
      <c r="B365" s="48" t="n"/>
      <c r="C365" s="48" t="n"/>
      <c r="D365" s="49" t="n"/>
      <c r="E365" s="48" t="n"/>
      <c r="F365" s="48" t="n"/>
      <c r="G365" s="50" t="n"/>
      <c r="H365" s="51" t="n"/>
      <c r="I365" s="51" t="n"/>
      <c r="J365" s="48" t="n"/>
      <c r="K365" s="52" t="n"/>
      <c r="L365" s="48" t="n"/>
      <c r="M365" s="48" t="n"/>
      <c r="N365" s="48" t="n"/>
      <c r="O365" s="48" t="n"/>
      <c r="P365" s="48" t="n"/>
      <c r="Q365" s="48" t="n"/>
      <c r="R365" s="48" t="n"/>
      <c r="S365" s="48" t="n"/>
      <c r="T365" s="48" t="n"/>
      <c r="U365" s="48" t="n"/>
      <c r="V365" s="48" t="n"/>
      <c r="W365" s="48" t="n"/>
      <c r="X365" s="48" t="n"/>
      <c r="Y365" s="48" t="n"/>
      <c r="Z365" s="48" t="n"/>
      <c r="AA365" s="48" t="n"/>
      <c r="AB365" s="48" t="n"/>
      <c r="AC365" s="48" t="n"/>
      <c r="AD365" s="48" t="n"/>
      <c r="AE365" s="48" t="n"/>
      <c r="AF365" s="48" t="n"/>
      <c r="AG365" s="48" t="n"/>
      <c r="AH365" s="48" t="n"/>
      <c r="AI365" s="48" t="n"/>
      <c r="AJ365" s="48" t="n"/>
      <c r="AK365" s="48" t="n"/>
      <c r="AL365" s="53" t="n"/>
      <c r="AM365" s="52" t="n"/>
      <c r="AN365" s="48" t="n"/>
      <c r="AO365" s="48" t="n"/>
      <c r="AP365" s="48" t="n"/>
      <c r="AQ365" s="48" t="n"/>
      <c r="AR365" s="48" t="n"/>
      <c r="AS365" s="48" t="n"/>
      <c r="AT365" s="48" t="n"/>
      <c r="AU365" s="48" t="n"/>
      <c r="AV365" s="48" t="n"/>
      <c r="AW365" s="48" t="n"/>
      <c r="AX365" s="48" t="n"/>
      <c r="AY365" s="48" t="n"/>
      <c r="AZ365" s="48" t="n"/>
      <c r="BA365" s="48" t="n"/>
      <c r="BB365" s="48" t="n"/>
      <c r="BC365" s="48" t="n"/>
      <c r="BD365" s="48" t="n"/>
      <c r="BE365" s="48" t="n"/>
      <c r="BF365" s="48" t="n"/>
      <c r="BG365" s="48" t="n"/>
      <c r="BH365" s="48" t="n"/>
      <c r="BI365" s="48" t="n"/>
      <c r="BJ365" s="48" t="n"/>
      <c r="BK365" s="48" t="n"/>
      <c r="BL365" s="48" t="n"/>
      <c r="BM365" s="48" t="n"/>
      <c r="BN365" s="48" t="n"/>
    </row>
    <row r="366">
      <c r="A366" s="47" t="n"/>
      <c r="B366" s="48" t="n"/>
      <c r="C366" s="48" t="n"/>
      <c r="D366" s="49" t="n"/>
      <c r="E366" s="48" t="n"/>
      <c r="F366" s="48" t="n"/>
      <c r="G366" s="50" t="n"/>
      <c r="H366" s="51" t="n"/>
      <c r="I366" s="51" t="n"/>
      <c r="J366" s="48" t="n"/>
      <c r="K366" s="52" t="n"/>
      <c r="L366" s="48" t="n"/>
      <c r="M366" s="48" t="n"/>
      <c r="N366" s="48" t="n"/>
      <c r="O366" s="48" t="n"/>
      <c r="P366" s="48" t="n"/>
      <c r="Q366" s="48" t="n"/>
      <c r="R366" s="48" t="n"/>
      <c r="S366" s="48" t="n"/>
      <c r="T366" s="48" t="n"/>
      <c r="U366" s="48" t="n"/>
      <c r="V366" s="48" t="n"/>
      <c r="W366" s="48" t="n"/>
      <c r="X366" s="48" t="n"/>
      <c r="Y366" s="48" t="n"/>
      <c r="Z366" s="48" t="n"/>
      <c r="AA366" s="48" t="n"/>
      <c r="AB366" s="48" t="n"/>
      <c r="AC366" s="48" t="n"/>
      <c r="AD366" s="48" t="n"/>
      <c r="AE366" s="48" t="n"/>
      <c r="AF366" s="48" t="n"/>
      <c r="AG366" s="48" t="n"/>
      <c r="AH366" s="48" t="n"/>
      <c r="AI366" s="48" t="n"/>
      <c r="AJ366" s="48" t="n"/>
      <c r="AK366" s="48" t="n"/>
      <c r="AL366" s="53" t="n"/>
      <c r="AM366" s="52" t="n"/>
      <c r="AN366" s="48" t="n"/>
      <c r="AO366" s="48" t="n"/>
      <c r="AP366" s="48" t="n"/>
      <c r="AQ366" s="48" t="n"/>
      <c r="AR366" s="48" t="n"/>
      <c r="AS366" s="48" t="n"/>
      <c r="AT366" s="48" t="n"/>
      <c r="AU366" s="48" t="n"/>
      <c r="AV366" s="48" t="n"/>
      <c r="AW366" s="48" t="n"/>
      <c r="AX366" s="48" t="n"/>
      <c r="AY366" s="48" t="n"/>
      <c r="AZ366" s="48" t="n"/>
      <c r="BA366" s="48" t="n"/>
      <c r="BB366" s="48" t="n"/>
      <c r="BC366" s="48" t="n"/>
      <c r="BD366" s="48" t="n"/>
      <c r="BE366" s="48" t="n"/>
      <c r="BF366" s="48" t="n"/>
      <c r="BG366" s="48" t="n"/>
      <c r="BH366" s="48" t="n"/>
      <c r="BI366" s="48" t="n"/>
      <c r="BJ366" s="48" t="n"/>
      <c r="BK366" s="48" t="n"/>
      <c r="BL366" s="48" t="n"/>
      <c r="BM366" s="48" t="n"/>
      <c r="BN366" s="48" t="n"/>
    </row>
    <row r="367">
      <c r="A367" s="47" t="n"/>
      <c r="B367" s="48" t="n"/>
      <c r="C367" s="48" t="n"/>
      <c r="D367" s="49" t="n"/>
      <c r="E367" s="48" t="n"/>
      <c r="F367" s="48" t="n"/>
      <c r="G367" s="50" t="n"/>
      <c r="H367" s="51" t="n"/>
      <c r="I367" s="51" t="n"/>
      <c r="J367" s="48" t="n"/>
      <c r="K367" s="52" t="n"/>
      <c r="L367" s="48" t="n"/>
      <c r="M367" s="48" t="n"/>
      <c r="N367" s="48" t="n"/>
      <c r="O367" s="48" t="n"/>
      <c r="P367" s="48" t="n"/>
      <c r="Q367" s="48" t="n"/>
      <c r="R367" s="48" t="n"/>
      <c r="S367" s="48" t="n"/>
      <c r="T367" s="48" t="n"/>
      <c r="U367" s="48" t="n"/>
      <c r="V367" s="48" t="n"/>
      <c r="W367" s="48" t="n"/>
      <c r="X367" s="48" t="n"/>
      <c r="Y367" s="48" t="n"/>
      <c r="Z367" s="48" t="n"/>
      <c r="AA367" s="48" t="n"/>
      <c r="AB367" s="48" t="n"/>
      <c r="AC367" s="48" t="n"/>
      <c r="AD367" s="48" t="n"/>
      <c r="AE367" s="48" t="n"/>
      <c r="AF367" s="48" t="n"/>
      <c r="AG367" s="48" t="n"/>
      <c r="AH367" s="48" t="n"/>
      <c r="AI367" s="48" t="n"/>
      <c r="AJ367" s="48" t="n"/>
      <c r="AK367" s="48" t="n"/>
      <c r="AL367" s="53" t="n"/>
      <c r="AM367" s="52" t="n"/>
      <c r="AN367" s="48" t="n"/>
      <c r="AO367" s="48" t="n"/>
      <c r="AP367" s="48" t="n"/>
      <c r="AQ367" s="48" t="n"/>
      <c r="AR367" s="48" t="n"/>
      <c r="AS367" s="48" t="n"/>
      <c r="AT367" s="48" t="n"/>
      <c r="AU367" s="48" t="n"/>
      <c r="AV367" s="48" t="n"/>
      <c r="AW367" s="48" t="n"/>
      <c r="AX367" s="48" t="n"/>
      <c r="AY367" s="48" t="n"/>
      <c r="AZ367" s="48" t="n"/>
      <c r="BA367" s="48" t="n"/>
      <c r="BB367" s="48" t="n"/>
      <c r="BC367" s="48" t="n"/>
      <c r="BD367" s="48" t="n"/>
      <c r="BE367" s="48" t="n"/>
      <c r="BF367" s="48" t="n"/>
      <c r="BG367" s="48" t="n"/>
      <c r="BH367" s="48" t="n"/>
      <c r="BI367" s="48" t="n"/>
      <c r="BJ367" s="48" t="n"/>
      <c r="BK367" s="48" t="n"/>
      <c r="BL367" s="48" t="n"/>
      <c r="BM367" s="48" t="n"/>
      <c r="BN367" s="48" t="n"/>
    </row>
    <row r="368">
      <c r="A368" s="47" t="n"/>
      <c r="B368" s="48" t="n"/>
      <c r="C368" s="48" t="n"/>
      <c r="D368" s="49" t="n"/>
      <c r="E368" s="48" t="n"/>
      <c r="F368" s="48" t="n"/>
      <c r="G368" s="50" t="n"/>
      <c r="H368" s="51" t="n"/>
      <c r="I368" s="51" t="n"/>
      <c r="J368" s="48" t="n"/>
      <c r="K368" s="52" t="n"/>
      <c r="L368" s="48" t="n"/>
      <c r="M368" s="48" t="n"/>
      <c r="N368" s="48" t="n"/>
      <c r="O368" s="48" t="n"/>
      <c r="P368" s="48" t="n"/>
      <c r="Q368" s="48" t="n"/>
      <c r="R368" s="48" t="n"/>
      <c r="S368" s="48" t="n"/>
      <c r="T368" s="48" t="n"/>
      <c r="U368" s="48" t="n"/>
      <c r="V368" s="48" t="n"/>
      <c r="W368" s="48" t="n"/>
      <c r="X368" s="48" t="n"/>
      <c r="Y368" s="48" t="n"/>
      <c r="Z368" s="48" t="n"/>
      <c r="AA368" s="48" t="n"/>
      <c r="AB368" s="48" t="n"/>
      <c r="AC368" s="48" t="n"/>
      <c r="AD368" s="48" t="n"/>
      <c r="AE368" s="48" t="n"/>
      <c r="AF368" s="48" t="n"/>
      <c r="AG368" s="48" t="n"/>
      <c r="AH368" s="48" t="n"/>
      <c r="AI368" s="48" t="n"/>
      <c r="AJ368" s="48" t="n"/>
      <c r="AK368" s="48" t="n"/>
      <c r="AL368" s="53" t="n"/>
      <c r="AM368" s="52" t="n"/>
      <c r="AN368" s="48" t="n"/>
      <c r="AO368" s="48" t="n"/>
      <c r="AP368" s="48" t="n"/>
      <c r="AQ368" s="48" t="n"/>
      <c r="AR368" s="48" t="n"/>
      <c r="AS368" s="48" t="n"/>
      <c r="AT368" s="48" t="n"/>
      <c r="AU368" s="48" t="n"/>
      <c r="AV368" s="48" t="n"/>
      <c r="AW368" s="48" t="n"/>
      <c r="AX368" s="48" t="n"/>
      <c r="AY368" s="48" t="n"/>
      <c r="AZ368" s="48" t="n"/>
      <c r="BA368" s="48" t="n"/>
      <c r="BB368" s="48" t="n"/>
      <c r="BC368" s="48" t="n"/>
      <c r="BD368" s="48" t="n"/>
      <c r="BE368" s="48" t="n"/>
      <c r="BF368" s="48" t="n"/>
      <c r="BG368" s="48" t="n"/>
      <c r="BH368" s="48" t="n"/>
      <c r="BI368" s="48" t="n"/>
      <c r="BJ368" s="48" t="n"/>
      <c r="BK368" s="48" t="n"/>
      <c r="BL368" s="48" t="n"/>
      <c r="BM368" s="48" t="n"/>
      <c r="BN368" s="48" t="n"/>
    </row>
    <row r="369">
      <c r="A369" s="47" t="n"/>
      <c r="B369" s="48" t="n"/>
      <c r="C369" s="48" t="n"/>
      <c r="D369" s="49" t="n"/>
      <c r="E369" s="48" t="n"/>
      <c r="F369" s="48" t="n"/>
      <c r="G369" s="50" t="n"/>
      <c r="H369" s="51" t="n"/>
      <c r="I369" s="51" t="n"/>
      <c r="J369" s="48" t="n"/>
      <c r="K369" s="52" t="n"/>
      <c r="L369" s="48" t="n"/>
      <c r="M369" s="48" t="n"/>
      <c r="N369" s="48" t="n"/>
      <c r="O369" s="48" t="n"/>
      <c r="P369" s="48" t="n"/>
      <c r="Q369" s="48" t="n"/>
      <c r="R369" s="48" t="n"/>
      <c r="S369" s="48" t="n"/>
      <c r="T369" s="48" t="n"/>
      <c r="U369" s="48" t="n"/>
      <c r="V369" s="48" t="n"/>
      <c r="W369" s="48" t="n"/>
      <c r="X369" s="48" t="n"/>
      <c r="Y369" s="48" t="n"/>
      <c r="Z369" s="48" t="n"/>
      <c r="AA369" s="48" t="n"/>
      <c r="AB369" s="48" t="n"/>
      <c r="AC369" s="48" t="n"/>
      <c r="AD369" s="48" t="n"/>
      <c r="AE369" s="48" t="n"/>
      <c r="AF369" s="48" t="n"/>
      <c r="AG369" s="48" t="n"/>
      <c r="AH369" s="48" t="n"/>
      <c r="AI369" s="48" t="n"/>
      <c r="AJ369" s="48" t="n"/>
      <c r="AK369" s="48" t="n"/>
      <c r="AL369" s="53" t="n"/>
      <c r="AM369" s="52" t="n"/>
      <c r="AN369" s="48" t="n"/>
      <c r="AO369" s="48" t="n"/>
      <c r="AP369" s="48" t="n"/>
      <c r="AQ369" s="48" t="n"/>
      <c r="AR369" s="48" t="n"/>
      <c r="AS369" s="48" t="n"/>
      <c r="AT369" s="48" t="n"/>
      <c r="AU369" s="48" t="n"/>
      <c r="AV369" s="48" t="n"/>
      <c r="AW369" s="48" t="n"/>
      <c r="AX369" s="48" t="n"/>
      <c r="AY369" s="48" t="n"/>
      <c r="AZ369" s="48" t="n"/>
      <c r="BA369" s="48" t="n"/>
      <c r="BB369" s="48" t="n"/>
      <c r="BC369" s="48" t="n"/>
      <c r="BD369" s="48" t="n"/>
      <c r="BE369" s="48" t="n"/>
      <c r="BF369" s="48" t="n"/>
      <c r="BG369" s="48" t="n"/>
      <c r="BH369" s="48" t="n"/>
      <c r="BI369" s="48" t="n"/>
      <c r="BJ369" s="48" t="n"/>
      <c r="BK369" s="48" t="n"/>
      <c r="BL369" s="48" t="n"/>
      <c r="BM369" s="48" t="n"/>
      <c r="BN369" s="48" t="n"/>
    </row>
    <row r="370">
      <c r="A370" s="47" t="n"/>
      <c r="B370" s="48" t="n"/>
      <c r="C370" s="48" t="n"/>
      <c r="D370" s="49" t="n"/>
      <c r="E370" s="48" t="n"/>
      <c r="F370" s="48" t="n"/>
      <c r="G370" s="50" t="n"/>
      <c r="H370" s="51" t="n"/>
      <c r="I370" s="51" t="n"/>
      <c r="J370" s="48" t="n"/>
      <c r="K370" s="52" t="n"/>
      <c r="L370" s="48" t="n"/>
      <c r="M370" s="48" t="n"/>
      <c r="N370" s="48" t="n"/>
      <c r="O370" s="48" t="n"/>
      <c r="P370" s="48" t="n"/>
      <c r="Q370" s="48" t="n"/>
      <c r="R370" s="48" t="n"/>
      <c r="S370" s="48" t="n"/>
      <c r="T370" s="48" t="n"/>
      <c r="U370" s="48" t="n"/>
      <c r="V370" s="48" t="n"/>
      <c r="W370" s="48" t="n"/>
      <c r="X370" s="48" t="n"/>
      <c r="Y370" s="48" t="n"/>
      <c r="Z370" s="48" t="n"/>
      <c r="AA370" s="48" t="n"/>
      <c r="AB370" s="48" t="n"/>
      <c r="AC370" s="48" t="n"/>
      <c r="AD370" s="48" t="n"/>
      <c r="AE370" s="48" t="n"/>
      <c r="AF370" s="48" t="n"/>
      <c r="AG370" s="48" t="n"/>
      <c r="AH370" s="48" t="n"/>
      <c r="AI370" s="48" t="n"/>
      <c r="AJ370" s="48" t="n"/>
      <c r="AK370" s="48" t="n"/>
      <c r="AL370" s="53" t="n"/>
      <c r="AM370" s="52" t="n"/>
      <c r="AN370" s="48" t="n"/>
      <c r="AO370" s="48" t="n"/>
      <c r="AP370" s="48" t="n"/>
      <c r="AQ370" s="48" t="n"/>
      <c r="AR370" s="48" t="n"/>
      <c r="AS370" s="48" t="n"/>
      <c r="AT370" s="48" t="n"/>
      <c r="AU370" s="48" t="n"/>
      <c r="AV370" s="48" t="n"/>
      <c r="AW370" s="48" t="n"/>
      <c r="AX370" s="48" t="n"/>
      <c r="AY370" s="48" t="n"/>
      <c r="AZ370" s="48" t="n"/>
      <c r="BA370" s="48" t="n"/>
      <c r="BB370" s="48" t="n"/>
      <c r="BC370" s="48" t="n"/>
      <c r="BD370" s="48" t="n"/>
      <c r="BE370" s="48" t="n"/>
      <c r="BF370" s="48" t="n"/>
      <c r="BG370" s="48" t="n"/>
      <c r="BH370" s="48" t="n"/>
      <c r="BI370" s="48" t="n"/>
      <c r="BJ370" s="48" t="n"/>
      <c r="BK370" s="48" t="n"/>
      <c r="BL370" s="48" t="n"/>
      <c r="BM370" s="48" t="n"/>
      <c r="BN370" s="48" t="n"/>
    </row>
    <row r="371">
      <c r="A371" s="47" t="n"/>
      <c r="B371" s="48" t="n"/>
      <c r="C371" s="48" t="n"/>
      <c r="D371" s="49" t="n"/>
      <c r="E371" s="48" t="n"/>
      <c r="F371" s="48" t="n"/>
      <c r="G371" s="50" t="n"/>
      <c r="H371" s="51" t="n"/>
      <c r="I371" s="51" t="n"/>
      <c r="J371" s="48" t="n"/>
      <c r="K371" s="52" t="n"/>
      <c r="L371" s="48" t="n"/>
      <c r="M371" s="48" t="n"/>
      <c r="N371" s="48" t="n"/>
      <c r="O371" s="48" t="n"/>
      <c r="P371" s="48" t="n"/>
      <c r="Q371" s="48" t="n"/>
      <c r="R371" s="48" t="n"/>
      <c r="S371" s="48" t="n"/>
      <c r="T371" s="48" t="n"/>
      <c r="U371" s="48" t="n"/>
      <c r="V371" s="48" t="n"/>
      <c r="W371" s="48" t="n"/>
      <c r="X371" s="48" t="n"/>
      <c r="Y371" s="48" t="n"/>
      <c r="Z371" s="48" t="n"/>
      <c r="AA371" s="48" t="n"/>
      <c r="AB371" s="48" t="n"/>
      <c r="AC371" s="48" t="n"/>
      <c r="AD371" s="48" t="n"/>
      <c r="AE371" s="48" t="n"/>
      <c r="AF371" s="48" t="n"/>
      <c r="AG371" s="48" t="n"/>
      <c r="AH371" s="48" t="n"/>
      <c r="AI371" s="48" t="n"/>
      <c r="AJ371" s="48" t="n"/>
      <c r="AK371" s="48" t="n"/>
      <c r="AL371" s="53" t="n"/>
      <c r="AM371" s="52" t="n"/>
      <c r="AN371" s="48" t="n"/>
      <c r="AO371" s="48" t="n"/>
      <c r="AP371" s="48" t="n"/>
      <c r="AQ371" s="48" t="n"/>
      <c r="AR371" s="48" t="n"/>
      <c r="AS371" s="48" t="n"/>
      <c r="AT371" s="48" t="n"/>
      <c r="AU371" s="48" t="n"/>
      <c r="AV371" s="48" t="n"/>
      <c r="AW371" s="48" t="n"/>
      <c r="AX371" s="48" t="n"/>
      <c r="AY371" s="48" t="n"/>
      <c r="AZ371" s="48" t="n"/>
      <c r="BA371" s="48" t="n"/>
      <c r="BB371" s="48" t="n"/>
      <c r="BC371" s="48" t="n"/>
      <c r="BD371" s="48" t="n"/>
      <c r="BE371" s="48" t="n"/>
      <c r="BF371" s="48" t="n"/>
      <c r="BG371" s="48" t="n"/>
      <c r="BH371" s="48" t="n"/>
      <c r="BI371" s="48" t="n"/>
      <c r="BJ371" s="48" t="n"/>
      <c r="BK371" s="48" t="n"/>
      <c r="BL371" s="48" t="n"/>
      <c r="BM371" s="48" t="n"/>
      <c r="BN371" s="48" t="n"/>
    </row>
    <row r="372">
      <c r="A372" s="47" t="n"/>
      <c r="B372" s="48" t="n"/>
      <c r="C372" s="48" t="n"/>
      <c r="D372" s="49" t="n"/>
      <c r="E372" s="48" t="n"/>
      <c r="F372" s="48" t="n"/>
      <c r="G372" s="50" t="n"/>
      <c r="H372" s="51" t="n"/>
      <c r="I372" s="51" t="n"/>
      <c r="J372" s="48" t="n"/>
      <c r="K372" s="52" t="n"/>
      <c r="L372" s="48" t="n"/>
      <c r="M372" s="48" t="n"/>
      <c r="N372" s="48" t="n"/>
      <c r="O372" s="48" t="n"/>
      <c r="P372" s="48" t="n"/>
      <c r="Q372" s="48" t="n"/>
      <c r="R372" s="48" t="n"/>
      <c r="S372" s="48" t="n"/>
      <c r="T372" s="48" t="n"/>
      <c r="U372" s="48" t="n"/>
      <c r="V372" s="48" t="n"/>
      <c r="W372" s="48" t="n"/>
      <c r="X372" s="48" t="n"/>
      <c r="Y372" s="48" t="n"/>
      <c r="Z372" s="48" t="n"/>
      <c r="AA372" s="48" t="n"/>
      <c r="AB372" s="48" t="n"/>
      <c r="AC372" s="48" t="n"/>
      <c r="AD372" s="48" t="n"/>
      <c r="AE372" s="48" t="n"/>
      <c r="AF372" s="48" t="n"/>
      <c r="AG372" s="48" t="n"/>
      <c r="AH372" s="48" t="n"/>
      <c r="AI372" s="48" t="n"/>
      <c r="AJ372" s="48" t="n"/>
      <c r="AK372" s="48" t="n"/>
      <c r="AL372" s="53" t="n"/>
      <c r="AM372" s="52" t="n"/>
      <c r="AN372" s="48" t="n"/>
      <c r="AO372" s="48" t="n"/>
      <c r="AP372" s="48" t="n"/>
      <c r="AQ372" s="48" t="n"/>
      <c r="AR372" s="48" t="n"/>
      <c r="AS372" s="48" t="n"/>
      <c r="AT372" s="48" t="n"/>
      <c r="AU372" s="48" t="n"/>
      <c r="AV372" s="48" t="n"/>
      <c r="AW372" s="48" t="n"/>
      <c r="AX372" s="48" t="n"/>
      <c r="AY372" s="48" t="n"/>
      <c r="AZ372" s="48" t="n"/>
      <c r="BA372" s="48" t="n"/>
      <c r="BB372" s="48" t="n"/>
      <c r="BC372" s="48" t="n"/>
      <c r="BD372" s="48" t="n"/>
      <c r="BE372" s="48" t="n"/>
      <c r="BF372" s="48" t="n"/>
      <c r="BG372" s="48" t="n"/>
      <c r="BH372" s="48" t="n"/>
      <c r="BI372" s="48" t="n"/>
      <c r="BJ372" s="48" t="n"/>
      <c r="BK372" s="48" t="n"/>
      <c r="BL372" s="48" t="n"/>
      <c r="BM372" s="48" t="n"/>
      <c r="BN372" s="48" t="n"/>
    </row>
    <row r="373">
      <c r="A373" s="47" t="n"/>
      <c r="B373" s="48" t="n"/>
      <c r="C373" s="48" t="n"/>
      <c r="D373" s="49" t="n"/>
      <c r="E373" s="48" t="n"/>
      <c r="F373" s="48" t="n"/>
      <c r="G373" s="50" t="n"/>
      <c r="H373" s="51" t="n"/>
      <c r="I373" s="51" t="n"/>
      <c r="J373" s="48" t="n"/>
      <c r="K373" s="52" t="n"/>
      <c r="L373" s="48" t="n"/>
      <c r="M373" s="48" t="n"/>
      <c r="N373" s="48" t="n"/>
      <c r="O373" s="48" t="n"/>
      <c r="P373" s="48" t="n"/>
      <c r="Q373" s="48" t="n"/>
      <c r="R373" s="48" t="n"/>
      <c r="S373" s="48" t="n"/>
      <c r="T373" s="48" t="n"/>
      <c r="U373" s="48" t="n"/>
      <c r="V373" s="48" t="n"/>
      <c r="W373" s="48" t="n"/>
      <c r="X373" s="48" t="n"/>
      <c r="Y373" s="48" t="n"/>
      <c r="Z373" s="48" t="n"/>
      <c r="AA373" s="48" t="n"/>
      <c r="AB373" s="48" t="n"/>
      <c r="AC373" s="48" t="n"/>
      <c r="AD373" s="48" t="n"/>
      <c r="AE373" s="48" t="n"/>
      <c r="AF373" s="48" t="n"/>
      <c r="AG373" s="48" t="n"/>
      <c r="AH373" s="48" t="n"/>
      <c r="AI373" s="48" t="n"/>
      <c r="AJ373" s="48" t="n"/>
      <c r="AK373" s="48" t="n"/>
      <c r="AL373" s="53" t="n"/>
      <c r="AM373" s="52" t="n"/>
      <c r="AN373" s="48" t="n"/>
      <c r="AO373" s="48" t="n"/>
      <c r="AP373" s="48" t="n"/>
      <c r="AQ373" s="48" t="n"/>
      <c r="AR373" s="48" t="n"/>
      <c r="AS373" s="48" t="n"/>
      <c r="AT373" s="48" t="n"/>
      <c r="AU373" s="48" t="n"/>
      <c r="AV373" s="48" t="n"/>
      <c r="AW373" s="48" t="n"/>
      <c r="AX373" s="48" t="n"/>
      <c r="AY373" s="48" t="n"/>
      <c r="AZ373" s="48" t="n"/>
      <c r="BA373" s="48" t="n"/>
      <c r="BB373" s="48" t="n"/>
      <c r="BC373" s="48" t="n"/>
      <c r="BD373" s="48" t="n"/>
      <c r="BE373" s="48" t="n"/>
      <c r="BF373" s="48" t="n"/>
      <c r="BG373" s="48" t="n"/>
      <c r="BH373" s="48" t="n"/>
      <c r="BI373" s="48" t="n"/>
      <c r="BJ373" s="48" t="n"/>
      <c r="BK373" s="48" t="n"/>
      <c r="BL373" s="48" t="n"/>
      <c r="BM373" s="48" t="n"/>
      <c r="BN373" s="48" t="n"/>
    </row>
    <row r="374">
      <c r="A374" s="47" t="n"/>
      <c r="B374" s="48" t="n"/>
      <c r="C374" s="48" t="n"/>
      <c r="D374" s="49" t="n"/>
      <c r="E374" s="48" t="n"/>
      <c r="F374" s="48" t="n"/>
      <c r="G374" s="50" t="n"/>
      <c r="H374" s="51" t="n"/>
      <c r="I374" s="51" t="n"/>
      <c r="J374" s="48" t="n"/>
      <c r="K374" s="52" t="n"/>
      <c r="L374" s="48" t="n"/>
      <c r="M374" s="48" t="n"/>
      <c r="N374" s="48" t="n"/>
      <c r="O374" s="48" t="n"/>
      <c r="P374" s="48" t="n"/>
      <c r="Q374" s="48" t="n"/>
      <c r="R374" s="48" t="n"/>
      <c r="S374" s="48" t="n"/>
      <c r="T374" s="48" t="n"/>
      <c r="U374" s="48" t="n"/>
      <c r="V374" s="48" t="n"/>
      <c r="W374" s="48" t="n"/>
      <c r="X374" s="48" t="n"/>
      <c r="Y374" s="48" t="n"/>
      <c r="Z374" s="48" t="n"/>
      <c r="AA374" s="48" t="n"/>
      <c r="AB374" s="48" t="n"/>
      <c r="AC374" s="48" t="n"/>
      <c r="AD374" s="48" t="n"/>
      <c r="AE374" s="48" t="n"/>
      <c r="AF374" s="48" t="n"/>
      <c r="AG374" s="48" t="n"/>
      <c r="AH374" s="48" t="n"/>
      <c r="AI374" s="48" t="n"/>
      <c r="AJ374" s="48" t="n"/>
      <c r="AK374" s="48" t="n"/>
      <c r="AL374" s="53" t="n"/>
      <c r="AM374" s="52" t="n"/>
      <c r="AN374" s="48" t="n"/>
      <c r="AO374" s="48" t="n"/>
      <c r="AP374" s="48" t="n"/>
      <c r="AQ374" s="48" t="n"/>
      <c r="AR374" s="48" t="n"/>
      <c r="AS374" s="48" t="n"/>
      <c r="AT374" s="48" t="n"/>
      <c r="AU374" s="48" t="n"/>
      <c r="AV374" s="48" t="n"/>
      <c r="AW374" s="48" t="n"/>
      <c r="AX374" s="48" t="n"/>
      <c r="AY374" s="48" t="n"/>
      <c r="AZ374" s="48" t="n"/>
      <c r="BA374" s="48" t="n"/>
      <c r="BB374" s="48" t="n"/>
      <c r="BC374" s="48" t="n"/>
      <c r="BD374" s="48" t="n"/>
      <c r="BE374" s="48" t="n"/>
      <c r="BF374" s="48" t="n"/>
      <c r="BG374" s="48" t="n"/>
      <c r="BH374" s="48" t="n"/>
      <c r="BI374" s="48" t="n"/>
      <c r="BJ374" s="48" t="n"/>
      <c r="BK374" s="48" t="n"/>
      <c r="BL374" s="48" t="n"/>
      <c r="BM374" s="48" t="n"/>
      <c r="BN374" s="48" t="n"/>
    </row>
    <row r="375">
      <c r="A375" s="47" t="n"/>
      <c r="B375" s="48" t="n"/>
      <c r="C375" s="48" t="n"/>
      <c r="D375" s="49" t="n"/>
      <c r="E375" s="48" t="n"/>
      <c r="F375" s="48" t="n"/>
      <c r="G375" s="50" t="n"/>
      <c r="H375" s="51" t="n"/>
      <c r="I375" s="51" t="n"/>
      <c r="J375" s="48" t="n"/>
      <c r="K375" s="52" t="n"/>
      <c r="L375" s="48" t="n"/>
      <c r="M375" s="48" t="n"/>
      <c r="N375" s="48" t="n"/>
      <c r="O375" s="48" t="n"/>
      <c r="P375" s="48" t="n"/>
      <c r="Q375" s="48" t="n"/>
      <c r="R375" s="48" t="n"/>
      <c r="S375" s="48" t="n"/>
      <c r="T375" s="48" t="n"/>
      <c r="U375" s="48" t="n"/>
      <c r="V375" s="48" t="n"/>
      <c r="W375" s="48" t="n"/>
      <c r="X375" s="48" t="n"/>
      <c r="Y375" s="48" t="n"/>
      <c r="Z375" s="48" t="n"/>
      <c r="AA375" s="48" t="n"/>
      <c r="AB375" s="48" t="n"/>
      <c r="AC375" s="48" t="n"/>
      <c r="AD375" s="48" t="n"/>
      <c r="AE375" s="48" t="n"/>
      <c r="AF375" s="48" t="n"/>
      <c r="AG375" s="48" t="n"/>
      <c r="AH375" s="48" t="n"/>
      <c r="AI375" s="48" t="n"/>
      <c r="AJ375" s="48" t="n"/>
      <c r="AK375" s="48" t="n"/>
      <c r="AL375" s="53" t="n"/>
      <c r="AM375" s="52" t="n"/>
      <c r="AN375" s="48" t="n"/>
      <c r="AO375" s="48" t="n"/>
      <c r="AP375" s="48" t="n"/>
      <c r="AQ375" s="48" t="n"/>
      <c r="AR375" s="48" t="n"/>
      <c r="AS375" s="48" t="n"/>
      <c r="AT375" s="48" t="n"/>
      <c r="AU375" s="48" t="n"/>
      <c r="AV375" s="48" t="n"/>
      <c r="AW375" s="48" t="n"/>
      <c r="AX375" s="48" t="n"/>
      <c r="AY375" s="48" t="n"/>
      <c r="AZ375" s="48" t="n"/>
      <c r="BA375" s="48" t="n"/>
      <c r="BB375" s="48" t="n"/>
      <c r="BC375" s="48" t="n"/>
      <c r="BD375" s="48" t="n"/>
      <c r="BE375" s="48" t="n"/>
      <c r="BF375" s="48" t="n"/>
      <c r="BG375" s="48" t="n"/>
      <c r="BH375" s="48" t="n"/>
      <c r="BI375" s="48" t="n"/>
      <c r="BJ375" s="48" t="n"/>
      <c r="BK375" s="48" t="n"/>
      <c r="BL375" s="48" t="n"/>
      <c r="BM375" s="48" t="n"/>
      <c r="BN375" s="48" t="n"/>
    </row>
    <row r="376">
      <c r="A376" s="47" t="n"/>
      <c r="B376" s="48" t="n"/>
      <c r="C376" s="48" t="n"/>
      <c r="D376" s="49" t="n"/>
      <c r="E376" s="48" t="n"/>
      <c r="F376" s="48" t="n"/>
      <c r="G376" s="50" t="n"/>
      <c r="H376" s="51" t="n"/>
      <c r="I376" s="51" t="n"/>
      <c r="J376" s="48" t="n"/>
      <c r="K376" s="52" t="n"/>
      <c r="L376" s="48" t="n"/>
      <c r="M376" s="48" t="n"/>
      <c r="N376" s="48" t="n"/>
      <c r="O376" s="48" t="n"/>
      <c r="P376" s="48" t="n"/>
      <c r="Q376" s="48" t="n"/>
      <c r="R376" s="48" t="n"/>
      <c r="S376" s="48" t="n"/>
      <c r="T376" s="48" t="n"/>
      <c r="U376" s="48" t="n"/>
      <c r="V376" s="48" t="n"/>
      <c r="W376" s="48" t="n"/>
      <c r="X376" s="48" t="n"/>
      <c r="Y376" s="48" t="n"/>
      <c r="Z376" s="48" t="n"/>
      <c r="AA376" s="48" t="n"/>
      <c r="AB376" s="48" t="n"/>
      <c r="AC376" s="48" t="n"/>
      <c r="AD376" s="48" t="n"/>
      <c r="AE376" s="48" t="n"/>
      <c r="AF376" s="48" t="n"/>
      <c r="AG376" s="48" t="n"/>
      <c r="AH376" s="48" t="n"/>
      <c r="AI376" s="48" t="n"/>
      <c r="AJ376" s="48" t="n"/>
      <c r="AK376" s="48" t="n"/>
      <c r="AL376" s="53" t="n"/>
      <c r="AM376" s="52" t="n"/>
      <c r="AN376" s="48" t="n"/>
      <c r="AO376" s="48" t="n"/>
      <c r="AP376" s="48" t="n"/>
      <c r="AQ376" s="48" t="n"/>
      <c r="AR376" s="48" t="n"/>
      <c r="AS376" s="48" t="n"/>
      <c r="AT376" s="48" t="n"/>
      <c r="AU376" s="48" t="n"/>
      <c r="AV376" s="48" t="n"/>
      <c r="AW376" s="48" t="n"/>
      <c r="AX376" s="48" t="n"/>
      <c r="AY376" s="48" t="n"/>
      <c r="AZ376" s="48" t="n"/>
      <c r="BA376" s="48" t="n"/>
      <c r="BB376" s="48" t="n"/>
      <c r="BC376" s="48" t="n"/>
      <c r="BD376" s="48" t="n"/>
      <c r="BE376" s="48" t="n"/>
      <c r="BF376" s="48" t="n"/>
      <c r="BG376" s="48" t="n"/>
      <c r="BH376" s="48" t="n"/>
      <c r="BI376" s="48" t="n"/>
      <c r="BJ376" s="48" t="n"/>
      <c r="BK376" s="48" t="n"/>
      <c r="BL376" s="48" t="n"/>
      <c r="BM376" s="48" t="n"/>
      <c r="BN376" s="48" t="n"/>
    </row>
    <row r="377">
      <c r="A377" s="47" t="n"/>
      <c r="B377" s="48" t="n"/>
      <c r="C377" s="48" t="n"/>
      <c r="D377" s="49" t="n"/>
      <c r="E377" s="48" t="n"/>
      <c r="F377" s="48" t="n"/>
      <c r="G377" s="50" t="n"/>
      <c r="H377" s="51" t="n"/>
      <c r="I377" s="51" t="n"/>
      <c r="J377" s="48" t="n"/>
      <c r="K377" s="52" t="n"/>
      <c r="L377" s="48" t="n"/>
      <c r="M377" s="48" t="n"/>
      <c r="N377" s="48" t="n"/>
      <c r="O377" s="48" t="n"/>
      <c r="P377" s="48" t="n"/>
      <c r="Q377" s="48" t="n"/>
      <c r="R377" s="48" t="n"/>
      <c r="S377" s="48" t="n"/>
      <c r="T377" s="48" t="n"/>
      <c r="U377" s="48" t="n"/>
      <c r="V377" s="48" t="n"/>
      <c r="W377" s="48" t="n"/>
      <c r="X377" s="48" t="n"/>
      <c r="Y377" s="48" t="n"/>
      <c r="Z377" s="48" t="n"/>
      <c r="AA377" s="48" t="n"/>
      <c r="AB377" s="48" t="n"/>
      <c r="AC377" s="48" t="n"/>
      <c r="AD377" s="48" t="n"/>
      <c r="AE377" s="48" t="n"/>
      <c r="AF377" s="48" t="n"/>
      <c r="AG377" s="48" t="n"/>
      <c r="AH377" s="48" t="n"/>
      <c r="AI377" s="48" t="n"/>
      <c r="AJ377" s="48" t="n"/>
      <c r="AK377" s="48" t="n"/>
      <c r="AL377" s="53" t="n"/>
      <c r="AM377" s="52" t="n"/>
      <c r="AN377" s="48" t="n"/>
      <c r="AO377" s="48" t="n"/>
      <c r="AP377" s="48" t="n"/>
      <c r="AQ377" s="48" t="n"/>
      <c r="AR377" s="48" t="n"/>
      <c r="AS377" s="48" t="n"/>
      <c r="AT377" s="48" t="n"/>
      <c r="AU377" s="48" t="n"/>
      <c r="AV377" s="48" t="n"/>
      <c r="AW377" s="48" t="n"/>
      <c r="AX377" s="48" t="n"/>
      <c r="AY377" s="48" t="n"/>
      <c r="AZ377" s="48" t="n"/>
      <c r="BA377" s="48" t="n"/>
      <c r="BB377" s="48" t="n"/>
      <c r="BC377" s="48" t="n"/>
      <c r="BD377" s="48" t="n"/>
      <c r="BE377" s="48" t="n"/>
      <c r="BF377" s="48" t="n"/>
      <c r="BG377" s="48" t="n"/>
      <c r="BH377" s="48" t="n"/>
      <c r="BI377" s="48" t="n"/>
      <c r="BJ377" s="48" t="n"/>
      <c r="BK377" s="48" t="n"/>
      <c r="BL377" s="48" t="n"/>
      <c r="BM377" s="48" t="n"/>
      <c r="BN377" s="48" t="n"/>
    </row>
    <row r="378">
      <c r="A378" s="47" t="n"/>
      <c r="B378" s="48" t="n"/>
      <c r="C378" s="48" t="n"/>
      <c r="D378" s="49" t="n"/>
      <c r="E378" s="48" t="n"/>
      <c r="F378" s="48" t="n"/>
      <c r="G378" s="50" t="n"/>
      <c r="H378" s="51" t="n"/>
      <c r="I378" s="51" t="n"/>
      <c r="J378" s="48" t="n"/>
      <c r="K378" s="52" t="n"/>
      <c r="L378" s="48" t="n"/>
      <c r="M378" s="48" t="n"/>
      <c r="N378" s="48" t="n"/>
      <c r="O378" s="48" t="n"/>
      <c r="P378" s="48" t="n"/>
      <c r="Q378" s="48" t="n"/>
      <c r="R378" s="48" t="n"/>
      <c r="S378" s="48" t="n"/>
      <c r="T378" s="48" t="n"/>
      <c r="U378" s="48" t="n"/>
      <c r="V378" s="48" t="n"/>
      <c r="W378" s="48" t="n"/>
      <c r="X378" s="48" t="n"/>
      <c r="Y378" s="48" t="n"/>
      <c r="Z378" s="48" t="n"/>
      <c r="AA378" s="48" t="n"/>
      <c r="AB378" s="48" t="n"/>
      <c r="AC378" s="48" t="n"/>
      <c r="AD378" s="48" t="n"/>
      <c r="AE378" s="48" t="n"/>
      <c r="AF378" s="48" t="n"/>
      <c r="AG378" s="48" t="n"/>
      <c r="AH378" s="48" t="n"/>
      <c r="AI378" s="48" t="n"/>
      <c r="AJ378" s="48" t="n"/>
      <c r="AK378" s="48" t="n"/>
      <c r="AL378" s="53" t="n"/>
      <c r="AM378" s="52" t="n"/>
      <c r="AN378" s="48" t="n"/>
      <c r="AO378" s="48" t="n"/>
      <c r="AP378" s="48" t="n"/>
      <c r="AQ378" s="48" t="n"/>
      <c r="AR378" s="48" t="n"/>
      <c r="AS378" s="48" t="n"/>
      <c r="AT378" s="48" t="n"/>
      <c r="AU378" s="48" t="n"/>
      <c r="AV378" s="48" t="n"/>
      <c r="AW378" s="48" t="n"/>
      <c r="AX378" s="48" t="n"/>
      <c r="AY378" s="48" t="n"/>
      <c r="AZ378" s="48" t="n"/>
      <c r="BA378" s="48" t="n"/>
      <c r="BB378" s="48" t="n"/>
      <c r="BC378" s="48" t="n"/>
      <c r="BD378" s="48" t="n"/>
      <c r="BE378" s="48" t="n"/>
      <c r="BF378" s="48" t="n"/>
      <c r="BG378" s="48" t="n"/>
      <c r="BH378" s="48" t="n"/>
      <c r="BI378" s="48" t="n"/>
      <c r="BJ378" s="48" t="n"/>
      <c r="BK378" s="48" t="n"/>
      <c r="BL378" s="48" t="n"/>
      <c r="BM378" s="48" t="n"/>
      <c r="BN378" s="48" t="n"/>
    </row>
    <row r="379">
      <c r="A379" s="47" t="n"/>
      <c r="B379" s="48" t="n"/>
      <c r="C379" s="48" t="n"/>
      <c r="D379" s="49" t="n"/>
      <c r="E379" s="48" t="n"/>
      <c r="F379" s="48" t="n"/>
      <c r="G379" s="50" t="n"/>
      <c r="H379" s="51" t="n"/>
      <c r="I379" s="51" t="n"/>
      <c r="J379" s="48" t="n"/>
      <c r="K379" s="52" t="n"/>
      <c r="L379" s="48" t="n"/>
      <c r="M379" s="48" t="n"/>
      <c r="N379" s="48" t="n"/>
      <c r="O379" s="48" t="n"/>
      <c r="P379" s="48" t="n"/>
      <c r="Q379" s="48" t="n"/>
      <c r="R379" s="48" t="n"/>
      <c r="S379" s="48" t="n"/>
      <c r="T379" s="48" t="n"/>
      <c r="U379" s="48" t="n"/>
      <c r="V379" s="48" t="n"/>
      <c r="W379" s="48" t="n"/>
      <c r="X379" s="48" t="n"/>
      <c r="Y379" s="48" t="n"/>
      <c r="Z379" s="48" t="n"/>
      <c r="AA379" s="48" t="n"/>
      <c r="AB379" s="48" t="n"/>
      <c r="AC379" s="48" t="n"/>
      <c r="AD379" s="48" t="n"/>
      <c r="AE379" s="48" t="n"/>
      <c r="AF379" s="48" t="n"/>
      <c r="AG379" s="48" t="n"/>
      <c r="AH379" s="48" t="n"/>
      <c r="AI379" s="48" t="n"/>
      <c r="AJ379" s="48" t="n"/>
      <c r="AK379" s="48" t="n"/>
      <c r="AL379" s="53" t="n"/>
      <c r="AM379" s="52" t="n"/>
      <c r="AN379" s="48" t="n"/>
      <c r="AO379" s="48" t="n"/>
      <c r="AP379" s="48" t="n"/>
      <c r="AQ379" s="48" t="n"/>
      <c r="AR379" s="48" t="n"/>
      <c r="AS379" s="48" t="n"/>
      <c r="AT379" s="48" t="n"/>
      <c r="AU379" s="48" t="n"/>
      <c r="AV379" s="48" t="n"/>
      <c r="AW379" s="48" t="n"/>
      <c r="AX379" s="48" t="n"/>
      <c r="AY379" s="48" t="n"/>
      <c r="AZ379" s="48" t="n"/>
      <c r="BA379" s="48" t="n"/>
      <c r="BB379" s="48" t="n"/>
      <c r="BC379" s="48" t="n"/>
      <c r="BD379" s="48" t="n"/>
      <c r="BE379" s="48" t="n"/>
      <c r="BF379" s="48" t="n"/>
      <c r="BG379" s="48" t="n"/>
      <c r="BH379" s="48" t="n"/>
      <c r="BI379" s="48" t="n"/>
      <c r="BJ379" s="48" t="n"/>
      <c r="BK379" s="48" t="n"/>
      <c r="BL379" s="48" t="n"/>
      <c r="BM379" s="48" t="n"/>
      <c r="BN379" s="48" t="n"/>
    </row>
    <row r="380">
      <c r="A380" s="47" t="n"/>
      <c r="B380" s="48" t="n"/>
      <c r="C380" s="48" t="n"/>
      <c r="D380" s="49" t="n"/>
      <c r="E380" s="48" t="n"/>
      <c r="F380" s="48" t="n"/>
      <c r="G380" s="50" t="n"/>
      <c r="H380" s="51" t="n"/>
      <c r="I380" s="51" t="n"/>
      <c r="J380" s="48" t="n"/>
      <c r="K380" s="52" t="n"/>
      <c r="L380" s="48" t="n"/>
      <c r="M380" s="48" t="n"/>
      <c r="N380" s="48" t="n"/>
      <c r="O380" s="48" t="n"/>
      <c r="P380" s="48" t="n"/>
      <c r="Q380" s="48" t="n"/>
      <c r="R380" s="48" t="n"/>
      <c r="S380" s="48" t="n"/>
      <c r="T380" s="48" t="n"/>
      <c r="U380" s="48" t="n"/>
      <c r="V380" s="48" t="n"/>
      <c r="W380" s="48" t="n"/>
      <c r="X380" s="48" t="n"/>
      <c r="Y380" s="48" t="n"/>
      <c r="Z380" s="48" t="n"/>
      <c r="AA380" s="48" t="n"/>
      <c r="AB380" s="48" t="n"/>
      <c r="AC380" s="48" t="n"/>
      <c r="AD380" s="48" t="n"/>
      <c r="AE380" s="48" t="n"/>
      <c r="AF380" s="48" t="n"/>
      <c r="AG380" s="48" t="n"/>
      <c r="AH380" s="48" t="n"/>
      <c r="AI380" s="48" t="n"/>
      <c r="AJ380" s="48" t="n"/>
      <c r="AK380" s="48" t="n"/>
      <c r="AL380" s="53" t="n"/>
      <c r="AM380" s="52" t="n"/>
      <c r="AN380" s="48" t="n"/>
      <c r="AO380" s="48" t="n"/>
      <c r="AP380" s="48" t="n"/>
      <c r="AQ380" s="48" t="n"/>
      <c r="AR380" s="48" t="n"/>
      <c r="AS380" s="48" t="n"/>
      <c r="AT380" s="48" t="n"/>
      <c r="AU380" s="48" t="n"/>
      <c r="AV380" s="48" t="n"/>
      <c r="AW380" s="48" t="n"/>
      <c r="AX380" s="48" t="n"/>
      <c r="AY380" s="48" t="n"/>
      <c r="AZ380" s="48" t="n"/>
      <c r="BA380" s="48" t="n"/>
      <c r="BB380" s="48" t="n"/>
      <c r="BC380" s="48" t="n"/>
      <c r="BD380" s="48" t="n"/>
      <c r="BE380" s="48" t="n"/>
      <c r="BF380" s="48" t="n"/>
      <c r="BG380" s="48" t="n"/>
      <c r="BH380" s="48" t="n"/>
      <c r="BI380" s="48" t="n"/>
      <c r="BJ380" s="48" t="n"/>
      <c r="BK380" s="48" t="n"/>
      <c r="BL380" s="48" t="n"/>
      <c r="BM380" s="48" t="n"/>
      <c r="BN380" s="48" t="n"/>
    </row>
    <row r="381">
      <c r="A381" s="47" t="n"/>
      <c r="B381" s="48" t="n"/>
      <c r="C381" s="48" t="n"/>
      <c r="D381" s="49" t="n"/>
      <c r="E381" s="48" t="n"/>
      <c r="F381" s="48" t="n"/>
      <c r="G381" s="50" t="n"/>
      <c r="H381" s="51" t="n"/>
      <c r="I381" s="51" t="n"/>
      <c r="J381" s="48" t="n"/>
      <c r="K381" s="52" t="n"/>
      <c r="L381" s="48" t="n"/>
      <c r="M381" s="48" t="n"/>
      <c r="N381" s="48" t="n"/>
      <c r="O381" s="48" t="n"/>
      <c r="P381" s="48" t="n"/>
      <c r="Q381" s="48" t="n"/>
      <c r="R381" s="48" t="n"/>
      <c r="S381" s="48" t="n"/>
      <c r="T381" s="48" t="n"/>
      <c r="U381" s="48" t="n"/>
      <c r="V381" s="48" t="n"/>
      <c r="W381" s="48" t="n"/>
      <c r="X381" s="48" t="n"/>
      <c r="Y381" s="48" t="n"/>
      <c r="Z381" s="48" t="n"/>
      <c r="AA381" s="48" t="n"/>
      <c r="AB381" s="48" t="n"/>
      <c r="AC381" s="48" t="n"/>
      <c r="AD381" s="48" t="n"/>
      <c r="AE381" s="48" t="n"/>
      <c r="AF381" s="48" t="n"/>
      <c r="AG381" s="48" t="n"/>
      <c r="AH381" s="48" t="n"/>
      <c r="AI381" s="48" t="n"/>
      <c r="AJ381" s="48" t="n"/>
      <c r="AK381" s="48" t="n"/>
      <c r="AL381" s="53" t="n"/>
      <c r="AM381" s="52" t="n"/>
      <c r="AN381" s="48" t="n"/>
      <c r="AO381" s="48" t="n"/>
      <c r="AP381" s="48" t="n"/>
      <c r="AQ381" s="48" t="n"/>
      <c r="AR381" s="48" t="n"/>
      <c r="AS381" s="48" t="n"/>
      <c r="AT381" s="48" t="n"/>
      <c r="AU381" s="48" t="n"/>
      <c r="AV381" s="48" t="n"/>
      <c r="AW381" s="48" t="n"/>
      <c r="AX381" s="48" t="n"/>
      <c r="AY381" s="48" t="n"/>
      <c r="AZ381" s="48" t="n"/>
      <c r="BA381" s="48" t="n"/>
      <c r="BB381" s="48" t="n"/>
      <c r="BC381" s="48" t="n"/>
      <c r="BD381" s="48" t="n"/>
      <c r="BE381" s="48" t="n"/>
      <c r="BF381" s="48" t="n"/>
      <c r="BG381" s="48" t="n"/>
      <c r="BH381" s="48" t="n"/>
      <c r="BI381" s="48" t="n"/>
      <c r="BJ381" s="48" t="n"/>
      <c r="BK381" s="48" t="n"/>
      <c r="BL381" s="48" t="n"/>
      <c r="BM381" s="48" t="n"/>
      <c r="BN381" s="48" t="n"/>
    </row>
    <row r="382">
      <c r="A382" s="47" t="n"/>
      <c r="B382" s="48" t="n"/>
      <c r="C382" s="48" t="n"/>
      <c r="D382" s="49" t="n"/>
      <c r="E382" s="48" t="n"/>
      <c r="F382" s="48" t="n"/>
      <c r="G382" s="50" t="n"/>
      <c r="H382" s="51" t="n"/>
      <c r="I382" s="51" t="n"/>
      <c r="J382" s="48" t="n"/>
      <c r="K382" s="52" t="n"/>
      <c r="L382" s="48" t="n"/>
      <c r="M382" s="48" t="n"/>
      <c r="N382" s="48" t="n"/>
      <c r="O382" s="48" t="n"/>
      <c r="P382" s="48" t="n"/>
      <c r="Q382" s="48" t="n"/>
      <c r="R382" s="48" t="n"/>
      <c r="S382" s="48" t="n"/>
      <c r="T382" s="48" t="n"/>
      <c r="U382" s="48" t="n"/>
      <c r="V382" s="48" t="n"/>
      <c r="W382" s="48" t="n"/>
      <c r="X382" s="48" t="n"/>
      <c r="Y382" s="48" t="n"/>
      <c r="Z382" s="48" t="n"/>
      <c r="AA382" s="48" t="n"/>
      <c r="AB382" s="48" t="n"/>
      <c r="AC382" s="48" t="n"/>
      <c r="AD382" s="48" t="n"/>
      <c r="AE382" s="48" t="n"/>
      <c r="AF382" s="48" t="n"/>
      <c r="AG382" s="48" t="n"/>
      <c r="AH382" s="48" t="n"/>
      <c r="AI382" s="48" t="n"/>
      <c r="AJ382" s="48" t="n"/>
      <c r="AK382" s="48" t="n"/>
      <c r="AL382" s="53" t="n"/>
      <c r="AM382" s="52" t="n"/>
      <c r="AN382" s="48" t="n"/>
      <c r="AO382" s="48" t="n"/>
      <c r="AP382" s="48" t="n"/>
      <c r="AQ382" s="48" t="n"/>
      <c r="AR382" s="48" t="n"/>
      <c r="AS382" s="48" t="n"/>
      <c r="AT382" s="48" t="n"/>
      <c r="AU382" s="48" t="n"/>
      <c r="AV382" s="48" t="n"/>
      <c r="AW382" s="48" t="n"/>
      <c r="AX382" s="48" t="n"/>
      <c r="AY382" s="48" t="n"/>
      <c r="AZ382" s="48" t="n"/>
      <c r="BA382" s="48" t="n"/>
      <c r="BB382" s="48" t="n"/>
      <c r="BC382" s="48" t="n"/>
      <c r="BD382" s="48" t="n"/>
      <c r="BE382" s="48" t="n"/>
      <c r="BF382" s="48" t="n"/>
      <c r="BG382" s="48" t="n"/>
      <c r="BH382" s="48" t="n"/>
      <c r="BI382" s="48" t="n"/>
      <c r="BJ382" s="48" t="n"/>
      <c r="BK382" s="48" t="n"/>
      <c r="BL382" s="48" t="n"/>
      <c r="BM382" s="48" t="n"/>
      <c r="BN382" s="48" t="n"/>
    </row>
    <row r="383">
      <c r="A383" s="47" t="n"/>
      <c r="B383" s="48" t="n"/>
      <c r="C383" s="48" t="n"/>
      <c r="D383" s="49" t="n"/>
      <c r="E383" s="48" t="n"/>
      <c r="F383" s="48" t="n"/>
      <c r="G383" s="50" t="n"/>
      <c r="H383" s="51" t="n"/>
      <c r="I383" s="51" t="n"/>
      <c r="J383" s="48" t="n"/>
      <c r="K383" s="52" t="n"/>
      <c r="L383" s="48" t="n"/>
      <c r="M383" s="48" t="n"/>
      <c r="N383" s="48" t="n"/>
      <c r="O383" s="48" t="n"/>
      <c r="P383" s="48" t="n"/>
      <c r="Q383" s="48" t="n"/>
      <c r="R383" s="48" t="n"/>
      <c r="S383" s="48" t="n"/>
      <c r="T383" s="48" t="n"/>
      <c r="U383" s="48" t="n"/>
      <c r="V383" s="48" t="n"/>
      <c r="W383" s="48" t="n"/>
      <c r="X383" s="48" t="n"/>
      <c r="Y383" s="48" t="n"/>
      <c r="Z383" s="48" t="n"/>
      <c r="AA383" s="48" t="n"/>
      <c r="AB383" s="48" t="n"/>
      <c r="AC383" s="48" t="n"/>
      <c r="AD383" s="48" t="n"/>
      <c r="AE383" s="48" t="n"/>
      <c r="AF383" s="48" t="n"/>
      <c r="AG383" s="48" t="n"/>
      <c r="AH383" s="48" t="n"/>
      <c r="AI383" s="48" t="n"/>
      <c r="AJ383" s="48" t="n"/>
      <c r="AK383" s="48" t="n"/>
      <c r="AL383" s="53" t="n"/>
      <c r="AM383" s="52" t="n"/>
      <c r="AN383" s="48" t="n"/>
      <c r="AO383" s="48" t="n"/>
      <c r="AP383" s="48" t="n"/>
      <c r="AQ383" s="48" t="n"/>
      <c r="AR383" s="48" t="n"/>
      <c r="AS383" s="48" t="n"/>
      <c r="AT383" s="48" t="n"/>
      <c r="AU383" s="48" t="n"/>
      <c r="AV383" s="48" t="n"/>
      <c r="AW383" s="48" t="n"/>
      <c r="AX383" s="48" t="n"/>
      <c r="AY383" s="48" t="n"/>
      <c r="AZ383" s="48" t="n"/>
      <c r="BA383" s="48" t="n"/>
      <c r="BB383" s="48" t="n"/>
      <c r="BC383" s="48" t="n"/>
      <c r="BD383" s="48" t="n"/>
      <c r="BE383" s="48" t="n"/>
      <c r="BF383" s="48" t="n"/>
      <c r="BG383" s="48" t="n"/>
      <c r="BH383" s="48" t="n"/>
      <c r="BI383" s="48" t="n"/>
      <c r="BJ383" s="48" t="n"/>
      <c r="BK383" s="48" t="n"/>
      <c r="BL383" s="48" t="n"/>
      <c r="BM383" s="48" t="n"/>
      <c r="BN383" s="48" t="n"/>
    </row>
    <row r="384">
      <c r="A384" s="47" t="n"/>
      <c r="B384" s="48" t="n"/>
      <c r="C384" s="48" t="n"/>
      <c r="D384" s="49" t="n"/>
      <c r="E384" s="48" t="n"/>
      <c r="F384" s="48" t="n"/>
      <c r="G384" s="50" t="n"/>
      <c r="H384" s="51" t="n"/>
      <c r="I384" s="51" t="n"/>
      <c r="J384" s="48" t="n"/>
      <c r="K384" s="52" t="n"/>
      <c r="L384" s="48" t="n"/>
      <c r="M384" s="48" t="n"/>
      <c r="N384" s="48" t="n"/>
      <c r="O384" s="48" t="n"/>
      <c r="P384" s="48" t="n"/>
      <c r="Q384" s="48" t="n"/>
      <c r="R384" s="48" t="n"/>
      <c r="S384" s="48" t="n"/>
      <c r="T384" s="48" t="n"/>
      <c r="U384" s="48" t="n"/>
      <c r="V384" s="48" t="n"/>
      <c r="W384" s="48" t="n"/>
      <c r="X384" s="48" t="n"/>
      <c r="Y384" s="48" t="n"/>
      <c r="Z384" s="48" t="n"/>
      <c r="AA384" s="48" t="n"/>
      <c r="AB384" s="48" t="n"/>
      <c r="AC384" s="48" t="n"/>
      <c r="AD384" s="48" t="n"/>
      <c r="AE384" s="48" t="n"/>
      <c r="AF384" s="48" t="n"/>
      <c r="AG384" s="48" t="n"/>
      <c r="AH384" s="48" t="n"/>
      <c r="AI384" s="48" t="n"/>
      <c r="AJ384" s="48" t="n"/>
      <c r="AK384" s="48" t="n"/>
      <c r="AL384" s="53" t="n"/>
      <c r="AM384" s="52" t="n"/>
      <c r="AN384" s="48" t="n"/>
      <c r="AO384" s="48" t="n"/>
      <c r="AP384" s="48" t="n"/>
      <c r="AQ384" s="48" t="n"/>
      <c r="AR384" s="48" t="n"/>
      <c r="AS384" s="48" t="n"/>
      <c r="AT384" s="48" t="n"/>
      <c r="AU384" s="48" t="n"/>
      <c r="AV384" s="48" t="n"/>
      <c r="AW384" s="48" t="n"/>
      <c r="AX384" s="48" t="n"/>
      <c r="AY384" s="48" t="n"/>
      <c r="AZ384" s="48" t="n"/>
      <c r="BA384" s="48" t="n"/>
      <c r="BB384" s="48" t="n"/>
      <c r="BC384" s="48" t="n"/>
      <c r="BD384" s="48" t="n"/>
      <c r="BE384" s="48" t="n"/>
      <c r="BF384" s="48" t="n"/>
      <c r="BG384" s="48" t="n"/>
      <c r="BH384" s="48" t="n"/>
      <c r="BI384" s="48" t="n"/>
      <c r="BJ384" s="48" t="n"/>
      <c r="BK384" s="48" t="n"/>
      <c r="BL384" s="48" t="n"/>
      <c r="BM384" s="48" t="n"/>
      <c r="BN384" s="48" t="n"/>
    </row>
    <row r="385">
      <c r="A385" s="47" t="n"/>
      <c r="B385" s="48" t="n"/>
      <c r="C385" s="48" t="n"/>
      <c r="D385" s="49" t="n"/>
      <c r="E385" s="48" t="n"/>
      <c r="F385" s="48" t="n"/>
      <c r="G385" s="50" t="n"/>
      <c r="H385" s="51" t="n"/>
      <c r="I385" s="51" t="n"/>
      <c r="J385" s="48" t="n"/>
      <c r="K385" s="52" t="n"/>
      <c r="L385" s="48" t="n"/>
      <c r="M385" s="48" t="n"/>
      <c r="N385" s="48" t="n"/>
      <c r="O385" s="48" t="n"/>
      <c r="P385" s="48" t="n"/>
      <c r="Q385" s="48" t="n"/>
      <c r="R385" s="48" t="n"/>
      <c r="S385" s="48" t="n"/>
      <c r="T385" s="48" t="n"/>
      <c r="U385" s="48" t="n"/>
      <c r="V385" s="48" t="n"/>
      <c r="W385" s="48" t="n"/>
      <c r="X385" s="48" t="n"/>
      <c r="Y385" s="48" t="n"/>
      <c r="Z385" s="48" t="n"/>
      <c r="AA385" s="48" t="n"/>
      <c r="AB385" s="48" t="n"/>
      <c r="AC385" s="48" t="n"/>
      <c r="AD385" s="48" t="n"/>
      <c r="AE385" s="48" t="n"/>
      <c r="AF385" s="48" t="n"/>
      <c r="AG385" s="48" t="n"/>
      <c r="AH385" s="48" t="n"/>
      <c r="AI385" s="48" t="n"/>
      <c r="AJ385" s="48" t="n"/>
      <c r="AK385" s="48" t="n"/>
      <c r="AL385" s="53" t="n"/>
      <c r="AM385" s="52" t="n"/>
      <c r="AN385" s="48" t="n"/>
      <c r="AO385" s="48" t="n"/>
      <c r="AP385" s="48" t="n"/>
      <c r="AQ385" s="48" t="n"/>
      <c r="AR385" s="48" t="n"/>
      <c r="AS385" s="48" t="n"/>
      <c r="AT385" s="48" t="n"/>
      <c r="AU385" s="48" t="n"/>
      <c r="AV385" s="48" t="n"/>
      <c r="AW385" s="48" t="n"/>
      <c r="AX385" s="48" t="n"/>
      <c r="AY385" s="48" t="n"/>
      <c r="AZ385" s="48" t="n"/>
      <c r="BA385" s="48" t="n"/>
      <c r="BB385" s="48" t="n"/>
      <c r="BC385" s="48" t="n"/>
      <c r="BD385" s="48" t="n"/>
      <c r="BE385" s="48" t="n"/>
      <c r="BF385" s="48" t="n"/>
      <c r="BG385" s="48" t="n"/>
      <c r="BH385" s="48" t="n"/>
      <c r="BI385" s="48" t="n"/>
      <c r="BJ385" s="48" t="n"/>
      <c r="BK385" s="48" t="n"/>
      <c r="BL385" s="48" t="n"/>
      <c r="BM385" s="48" t="n"/>
      <c r="BN385" s="48" t="n"/>
    </row>
    <row r="386">
      <c r="A386" s="47" t="n"/>
      <c r="B386" s="48" t="n"/>
      <c r="C386" s="48" t="n"/>
      <c r="D386" s="49" t="n"/>
      <c r="E386" s="48" t="n"/>
      <c r="F386" s="48" t="n"/>
      <c r="G386" s="50" t="n"/>
      <c r="H386" s="51" t="n"/>
      <c r="I386" s="51" t="n"/>
      <c r="J386" s="48" t="n"/>
      <c r="K386" s="52" t="n"/>
      <c r="L386" s="48" t="n"/>
      <c r="M386" s="48" t="n"/>
      <c r="N386" s="48" t="n"/>
      <c r="O386" s="48" t="n"/>
      <c r="P386" s="48" t="n"/>
      <c r="Q386" s="48" t="n"/>
      <c r="R386" s="48" t="n"/>
      <c r="S386" s="48" t="n"/>
      <c r="T386" s="48" t="n"/>
      <c r="U386" s="48" t="n"/>
      <c r="V386" s="48" t="n"/>
      <c r="W386" s="48" t="n"/>
      <c r="X386" s="48" t="n"/>
      <c r="Y386" s="48" t="n"/>
      <c r="Z386" s="48" t="n"/>
      <c r="AA386" s="48" t="n"/>
      <c r="AB386" s="48" t="n"/>
      <c r="AC386" s="48" t="n"/>
      <c r="AD386" s="48" t="n"/>
      <c r="AE386" s="48" t="n"/>
      <c r="AF386" s="48" t="n"/>
      <c r="AG386" s="48" t="n"/>
      <c r="AH386" s="48" t="n"/>
      <c r="AI386" s="48" t="n"/>
      <c r="AJ386" s="48" t="n"/>
      <c r="AK386" s="48" t="n"/>
      <c r="AL386" s="53" t="n"/>
      <c r="AM386" s="52" t="n"/>
      <c r="AN386" s="48" t="n"/>
      <c r="AO386" s="48" t="n"/>
      <c r="AP386" s="48" t="n"/>
      <c r="AQ386" s="48" t="n"/>
      <c r="AR386" s="48" t="n"/>
      <c r="AS386" s="48" t="n"/>
      <c r="AT386" s="48" t="n"/>
      <c r="AU386" s="48" t="n"/>
      <c r="AV386" s="48" t="n"/>
      <c r="AW386" s="48" t="n"/>
      <c r="AX386" s="48" t="n"/>
      <c r="AY386" s="48" t="n"/>
      <c r="AZ386" s="48" t="n"/>
      <c r="BA386" s="48" t="n"/>
      <c r="BB386" s="48" t="n"/>
      <c r="BC386" s="48" t="n"/>
      <c r="BD386" s="48" t="n"/>
      <c r="BE386" s="48" t="n"/>
      <c r="BF386" s="48" t="n"/>
      <c r="BG386" s="48" t="n"/>
      <c r="BH386" s="48" t="n"/>
      <c r="BI386" s="48" t="n"/>
      <c r="BJ386" s="48" t="n"/>
      <c r="BK386" s="48" t="n"/>
      <c r="BL386" s="48" t="n"/>
      <c r="BM386" s="48" t="n"/>
      <c r="BN386" s="48" t="n"/>
    </row>
    <row r="387">
      <c r="A387" s="47" t="n"/>
      <c r="B387" s="48" t="n"/>
      <c r="C387" s="48" t="n"/>
      <c r="D387" s="49" t="n"/>
      <c r="E387" s="48" t="n"/>
      <c r="F387" s="48" t="n"/>
      <c r="G387" s="50" t="n"/>
      <c r="H387" s="51" t="n"/>
      <c r="I387" s="51" t="n"/>
      <c r="J387" s="48" t="n"/>
      <c r="K387" s="52" t="n"/>
      <c r="L387" s="48" t="n"/>
      <c r="M387" s="48" t="n"/>
      <c r="N387" s="48" t="n"/>
      <c r="O387" s="48" t="n"/>
      <c r="P387" s="48" t="n"/>
      <c r="Q387" s="48" t="n"/>
      <c r="R387" s="48" t="n"/>
      <c r="S387" s="48" t="n"/>
      <c r="T387" s="48" t="n"/>
      <c r="U387" s="48" t="n"/>
      <c r="V387" s="48" t="n"/>
      <c r="W387" s="48" t="n"/>
      <c r="X387" s="48" t="n"/>
      <c r="Y387" s="48" t="n"/>
      <c r="Z387" s="48" t="n"/>
      <c r="AA387" s="48" t="n"/>
      <c r="AB387" s="48" t="n"/>
      <c r="AC387" s="48" t="n"/>
      <c r="AD387" s="48" t="n"/>
      <c r="AE387" s="48" t="n"/>
      <c r="AF387" s="48" t="n"/>
      <c r="AG387" s="48" t="n"/>
      <c r="AH387" s="48" t="n"/>
      <c r="AI387" s="48" t="n"/>
      <c r="AJ387" s="48" t="n"/>
      <c r="AK387" s="48" t="n"/>
      <c r="AL387" s="53" t="n"/>
      <c r="AM387" s="52" t="n"/>
      <c r="AN387" s="48" t="n"/>
      <c r="AO387" s="48" t="n"/>
      <c r="AP387" s="48" t="n"/>
      <c r="AQ387" s="48" t="n"/>
      <c r="AR387" s="48" t="n"/>
      <c r="AS387" s="48" t="n"/>
      <c r="AT387" s="48" t="n"/>
      <c r="AU387" s="48" t="n"/>
      <c r="AV387" s="48" t="n"/>
      <c r="AW387" s="48" t="n"/>
      <c r="AX387" s="48" t="n"/>
      <c r="AY387" s="48" t="n"/>
      <c r="AZ387" s="48" t="n"/>
      <c r="BA387" s="48" t="n"/>
      <c r="BB387" s="48" t="n"/>
      <c r="BC387" s="48" t="n"/>
      <c r="BD387" s="48" t="n"/>
      <c r="BE387" s="48" t="n"/>
      <c r="BF387" s="48" t="n"/>
      <c r="BG387" s="48" t="n"/>
      <c r="BH387" s="48" t="n"/>
      <c r="BI387" s="48" t="n"/>
      <c r="BJ387" s="48" t="n"/>
      <c r="BK387" s="48" t="n"/>
      <c r="BL387" s="48" t="n"/>
      <c r="BM387" s="48" t="n"/>
      <c r="BN387" s="48" t="n"/>
    </row>
    <row r="388">
      <c r="A388" s="47" t="n"/>
      <c r="B388" s="48" t="n"/>
      <c r="C388" s="48" t="n"/>
      <c r="D388" s="49" t="n"/>
      <c r="E388" s="48" t="n"/>
      <c r="F388" s="48" t="n"/>
      <c r="G388" s="50" t="n"/>
      <c r="H388" s="51" t="n"/>
      <c r="I388" s="51" t="n"/>
      <c r="J388" s="48" t="n"/>
      <c r="K388" s="52" t="n"/>
      <c r="L388" s="48" t="n"/>
      <c r="M388" s="48" t="n"/>
      <c r="N388" s="48" t="n"/>
      <c r="O388" s="48" t="n"/>
      <c r="P388" s="48" t="n"/>
      <c r="Q388" s="48" t="n"/>
      <c r="R388" s="48" t="n"/>
      <c r="S388" s="48" t="n"/>
      <c r="T388" s="48" t="n"/>
      <c r="U388" s="48" t="n"/>
      <c r="V388" s="48" t="n"/>
      <c r="W388" s="48" t="n"/>
      <c r="X388" s="48" t="n"/>
      <c r="Y388" s="48" t="n"/>
      <c r="Z388" s="48" t="n"/>
      <c r="AA388" s="48" t="n"/>
      <c r="AB388" s="48" t="n"/>
      <c r="AC388" s="48" t="n"/>
      <c r="AD388" s="48" t="n"/>
      <c r="AE388" s="48" t="n"/>
      <c r="AF388" s="48" t="n"/>
      <c r="AG388" s="48" t="n"/>
      <c r="AH388" s="48" t="n"/>
      <c r="AI388" s="48" t="n"/>
      <c r="AJ388" s="48" t="n"/>
      <c r="AK388" s="48" t="n"/>
      <c r="AL388" s="53" t="n"/>
      <c r="AM388" s="52" t="n"/>
      <c r="AN388" s="48" t="n"/>
      <c r="AO388" s="48" t="n"/>
      <c r="AP388" s="48" t="n"/>
      <c r="AQ388" s="48" t="n"/>
      <c r="AR388" s="48" t="n"/>
      <c r="AS388" s="48" t="n"/>
      <c r="AT388" s="48" t="n"/>
      <c r="AU388" s="48" t="n"/>
      <c r="AV388" s="48" t="n"/>
      <c r="AW388" s="48" t="n"/>
      <c r="AX388" s="48" t="n"/>
      <c r="AY388" s="48" t="n"/>
      <c r="AZ388" s="48" t="n"/>
      <c r="BA388" s="48" t="n"/>
      <c r="BB388" s="48" t="n"/>
      <c r="BC388" s="48" t="n"/>
      <c r="BD388" s="48" t="n"/>
      <c r="BE388" s="48" t="n"/>
      <c r="BF388" s="48" t="n"/>
      <c r="BG388" s="48" t="n"/>
      <c r="BH388" s="48" t="n"/>
      <c r="BI388" s="48" t="n"/>
      <c r="BJ388" s="48" t="n"/>
      <c r="BK388" s="48" t="n"/>
      <c r="BL388" s="48" t="n"/>
      <c r="BM388" s="48" t="n"/>
      <c r="BN388" s="48" t="n"/>
    </row>
    <row r="389">
      <c r="A389" s="47" t="n"/>
      <c r="B389" s="48" t="n"/>
      <c r="C389" s="48" t="n"/>
      <c r="D389" s="49" t="n"/>
      <c r="E389" s="48" t="n"/>
      <c r="F389" s="48" t="n"/>
      <c r="G389" s="50" t="n"/>
      <c r="H389" s="51" t="n"/>
      <c r="I389" s="51" t="n"/>
      <c r="J389" s="48" t="n"/>
      <c r="K389" s="52" t="n"/>
      <c r="L389" s="48" t="n"/>
      <c r="M389" s="48" t="n"/>
      <c r="N389" s="48" t="n"/>
      <c r="O389" s="48" t="n"/>
      <c r="P389" s="48" t="n"/>
      <c r="Q389" s="48" t="n"/>
      <c r="R389" s="48" t="n"/>
      <c r="S389" s="48" t="n"/>
      <c r="T389" s="48" t="n"/>
      <c r="U389" s="48" t="n"/>
      <c r="V389" s="48" t="n"/>
      <c r="W389" s="48" t="n"/>
      <c r="X389" s="48" t="n"/>
      <c r="Y389" s="48" t="n"/>
      <c r="Z389" s="48" t="n"/>
      <c r="AA389" s="48" t="n"/>
      <c r="AB389" s="48" t="n"/>
      <c r="AC389" s="48" t="n"/>
      <c r="AD389" s="48" t="n"/>
      <c r="AE389" s="48" t="n"/>
      <c r="AF389" s="48" t="n"/>
      <c r="AG389" s="48" t="n"/>
      <c r="AH389" s="48" t="n"/>
      <c r="AI389" s="48" t="n"/>
      <c r="AJ389" s="48" t="n"/>
      <c r="AK389" s="48" t="n"/>
      <c r="AL389" s="53" t="n"/>
      <c r="AM389" s="52" t="n"/>
      <c r="AN389" s="48" t="n"/>
      <c r="AO389" s="48" t="n"/>
      <c r="AP389" s="48" t="n"/>
      <c r="AQ389" s="48" t="n"/>
      <c r="AR389" s="48" t="n"/>
      <c r="AS389" s="48" t="n"/>
      <c r="AT389" s="48" t="n"/>
      <c r="AU389" s="48" t="n"/>
      <c r="AV389" s="48" t="n"/>
      <c r="AW389" s="48" t="n"/>
      <c r="AX389" s="48" t="n"/>
      <c r="AY389" s="48" t="n"/>
      <c r="AZ389" s="48" t="n"/>
      <c r="BA389" s="48" t="n"/>
      <c r="BB389" s="48" t="n"/>
      <c r="BC389" s="48" t="n"/>
      <c r="BD389" s="48" t="n"/>
      <c r="BE389" s="48" t="n"/>
      <c r="BF389" s="48" t="n"/>
      <c r="BG389" s="48" t="n"/>
      <c r="BH389" s="48" t="n"/>
      <c r="BI389" s="48" t="n"/>
      <c r="BJ389" s="48" t="n"/>
      <c r="BK389" s="48" t="n"/>
      <c r="BL389" s="48" t="n"/>
      <c r="BM389" s="48" t="n"/>
      <c r="BN389" s="48" t="n"/>
    </row>
    <row r="390">
      <c r="A390" s="47" t="n"/>
      <c r="B390" s="48" t="n"/>
      <c r="C390" s="48" t="n"/>
      <c r="D390" s="49" t="n"/>
      <c r="E390" s="48" t="n"/>
      <c r="F390" s="48" t="n"/>
      <c r="G390" s="50" t="n"/>
      <c r="H390" s="51" t="n"/>
      <c r="I390" s="51" t="n"/>
      <c r="J390" s="48" t="n"/>
      <c r="K390" s="52" t="n"/>
      <c r="L390" s="48" t="n"/>
      <c r="M390" s="48" t="n"/>
      <c r="N390" s="48" t="n"/>
      <c r="O390" s="48" t="n"/>
      <c r="P390" s="48" t="n"/>
      <c r="Q390" s="48" t="n"/>
      <c r="R390" s="48" t="n"/>
      <c r="S390" s="48" t="n"/>
      <c r="T390" s="48" t="n"/>
      <c r="U390" s="48" t="n"/>
      <c r="V390" s="48" t="n"/>
      <c r="W390" s="48" t="n"/>
      <c r="X390" s="48" t="n"/>
      <c r="Y390" s="48" t="n"/>
      <c r="Z390" s="48" t="n"/>
      <c r="AA390" s="48" t="n"/>
      <c r="AB390" s="48" t="n"/>
      <c r="AC390" s="48" t="n"/>
      <c r="AD390" s="48" t="n"/>
      <c r="AE390" s="48" t="n"/>
      <c r="AF390" s="48" t="n"/>
      <c r="AG390" s="48" t="n"/>
      <c r="AH390" s="48" t="n"/>
      <c r="AI390" s="48" t="n"/>
      <c r="AJ390" s="48" t="n"/>
      <c r="AK390" s="48" t="n"/>
      <c r="AL390" s="53" t="n"/>
      <c r="AM390" s="52" t="n"/>
      <c r="AN390" s="48" t="n"/>
      <c r="AO390" s="48" t="n"/>
      <c r="AP390" s="48" t="n"/>
      <c r="AQ390" s="48" t="n"/>
      <c r="AR390" s="48" t="n"/>
      <c r="AS390" s="48" t="n"/>
      <c r="AT390" s="48" t="n"/>
      <c r="AU390" s="48" t="n"/>
      <c r="AV390" s="48" t="n"/>
      <c r="AW390" s="48" t="n"/>
      <c r="AX390" s="48" t="n"/>
      <c r="AY390" s="48" t="n"/>
      <c r="AZ390" s="48" t="n"/>
      <c r="BA390" s="48" t="n"/>
      <c r="BB390" s="48" t="n"/>
      <c r="BC390" s="48" t="n"/>
      <c r="BD390" s="48" t="n"/>
      <c r="BE390" s="48" t="n"/>
      <c r="BF390" s="48" t="n"/>
      <c r="BG390" s="48" t="n"/>
      <c r="BH390" s="48" t="n"/>
      <c r="BI390" s="48" t="n"/>
      <c r="BJ390" s="48" t="n"/>
      <c r="BK390" s="48" t="n"/>
      <c r="BL390" s="48" t="n"/>
      <c r="BM390" s="48" t="n"/>
      <c r="BN390" s="48" t="n"/>
    </row>
    <row r="391">
      <c r="A391" s="47" t="n"/>
      <c r="B391" s="48" t="n"/>
      <c r="C391" s="48" t="n"/>
      <c r="D391" s="49" t="n"/>
      <c r="E391" s="48" t="n"/>
      <c r="F391" s="48" t="n"/>
      <c r="G391" s="50" t="n"/>
      <c r="H391" s="51" t="n"/>
      <c r="I391" s="51" t="n"/>
      <c r="J391" s="48" t="n"/>
      <c r="K391" s="52" t="n"/>
      <c r="L391" s="48" t="n"/>
      <c r="M391" s="48" t="n"/>
      <c r="N391" s="48" t="n"/>
      <c r="O391" s="48" t="n"/>
      <c r="P391" s="48" t="n"/>
      <c r="Q391" s="48" t="n"/>
      <c r="R391" s="48" t="n"/>
      <c r="S391" s="48" t="n"/>
      <c r="T391" s="48" t="n"/>
      <c r="U391" s="48" t="n"/>
      <c r="V391" s="48" t="n"/>
      <c r="W391" s="48" t="n"/>
      <c r="X391" s="48" t="n"/>
      <c r="Y391" s="48" t="n"/>
      <c r="Z391" s="48" t="n"/>
      <c r="AA391" s="48" t="n"/>
      <c r="AB391" s="48" t="n"/>
      <c r="AC391" s="48" t="n"/>
      <c r="AD391" s="48" t="n"/>
      <c r="AE391" s="48" t="n"/>
      <c r="AF391" s="48" t="n"/>
      <c r="AG391" s="48" t="n"/>
      <c r="AH391" s="48" t="n"/>
      <c r="AI391" s="48" t="n"/>
      <c r="AJ391" s="48" t="n"/>
      <c r="AK391" s="48" t="n"/>
      <c r="AL391" s="53" t="n"/>
      <c r="AM391" s="52" t="n"/>
      <c r="AN391" s="48" t="n"/>
      <c r="AO391" s="48" t="n"/>
      <c r="AP391" s="48" t="n"/>
      <c r="AQ391" s="48" t="n"/>
      <c r="AR391" s="48" t="n"/>
      <c r="AS391" s="48" t="n"/>
      <c r="AT391" s="48" t="n"/>
      <c r="AU391" s="48" t="n"/>
      <c r="AV391" s="48" t="n"/>
      <c r="AW391" s="48" t="n"/>
      <c r="AX391" s="48" t="n"/>
      <c r="AY391" s="48" t="n"/>
      <c r="AZ391" s="48" t="n"/>
      <c r="BA391" s="48" t="n"/>
      <c r="BB391" s="48" t="n"/>
      <c r="BC391" s="48" t="n"/>
      <c r="BD391" s="48" t="n"/>
      <c r="BE391" s="48" t="n"/>
      <c r="BF391" s="48" t="n"/>
      <c r="BG391" s="48" t="n"/>
      <c r="BH391" s="48" t="n"/>
      <c r="BI391" s="48" t="n"/>
      <c r="BJ391" s="48" t="n"/>
      <c r="BK391" s="48" t="n"/>
      <c r="BL391" s="48" t="n"/>
      <c r="BM391" s="48" t="n"/>
      <c r="BN391" s="48" t="n"/>
    </row>
    <row r="392">
      <c r="A392" s="47" t="n"/>
      <c r="B392" s="48" t="n"/>
      <c r="C392" s="48" t="n"/>
      <c r="D392" s="49" t="n"/>
      <c r="E392" s="48" t="n"/>
      <c r="F392" s="48" t="n"/>
      <c r="G392" s="50" t="n"/>
      <c r="H392" s="51" t="n"/>
      <c r="I392" s="51" t="n"/>
      <c r="J392" s="48" t="n"/>
      <c r="K392" s="52" t="n"/>
      <c r="L392" s="48" t="n"/>
      <c r="M392" s="48" t="n"/>
      <c r="N392" s="48" t="n"/>
      <c r="O392" s="48" t="n"/>
      <c r="P392" s="48" t="n"/>
      <c r="Q392" s="48" t="n"/>
      <c r="R392" s="48" t="n"/>
      <c r="S392" s="48" t="n"/>
      <c r="T392" s="48" t="n"/>
      <c r="U392" s="48" t="n"/>
      <c r="V392" s="48" t="n"/>
      <c r="W392" s="48" t="n"/>
      <c r="X392" s="48" t="n"/>
      <c r="Y392" s="48" t="n"/>
      <c r="Z392" s="48" t="n"/>
      <c r="AA392" s="48" t="n"/>
      <c r="AB392" s="48" t="n"/>
      <c r="AC392" s="48" t="n"/>
      <c r="AD392" s="48" t="n"/>
      <c r="AE392" s="48" t="n"/>
      <c r="AF392" s="48" t="n"/>
      <c r="AG392" s="48" t="n"/>
      <c r="AH392" s="48" t="n"/>
      <c r="AI392" s="48" t="n"/>
      <c r="AJ392" s="48" t="n"/>
      <c r="AK392" s="48" t="n"/>
      <c r="AL392" s="53" t="n"/>
      <c r="AM392" s="52" t="n"/>
      <c r="AN392" s="48" t="n"/>
      <c r="AO392" s="48" t="n"/>
      <c r="AP392" s="48" t="n"/>
      <c r="AQ392" s="48" t="n"/>
      <c r="AR392" s="48" t="n"/>
      <c r="AS392" s="48" t="n"/>
      <c r="AT392" s="48" t="n"/>
      <c r="AU392" s="48" t="n"/>
      <c r="AV392" s="48" t="n"/>
      <c r="AW392" s="48" t="n"/>
      <c r="AX392" s="48" t="n"/>
      <c r="AY392" s="48" t="n"/>
      <c r="AZ392" s="48" t="n"/>
      <c r="BA392" s="48" t="n"/>
      <c r="BB392" s="48" t="n"/>
      <c r="BC392" s="48" t="n"/>
      <c r="BD392" s="48" t="n"/>
      <c r="BE392" s="48" t="n"/>
      <c r="BF392" s="48" t="n"/>
      <c r="BG392" s="48" t="n"/>
      <c r="BH392" s="48" t="n"/>
      <c r="BI392" s="48" t="n"/>
      <c r="BJ392" s="48" t="n"/>
      <c r="BK392" s="48" t="n"/>
      <c r="BL392" s="48" t="n"/>
      <c r="BM392" s="48" t="n"/>
      <c r="BN392" s="48" t="n"/>
    </row>
    <row r="393">
      <c r="A393" s="47" t="n"/>
      <c r="B393" s="48" t="n"/>
      <c r="C393" s="48" t="n"/>
      <c r="D393" s="49" t="n"/>
      <c r="E393" s="48" t="n"/>
      <c r="F393" s="48" t="n"/>
      <c r="G393" s="50" t="n"/>
      <c r="H393" s="51" t="n"/>
      <c r="I393" s="51" t="n"/>
      <c r="J393" s="48" t="n"/>
      <c r="K393" s="52" t="n"/>
      <c r="L393" s="48" t="n"/>
      <c r="M393" s="48" t="n"/>
      <c r="N393" s="48" t="n"/>
      <c r="O393" s="48" t="n"/>
      <c r="P393" s="48" t="n"/>
      <c r="Q393" s="48" t="n"/>
      <c r="R393" s="48" t="n"/>
      <c r="S393" s="48" t="n"/>
      <c r="T393" s="48" t="n"/>
      <c r="U393" s="48" t="n"/>
      <c r="V393" s="48" t="n"/>
      <c r="W393" s="48" t="n"/>
      <c r="X393" s="48" t="n"/>
      <c r="Y393" s="48" t="n"/>
      <c r="Z393" s="48" t="n"/>
      <c r="AA393" s="48" t="n"/>
      <c r="AB393" s="48" t="n"/>
      <c r="AC393" s="48" t="n"/>
      <c r="AD393" s="48" t="n"/>
      <c r="AE393" s="48" t="n"/>
      <c r="AF393" s="48" t="n"/>
      <c r="AG393" s="48" t="n"/>
      <c r="AH393" s="48" t="n"/>
      <c r="AI393" s="48" t="n"/>
      <c r="AJ393" s="48" t="n"/>
      <c r="AK393" s="48" t="n"/>
      <c r="AL393" s="53" t="n"/>
      <c r="AM393" s="52" t="n"/>
      <c r="AN393" s="48" t="n"/>
      <c r="AO393" s="48" t="n"/>
      <c r="AP393" s="48" t="n"/>
      <c r="AQ393" s="48" t="n"/>
      <c r="AR393" s="48" t="n"/>
      <c r="AS393" s="48" t="n"/>
      <c r="AT393" s="48" t="n"/>
      <c r="AU393" s="48" t="n"/>
      <c r="AV393" s="48" t="n"/>
      <c r="AW393" s="48" t="n"/>
      <c r="AX393" s="48" t="n"/>
      <c r="AY393" s="48" t="n"/>
      <c r="AZ393" s="48" t="n"/>
      <c r="BA393" s="48" t="n"/>
      <c r="BB393" s="48" t="n"/>
      <c r="BC393" s="48" t="n"/>
      <c r="BD393" s="48" t="n"/>
      <c r="BE393" s="48" t="n"/>
      <c r="BF393" s="48" t="n"/>
      <c r="BG393" s="48" t="n"/>
      <c r="BH393" s="48" t="n"/>
      <c r="BI393" s="48" t="n"/>
      <c r="BJ393" s="48" t="n"/>
      <c r="BK393" s="48" t="n"/>
      <c r="BL393" s="48" t="n"/>
      <c r="BM393" s="48" t="n"/>
      <c r="BN393" s="48" t="n"/>
    </row>
    <row r="394">
      <c r="A394" s="47" t="n"/>
      <c r="B394" s="48" t="n"/>
      <c r="C394" s="48" t="n"/>
      <c r="D394" s="49" t="n"/>
      <c r="E394" s="48" t="n"/>
      <c r="F394" s="48" t="n"/>
      <c r="G394" s="50" t="n"/>
      <c r="H394" s="51" t="n"/>
      <c r="I394" s="51" t="n"/>
      <c r="J394" s="48" t="n"/>
      <c r="K394" s="52" t="n"/>
      <c r="L394" s="48" t="n"/>
      <c r="M394" s="48" t="n"/>
      <c r="N394" s="48" t="n"/>
      <c r="O394" s="48" t="n"/>
      <c r="P394" s="48" t="n"/>
      <c r="Q394" s="48" t="n"/>
      <c r="R394" s="48" t="n"/>
      <c r="S394" s="48" t="n"/>
      <c r="T394" s="48" t="n"/>
      <c r="U394" s="48" t="n"/>
      <c r="V394" s="48" t="n"/>
      <c r="W394" s="48" t="n"/>
      <c r="X394" s="48" t="n"/>
      <c r="Y394" s="48" t="n"/>
      <c r="Z394" s="48" t="n"/>
      <c r="AA394" s="48" t="n"/>
      <c r="AB394" s="48" t="n"/>
      <c r="AC394" s="48" t="n"/>
      <c r="AD394" s="48" t="n"/>
      <c r="AE394" s="48" t="n"/>
      <c r="AF394" s="48" t="n"/>
      <c r="AG394" s="48" t="n"/>
      <c r="AH394" s="48" t="n"/>
      <c r="AI394" s="48" t="n"/>
      <c r="AJ394" s="48" t="n"/>
      <c r="AK394" s="48" t="n"/>
      <c r="AL394" s="53" t="n"/>
      <c r="AM394" s="52" t="n"/>
      <c r="AN394" s="48" t="n"/>
      <c r="AO394" s="48" t="n"/>
      <c r="AP394" s="48" t="n"/>
      <c r="AQ394" s="48" t="n"/>
      <c r="AR394" s="48" t="n"/>
      <c r="AS394" s="48" t="n"/>
      <c r="AT394" s="48" t="n"/>
      <c r="AU394" s="48" t="n"/>
      <c r="AV394" s="48" t="n"/>
      <c r="AW394" s="48" t="n"/>
      <c r="AX394" s="48" t="n"/>
      <c r="AY394" s="48" t="n"/>
      <c r="AZ394" s="48" t="n"/>
      <c r="BA394" s="48" t="n"/>
      <c r="BB394" s="48" t="n"/>
      <c r="BC394" s="48" t="n"/>
      <c r="BD394" s="48" t="n"/>
      <c r="BE394" s="48" t="n"/>
      <c r="BF394" s="48" t="n"/>
      <c r="BG394" s="48" t="n"/>
      <c r="BH394" s="48" t="n"/>
      <c r="BI394" s="48" t="n"/>
      <c r="BJ394" s="48" t="n"/>
      <c r="BK394" s="48" t="n"/>
      <c r="BL394" s="48" t="n"/>
      <c r="BM394" s="48" t="n"/>
      <c r="BN394" s="48" t="n"/>
    </row>
    <row r="395">
      <c r="A395" s="47" t="n"/>
      <c r="B395" s="48" t="n"/>
      <c r="C395" s="48" t="n"/>
      <c r="D395" s="49" t="n"/>
      <c r="E395" s="48" t="n"/>
      <c r="F395" s="48" t="n"/>
      <c r="G395" s="50" t="n"/>
      <c r="H395" s="51" t="n"/>
      <c r="I395" s="51" t="n"/>
      <c r="J395" s="48" t="n"/>
      <c r="K395" s="52" t="n"/>
      <c r="L395" s="48" t="n"/>
      <c r="M395" s="48" t="n"/>
      <c r="N395" s="48" t="n"/>
      <c r="O395" s="48" t="n"/>
      <c r="P395" s="48" t="n"/>
      <c r="Q395" s="48" t="n"/>
      <c r="R395" s="48" t="n"/>
      <c r="S395" s="48" t="n"/>
      <c r="T395" s="48" t="n"/>
      <c r="U395" s="48" t="n"/>
      <c r="V395" s="48" t="n"/>
      <c r="W395" s="48" t="n"/>
      <c r="X395" s="48" t="n"/>
      <c r="Y395" s="48" t="n"/>
      <c r="Z395" s="48" t="n"/>
      <c r="AA395" s="48" t="n"/>
      <c r="AB395" s="48" t="n"/>
      <c r="AC395" s="48" t="n"/>
      <c r="AD395" s="48" t="n"/>
      <c r="AE395" s="48" t="n"/>
      <c r="AF395" s="48" t="n"/>
      <c r="AG395" s="48" t="n"/>
      <c r="AH395" s="48" t="n"/>
      <c r="AI395" s="48" t="n"/>
      <c r="AJ395" s="48" t="n"/>
      <c r="AK395" s="48" t="n"/>
      <c r="AL395" s="53" t="n"/>
      <c r="AM395" s="52" t="n"/>
      <c r="AN395" s="48" t="n"/>
      <c r="AO395" s="48" t="n"/>
      <c r="AP395" s="48" t="n"/>
      <c r="AQ395" s="48" t="n"/>
      <c r="AR395" s="48" t="n"/>
      <c r="AS395" s="48" t="n"/>
      <c r="AT395" s="48" t="n"/>
      <c r="AU395" s="48" t="n"/>
      <c r="AV395" s="48" t="n"/>
      <c r="AW395" s="48" t="n"/>
      <c r="AX395" s="48" t="n"/>
      <c r="AY395" s="48" t="n"/>
      <c r="AZ395" s="48" t="n"/>
      <c r="BA395" s="48" t="n"/>
      <c r="BB395" s="48" t="n"/>
      <c r="BC395" s="48" t="n"/>
      <c r="BD395" s="48" t="n"/>
      <c r="BE395" s="48" t="n"/>
      <c r="BF395" s="48" t="n"/>
      <c r="BG395" s="48" t="n"/>
      <c r="BH395" s="48" t="n"/>
      <c r="BI395" s="48" t="n"/>
      <c r="BJ395" s="48" t="n"/>
      <c r="BK395" s="48" t="n"/>
      <c r="BL395" s="48" t="n"/>
      <c r="BM395" s="48" t="n"/>
      <c r="BN395" s="48" t="n"/>
    </row>
    <row r="396">
      <c r="A396" s="47" t="n"/>
      <c r="B396" s="48" t="n"/>
      <c r="C396" s="48" t="n"/>
      <c r="D396" s="49" t="n"/>
      <c r="E396" s="48" t="n"/>
      <c r="F396" s="48" t="n"/>
      <c r="G396" s="50" t="n"/>
      <c r="H396" s="51" t="n"/>
      <c r="I396" s="51" t="n"/>
      <c r="J396" s="48" t="n"/>
      <c r="K396" s="52" t="n"/>
      <c r="L396" s="48" t="n"/>
      <c r="M396" s="48" t="n"/>
      <c r="N396" s="48" t="n"/>
      <c r="O396" s="48" t="n"/>
      <c r="P396" s="48" t="n"/>
      <c r="Q396" s="48" t="n"/>
      <c r="R396" s="48" t="n"/>
      <c r="S396" s="48" t="n"/>
      <c r="T396" s="48" t="n"/>
      <c r="U396" s="48" t="n"/>
      <c r="V396" s="48" t="n"/>
      <c r="W396" s="48" t="n"/>
      <c r="X396" s="48" t="n"/>
      <c r="Y396" s="48" t="n"/>
      <c r="Z396" s="48" t="n"/>
      <c r="AA396" s="48" t="n"/>
      <c r="AB396" s="48" t="n"/>
      <c r="AC396" s="48" t="n"/>
      <c r="AD396" s="48" t="n"/>
      <c r="AE396" s="48" t="n"/>
      <c r="AF396" s="48" t="n"/>
      <c r="AG396" s="48" t="n"/>
      <c r="AH396" s="48" t="n"/>
      <c r="AI396" s="48" t="n"/>
      <c r="AJ396" s="48" t="n"/>
      <c r="AK396" s="48" t="n"/>
      <c r="AL396" s="53" t="n"/>
      <c r="AM396" s="52" t="n"/>
      <c r="AN396" s="48" t="n"/>
      <c r="AO396" s="48" t="n"/>
      <c r="AP396" s="48" t="n"/>
      <c r="AQ396" s="48" t="n"/>
      <c r="AR396" s="48" t="n"/>
      <c r="AS396" s="48" t="n"/>
      <c r="AT396" s="48" t="n"/>
      <c r="AU396" s="48" t="n"/>
      <c r="AV396" s="48" t="n"/>
      <c r="AW396" s="48" t="n"/>
      <c r="AX396" s="48" t="n"/>
      <c r="AY396" s="48" t="n"/>
      <c r="AZ396" s="48" t="n"/>
      <c r="BA396" s="48" t="n"/>
      <c r="BB396" s="48" t="n"/>
      <c r="BC396" s="48" t="n"/>
      <c r="BD396" s="48" t="n"/>
      <c r="BE396" s="48" t="n"/>
      <c r="BF396" s="48" t="n"/>
      <c r="BG396" s="48" t="n"/>
      <c r="BH396" s="48" t="n"/>
      <c r="BI396" s="48" t="n"/>
      <c r="BJ396" s="48" t="n"/>
      <c r="BK396" s="48" t="n"/>
      <c r="BL396" s="48" t="n"/>
      <c r="BM396" s="48" t="n"/>
      <c r="BN396" s="48" t="n"/>
    </row>
    <row r="397">
      <c r="A397" s="47" t="n"/>
      <c r="B397" s="48" t="n"/>
      <c r="C397" s="48" t="n"/>
      <c r="D397" s="49" t="n"/>
      <c r="E397" s="48" t="n"/>
      <c r="F397" s="48" t="n"/>
      <c r="G397" s="50" t="n"/>
      <c r="H397" s="51" t="n"/>
      <c r="I397" s="51" t="n"/>
      <c r="J397" s="48" t="n"/>
      <c r="K397" s="52" t="n"/>
      <c r="L397" s="48" t="n"/>
      <c r="M397" s="48" t="n"/>
      <c r="N397" s="48" t="n"/>
      <c r="O397" s="48" t="n"/>
      <c r="P397" s="48" t="n"/>
      <c r="Q397" s="48" t="n"/>
      <c r="R397" s="48" t="n"/>
      <c r="S397" s="48" t="n"/>
      <c r="T397" s="48" t="n"/>
      <c r="U397" s="48" t="n"/>
      <c r="V397" s="48" t="n"/>
      <c r="W397" s="48" t="n"/>
      <c r="X397" s="48" t="n"/>
      <c r="Y397" s="48" t="n"/>
      <c r="Z397" s="48" t="n"/>
      <c r="AA397" s="48" t="n"/>
      <c r="AB397" s="48" t="n"/>
      <c r="AC397" s="48" t="n"/>
      <c r="AD397" s="48" t="n"/>
      <c r="AE397" s="48" t="n"/>
      <c r="AF397" s="48" t="n"/>
      <c r="AG397" s="48" t="n"/>
      <c r="AH397" s="48" t="n"/>
      <c r="AI397" s="48" t="n"/>
      <c r="AJ397" s="48" t="n"/>
      <c r="AK397" s="48" t="n"/>
      <c r="AL397" s="53" t="n"/>
      <c r="AM397" s="52" t="n"/>
      <c r="AN397" s="48" t="n"/>
      <c r="AO397" s="48" t="n"/>
      <c r="AP397" s="48" t="n"/>
      <c r="AQ397" s="48" t="n"/>
      <c r="AR397" s="48" t="n"/>
      <c r="AS397" s="48" t="n"/>
      <c r="AT397" s="48" t="n"/>
      <c r="AU397" s="48" t="n"/>
      <c r="AV397" s="48" t="n"/>
      <c r="AW397" s="48" t="n"/>
      <c r="AX397" s="48" t="n"/>
      <c r="AY397" s="48" t="n"/>
      <c r="AZ397" s="48" t="n"/>
      <c r="BA397" s="48" t="n"/>
      <c r="BB397" s="48" t="n"/>
      <c r="BC397" s="48" t="n"/>
      <c r="BD397" s="48" t="n"/>
      <c r="BE397" s="48" t="n"/>
      <c r="BF397" s="48" t="n"/>
      <c r="BG397" s="48" t="n"/>
      <c r="BH397" s="48" t="n"/>
      <c r="BI397" s="48" t="n"/>
      <c r="BJ397" s="48" t="n"/>
      <c r="BK397" s="48" t="n"/>
      <c r="BL397" s="48" t="n"/>
      <c r="BM397" s="48" t="n"/>
      <c r="BN397" s="48" t="n"/>
    </row>
    <row r="398">
      <c r="A398" s="47" t="n"/>
      <c r="B398" s="48" t="n"/>
      <c r="C398" s="48" t="n"/>
      <c r="D398" s="49" t="n"/>
      <c r="E398" s="48" t="n"/>
      <c r="F398" s="48" t="n"/>
      <c r="G398" s="50" t="n"/>
      <c r="H398" s="51" t="n"/>
      <c r="I398" s="51" t="n"/>
      <c r="J398" s="48" t="n"/>
      <c r="K398" s="52" t="n"/>
      <c r="L398" s="48" t="n"/>
      <c r="M398" s="48" t="n"/>
      <c r="N398" s="48" t="n"/>
      <c r="O398" s="48" t="n"/>
      <c r="P398" s="48" t="n"/>
      <c r="Q398" s="48" t="n"/>
      <c r="R398" s="48" t="n"/>
      <c r="S398" s="48" t="n"/>
      <c r="T398" s="48" t="n"/>
      <c r="U398" s="48" t="n"/>
      <c r="V398" s="48" t="n"/>
      <c r="W398" s="48" t="n"/>
      <c r="X398" s="48" t="n"/>
      <c r="Y398" s="48" t="n"/>
      <c r="Z398" s="48" t="n"/>
      <c r="AA398" s="48" t="n"/>
      <c r="AB398" s="48" t="n"/>
      <c r="AC398" s="48" t="n"/>
      <c r="AD398" s="48" t="n"/>
      <c r="AE398" s="48" t="n"/>
      <c r="AF398" s="48" t="n"/>
      <c r="AG398" s="48" t="n"/>
      <c r="AH398" s="48" t="n"/>
      <c r="AI398" s="48" t="n"/>
      <c r="AJ398" s="48" t="n"/>
      <c r="AK398" s="48" t="n"/>
      <c r="AL398" s="53" t="n"/>
      <c r="AM398" s="52" t="n"/>
      <c r="AN398" s="48" t="n"/>
      <c r="AO398" s="48" t="n"/>
      <c r="AP398" s="48" t="n"/>
      <c r="AQ398" s="48" t="n"/>
      <c r="AR398" s="48" t="n"/>
      <c r="AS398" s="48" t="n"/>
      <c r="AT398" s="48" t="n"/>
      <c r="AU398" s="48" t="n"/>
      <c r="AV398" s="48" t="n"/>
      <c r="AW398" s="48" t="n"/>
      <c r="AX398" s="48" t="n"/>
      <c r="AY398" s="48" t="n"/>
      <c r="AZ398" s="48" t="n"/>
      <c r="BA398" s="48" t="n"/>
      <c r="BB398" s="48" t="n"/>
      <c r="BC398" s="48" t="n"/>
      <c r="BD398" s="48" t="n"/>
      <c r="BE398" s="48" t="n"/>
      <c r="BF398" s="48" t="n"/>
      <c r="BG398" s="48" t="n"/>
      <c r="BH398" s="48" t="n"/>
      <c r="BI398" s="48" t="n"/>
      <c r="BJ398" s="48" t="n"/>
      <c r="BK398" s="48" t="n"/>
      <c r="BL398" s="48" t="n"/>
      <c r="BM398" s="48" t="n"/>
      <c r="BN398" s="48" t="n"/>
    </row>
    <row r="399">
      <c r="A399" s="47" t="n"/>
      <c r="B399" s="48" t="n"/>
      <c r="C399" s="48" t="n"/>
      <c r="D399" s="49" t="n"/>
      <c r="E399" s="48" t="n"/>
      <c r="F399" s="48" t="n"/>
      <c r="G399" s="50" t="n"/>
      <c r="H399" s="51" t="n"/>
      <c r="I399" s="51" t="n"/>
      <c r="J399" s="48" t="n"/>
      <c r="K399" s="52" t="n"/>
      <c r="L399" s="48" t="n"/>
      <c r="M399" s="48" t="n"/>
      <c r="N399" s="48" t="n"/>
      <c r="O399" s="48" t="n"/>
      <c r="P399" s="48" t="n"/>
      <c r="Q399" s="48" t="n"/>
      <c r="R399" s="48" t="n"/>
      <c r="S399" s="48" t="n"/>
      <c r="T399" s="48" t="n"/>
      <c r="U399" s="48" t="n"/>
      <c r="V399" s="48" t="n"/>
      <c r="W399" s="48" t="n"/>
      <c r="X399" s="48" t="n"/>
      <c r="Y399" s="48" t="n"/>
      <c r="Z399" s="48" t="n"/>
      <c r="AA399" s="48" t="n"/>
      <c r="AB399" s="48" t="n"/>
      <c r="AC399" s="48" t="n"/>
      <c r="AD399" s="48" t="n"/>
      <c r="AE399" s="48" t="n"/>
      <c r="AF399" s="48" t="n"/>
      <c r="AG399" s="48" t="n"/>
      <c r="AH399" s="48" t="n"/>
      <c r="AI399" s="48" t="n"/>
      <c r="AJ399" s="48" t="n"/>
      <c r="AK399" s="48" t="n"/>
      <c r="AL399" s="53" t="n"/>
      <c r="AM399" s="52" t="n"/>
      <c r="AN399" s="48" t="n"/>
      <c r="AO399" s="48" t="n"/>
      <c r="AP399" s="48" t="n"/>
      <c r="AQ399" s="48" t="n"/>
      <c r="AR399" s="48" t="n"/>
      <c r="AS399" s="48" t="n"/>
      <c r="AT399" s="48" t="n"/>
      <c r="AU399" s="48" t="n"/>
      <c r="AV399" s="48" t="n"/>
      <c r="AW399" s="48" t="n"/>
      <c r="AX399" s="48" t="n"/>
      <c r="AY399" s="48" t="n"/>
      <c r="AZ399" s="48" t="n"/>
      <c r="BA399" s="48" t="n"/>
      <c r="BB399" s="48" t="n"/>
      <c r="BC399" s="48" t="n"/>
      <c r="BD399" s="48" t="n"/>
      <c r="BE399" s="48" t="n"/>
      <c r="BF399" s="48" t="n"/>
      <c r="BG399" s="48" t="n"/>
      <c r="BH399" s="48" t="n"/>
      <c r="BI399" s="48" t="n"/>
      <c r="BJ399" s="48" t="n"/>
      <c r="BK399" s="48" t="n"/>
      <c r="BL399" s="48" t="n"/>
      <c r="BM399" s="48" t="n"/>
      <c r="BN399" s="48" t="n"/>
    </row>
    <row r="400">
      <c r="A400" s="47" t="n"/>
      <c r="B400" s="48" t="n"/>
      <c r="C400" s="48" t="n"/>
      <c r="D400" s="49" t="n"/>
      <c r="E400" s="48" t="n"/>
      <c r="F400" s="48" t="n"/>
      <c r="G400" s="50" t="n"/>
      <c r="H400" s="51" t="n"/>
      <c r="I400" s="51" t="n"/>
      <c r="J400" s="48" t="n"/>
      <c r="K400" s="52" t="n"/>
      <c r="L400" s="48" t="n"/>
      <c r="M400" s="48" t="n"/>
      <c r="N400" s="48" t="n"/>
      <c r="O400" s="48" t="n"/>
      <c r="P400" s="48" t="n"/>
      <c r="Q400" s="48" t="n"/>
      <c r="R400" s="48" t="n"/>
      <c r="S400" s="48" t="n"/>
      <c r="T400" s="48" t="n"/>
      <c r="U400" s="48" t="n"/>
      <c r="V400" s="48" t="n"/>
      <c r="W400" s="48" t="n"/>
      <c r="X400" s="48" t="n"/>
      <c r="Y400" s="48" t="n"/>
      <c r="Z400" s="48" t="n"/>
      <c r="AA400" s="48" t="n"/>
      <c r="AB400" s="48" t="n"/>
      <c r="AC400" s="48" t="n"/>
      <c r="AD400" s="48" t="n"/>
      <c r="AE400" s="48" t="n"/>
      <c r="AF400" s="48" t="n"/>
      <c r="AG400" s="48" t="n"/>
      <c r="AH400" s="48" t="n"/>
      <c r="AI400" s="48" t="n"/>
      <c r="AJ400" s="48" t="n"/>
      <c r="AK400" s="48" t="n"/>
      <c r="AL400" s="53" t="n"/>
      <c r="AM400" s="52" t="n"/>
      <c r="AN400" s="48" t="n"/>
      <c r="AO400" s="48" t="n"/>
      <c r="AP400" s="48" t="n"/>
      <c r="AQ400" s="48" t="n"/>
      <c r="AR400" s="48" t="n"/>
      <c r="AS400" s="48" t="n"/>
      <c r="AT400" s="48" t="n"/>
      <c r="AU400" s="48" t="n"/>
      <c r="AV400" s="48" t="n"/>
      <c r="AW400" s="48" t="n"/>
      <c r="AX400" s="48" t="n"/>
      <c r="AY400" s="48" t="n"/>
      <c r="AZ400" s="48" t="n"/>
      <c r="BA400" s="48" t="n"/>
      <c r="BB400" s="48" t="n"/>
      <c r="BC400" s="48" t="n"/>
      <c r="BD400" s="48" t="n"/>
      <c r="BE400" s="48" t="n"/>
      <c r="BF400" s="48" t="n"/>
      <c r="BG400" s="48" t="n"/>
      <c r="BH400" s="48" t="n"/>
      <c r="BI400" s="48" t="n"/>
      <c r="BJ400" s="48" t="n"/>
      <c r="BK400" s="48" t="n"/>
      <c r="BL400" s="48" t="n"/>
      <c r="BM400" s="48" t="n"/>
      <c r="BN400" s="48" t="n"/>
    </row>
    <row r="401">
      <c r="A401" s="47" t="n"/>
      <c r="B401" s="48" t="n"/>
      <c r="C401" s="48" t="n"/>
      <c r="D401" s="49" t="n"/>
      <c r="E401" s="48" t="n"/>
      <c r="F401" s="48" t="n"/>
      <c r="G401" s="50" t="n"/>
      <c r="H401" s="51" t="n"/>
      <c r="I401" s="51" t="n"/>
      <c r="J401" s="48" t="n"/>
      <c r="K401" s="52" t="n"/>
      <c r="L401" s="48" t="n"/>
      <c r="M401" s="48" t="n"/>
      <c r="N401" s="48" t="n"/>
      <c r="O401" s="48" t="n"/>
      <c r="P401" s="48" t="n"/>
      <c r="Q401" s="48" t="n"/>
      <c r="R401" s="48" t="n"/>
      <c r="S401" s="48" t="n"/>
      <c r="T401" s="48" t="n"/>
      <c r="U401" s="48" t="n"/>
      <c r="V401" s="48" t="n"/>
      <c r="W401" s="48" t="n"/>
      <c r="X401" s="48" t="n"/>
      <c r="Y401" s="48" t="n"/>
      <c r="Z401" s="48" t="n"/>
      <c r="AA401" s="48" t="n"/>
      <c r="AB401" s="48" t="n"/>
      <c r="AC401" s="48" t="n"/>
      <c r="AD401" s="48" t="n"/>
      <c r="AE401" s="48" t="n"/>
      <c r="AF401" s="48" t="n"/>
      <c r="AG401" s="48" t="n"/>
      <c r="AH401" s="48" t="n"/>
      <c r="AI401" s="48" t="n"/>
      <c r="AJ401" s="48" t="n"/>
      <c r="AK401" s="48" t="n"/>
      <c r="AL401" s="53" t="n"/>
      <c r="AM401" s="52" t="n"/>
      <c r="AN401" s="48" t="n"/>
      <c r="AO401" s="48" t="n"/>
      <c r="AP401" s="48" t="n"/>
      <c r="AQ401" s="48" t="n"/>
      <c r="AR401" s="48" t="n"/>
      <c r="AS401" s="48" t="n"/>
      <c r="AT401" s="48" t="n"/>
      <c r="AU401" s="48" t="n"/>
      <c r="AV401" s="48" t="n"/>
      <c r="AW401" s="48" t="n"/>
      <c r="AX401" s="48" t="n"/>
      <c r="AY401" s="48" t="n"/>
      <c r="AZ401" s="48" t="n"/>
      <c r="BA401" s="48" t="n"/>
      <c r="BB401" s="48" t="n"/>
      <c r="BC401" s="48" t="n"/>
      <c r="BD401" s="48" t="n"/>
      <c r="BE401" s="48" t="n"/>
      <c r="BF401" s="48" t="n"/>
      <c r="BG401" s="48" t="n"/>
      <c r="BH401" s="48" t="n"/>
      <c r="BI401" s="48" t="n"/>
      <c r="BJ401" s="48" t="n"/>
      <c r="BK401" s="48" t="n"/>
      <c r="BL401" s="48" t="n"/>
      <c r="BM401" s="48" t="n"/>
      <c r="BN401" s="48" t="n"/>
    </row>
    <row r="402">
      <c r="A402" s="47" t="n"/>
      <c r="B402" s="48" t="n"/>
      <c r="C402" s="48" t="n"/>
      <c r="D402" s="49" t="n"/>
      <c r="E402" s="48" t="n"/>
      <c r="F402" s="48" t="n"/>
      <c r="G402" s="50" t="n"/>
      <c r="H402" s="51" t="n"/>
      <c r="I402" s="51" t="n"/>
      <c r="J402" s="48" t="n"/>
      <c r="K402" s="52" t="n"/>
      <c r="L402" s="48" t="n"/>
      <c r="M402" s="48" t="n"/>
      <c r="N402" s="48" t="n"/>
      <c r="O402" s="48" t="n"/>
      <c r="P402" s="48" t="n"/>
      <c r="Q402" s="48" t="n"/>
      <c r="R402" s="48" t="n"/>
      <c r="S402" s="48" t="n"/>
      <c r="T402" s="48" t="n"/>
      <c r="U402" s="48" t="n"/>
      <c r="V402" s="48" t="n"/>
      <c r="W402" s="48" t="n"/>
      <c r="X402" s="48" t="n"/>
      <c r="Y402" s="48" t="n"/>
      <c r="Z402" s="48" t="n"/>
      <c r="AA402" s="48" t="n"/>
      <c r="AB402" s="48" t="n"/>
      <c r="AC402" s="48" t="n"/>
      <c r="AD402" s="48" t="n"/>
      <c r="AE402" s="48" t="n"/>
      <c r="AF402" s="48" t="n"/>
      <c r="AG402" s="48" t="n"/>
      <c r="AH402" s="48" t="n"/>
      <c r="AI402" s="48" t="n"/>
      <c r="AJ402" s="48" t="n"/>
      <c r="AK402" s="48" t="n"/>
      <c r="AL402" s="53" t="n"/>
      <c r="AM402" s="52" t="n"/>
      <c r="AN402" s="48" t="n"/>
      <c r="AO402" s="48" t="n"/>
      <c r="AP402" s="48" t="n"/>
      <c r="AQ402" s="48" t="n"/>
      <c r="AR402" s="48" t="n"/>
      <c r="AS402" s="48" t="n"/>
      <c r="AT402" s="48" t="n"/>
      <c r="AU402" s="48" t="n"/>
      <c r="AV402" s="48" t="n"/>
      <c r="AW402" s="48" t="n"/>
      <c r="AX402" s="48" t="n"/>
      <c r="AY402" s="48" t="n"/>
      <c r="AZ402" s="48" t="n"/>
      <c r="BA402" s="48" t="n"/>
      <c r="BB402" s="48" t="n"/>
      <c r="BC402" s="48" t="n"/>
      <c r="BD402" s="48" t="n"/>
      <c r="BE402" s="48" t="n"/>
      <c r="BF402" s="48" t="n"/>
      <c r="BG402" s="48" t="n"/>
      <c r="BH402" s="48" t="n"/>
      <c r="BI402" s="48" t="n"/>
      <c r="BJ402" s="48" t="n"/>
      <c r="BK402" s="48" t="n"/>
      <c r="BL402" s="48" t="n"/>
      <c r="BM402" s="48" t="n"/>
      <c r="BN402" s="48" t="n"/>
    </row>
    <row r="403">
      <c r="A403" s="47" t="n"/>
      <c r="B403" s="48" t="n"/>
      <c r="C403" s="48" t="n"/>
      <c r="D403" s="49" t="n"/>
      <c r="E403" s="48" t="n"/>
      <c r="F403" s="48" t="n"/>
      <c r="G403" s="50" t="n"/>
      <c r="H403" s="51" t="n"/>
      <c r="I403" s="51" t="n"/>
      <c r="J403" s="48" t="n"/>
      <c r="K403" s="52" t="n"/>
      <c r="L403" s="48" t="n"/>
      <c r="M403" s="48" t="n"/>
      <c r="N403" s="48" t="n"/>
      <c r="O403" s="48" t="n"/>
      <c r="P403" s="48" t="n"/>
      <c r="Q403" s="48" t="n"/>
      <c r="R403" s="48" t="n"/>
      <c r="S403" s="48" t="n"/>
      <c r="T403" s="48" t="n"/>
      <c r="U403" s="48" t="n"/>
      <c r="V403" s="48" t="n"/>
      <c r="W403" s="48" t="n"/>
      <c r="X403" s="48" t="n"/>
      <c r="Y403" s="48" t="n"/>
      <c r="Z403" s="48" t="n"/>
      <c r="AA403" s="48" t="n"/>
      <c r="AB403" s="48" t="n"/>
      <c r="AC403" s="48" t="n"/>
      <c r="AD403" s="48" t="n"/>
      <c r="AE403" s="48" t="n"/>
      <c r="AF403" s="48" t="n"/>
      <c r="AG403" s="48" t="n"/>
      <c r="AH403" s="48" t="n"/>
      <c r="AI403" s="48" t="n"/>
      <c r="AJ403" s="48" t="n"/>
      <c r="AK403" s="48" t="n"/>
      <c r="AL403" s="53" t="n"/>
      <c r="AM403" s="52" t="n"/>
      <c r="AN403" s="48" t="n"/>
      <c r="AO403" s="48" t="n"/>
      <c r="AP403" s="48" t="n"/>
      <c r="AQ403" s="48" t="n"/>
      <c r="AR403" s="48" t="n"/>
      <c r="AS403" s="48" t="n"/>
      <c r="AT403" s="48" t="n"/>
      <c r="AU403" s="48" t="n"/>
      <c r="AV403" s="48" t="n"/>
      <c r="AW403" s="48" t="n"/>
      <c r="AX403" s="48" t="n"/>
      <c r="AY403" s="48" t="n"/>
      <c r="AZ403" s="48" t="n"/>
      <c r="BA403" s="48" t="n"/>
      <c r="BB403" s="48" t="n"/>
      <c r="BC403" s="48" t="n"/>
      <c r="BD403" s="48" t="n"/>
      <c r="BE403" s="48" t="n"/>
      <c r="BF403" s="48" t="n"/>
      <c r="BG403" s="48" t="n"/>
      <c r="BH403" s="48" t="n"/>
      <c r="BI403" s="48" t="n"/>
      <c r="BJ403" s="48" t="n"/>
      <c r="BK403" s="48" t="n"/>
      <c r="BL403" s="48" t="n"/>
      <c r="BM403" s="48" t="n"/>
      <c r="BN403" s="48" t="n"/>
    </row>
    <row r="404">
      <c r="A404" s="47" t="n"/>
      <c r="B404" s="48" t="n"/>
      <c r="C404" s="48" t="n"/>
      <c r="D404" s="49" t="n"/>
      <c r="E404" s="48" t="n"/>
      <c r="F404" s="48" t="n"/>
      <c r="G404" s="50" t="n"/>
      <c r="H404" s="51" t="n"/>
      <c r="I404" s="51" t="n"/>
      <c r="J404" s="48" t="n"/>
      <c r="K404" s="52" t="n"/>
      <c r="L404" s="48" t="n"/>
      <c r="M404" s="48" t="n"/>
      <c r="N404" s="48" t="n"/>
      <c r="O404" s="48" t="n"/>
      <c r="P404" s="48" t="n"/>
      <c r="Q404" s="48" t="n"/>
      <c r="R404" s="48" t="n"/>
      <c r="S404" s="48" t="n"/>
      <c r="T404" s="48" t="n"/>
      <c r="U404" s="48" t="n"/>
      <c r="V404" s="48" t="n"/>
      <c r="W404" s="48" t="n"/>
      <c r="X404" s="48" t="n"/>
      <c r="Y404" s="48" t="n"/>
      <c r="Z404" s="48" t="n"/>
      <c r="AA404" s="48" t="n"/>
      <c r="AB404" s="48" t="n"/>
      <c r="AC404" s="48" t="n"/>
      <c r="AD404" s="48" t="n"/>
      <c r="AE404" s="48" t="n"/>
      <c r="AF404" s="48" t="n"/>
      <c r="AG404" s="48" t="n"/>
      <c r="AH404" s="48" t="n"/>
      <c r="AI404" s="48" t="n"/>
      <c r="AJ404" s="48" t="n"/>
      <c r="AK404" s="48" t="n"/>
      <c r="AL404" s="53" t="n"/>
      <c r="AM404" s="52" t="n"/>
      <c r="AN404" s="48" t="n"/>
      <c r="AO404" s="48" t="n"/>
      <c r="AP404" s="48" t="n"/>
      <c r="AQ404" s="48" t="n"/>
      <c r="AR404" s="48" t="n"/>
      <c r="AS404" s="48" t="n"/>
      <c r="AT404" s="48" t="n"/>
      <c r="AU404" s="48" t="n"/>
      <c r="AV404" s="48" t="n"/>
      <c r="AW404" s="48" t="n"/>
      <c r="AX404" s="48" t="n"/>
      <c r="AY404" s="48" t="n"/>
      <c r="AZ404" s="48" t="n"/>
      <c r="BA404" s="48" t="n"/>
      <c r="BB404" s="48" t="n"/>
      <c r="BC404" s="48" t="n"/>
      <c r="BD404" s="48" t="n"/>
      <c r="BE404" s="48" t="n"/>
      <c r="BF404" s="48" t="n"/>
      <c r="BG404" s="48" t="n"/>
      <c r="BH404" s="48" t="n"/>
      <c r="BI404" s="48" t="n"/>
      <c r="BJ404" s="48" t="n"/>
      <c r="BK404" s="48" t="n"/>
      <c r="BL404" s="48" t="n"/>
      <c r="BM404" s="48" t="n"/>
      <c r="BN404" s="48" t="n"/>
    </row>
    <row r="405">
      <c r="A405" s="47" t="n"/>
      <c r="B405" s="48" t="n"/>
      <c r="C405" s="48" t="n"/>
      <c r="D405" s="49" t="n"/>
      <c r="E405" s="48" t="n"/>
      <c r="F405" s="48" t="n"/>
      <c r="G405" s="50" t="n"/>
      <c r="H405" s="51" t="n"/>
      <c r="I405" s="51" t="n"/>
      <c r="J405" s="48" t="n"/>
      <c r="K405" s="52" t="n"/>
      <c r="L405" s="48" t="n"/>
      <c r="M405" s="48" t="n"/>
      <c r="N405" s="48" t="n"/>
      <c r="O405" s="48" t="n"/>
      <c r="P405" s="48" t="n"/>
      <c r="Q405" s="48" t="n"/>
      <c r="R405" s="48" t="n"/>
      <c r="S405" s="48" t="n"/>
      <c r="T405" s="48" t="n"/>
      <c r="U405" s="48" t="n"/>
      <c r="V405" s="48" t="n"/>
      <c r="W405" s="48" t="n"/>
      <c r="X405" s="48" t="n"/>
      <c r="Y405" s="48" t="n"/>
      <c r="Z405" s="48" t="n"/>
      <c r="AA405" s="48" t="n"/>
      <c r="AB405" s="48" t="n"/>
      <c r="AC405" s="48" t="n"/>
      <c r="AD405" s="48" t="n"/>
      <c r="AE405" s="48" t="n"/>
      <c r="AF405" s="48" t="n"/>
      <c r="AG405" s="48" t="n"/>
      <c r="AH405" s="48" t="n"/>
      <c r="AI405" s="48" t="n"/>
      <c r="AJ405" s="48" t="n"/>
      <c r="AK405" s="48" t="n"/>
      <c r="AL405" s="53" t="n"/>
      <c r="AM405" s="52" t="n"/>
      <c r="AN405" s="48" t="n"/>
      <c r="AO405" s="48" t="n"/>
      <c r="AP405" s="48" t="n"/>
      <c r="AQ405" s="48" t="n"/>
      <c r="AR405" s="48" t="n"/>
      <c r="AS405" s="48" t="n"/>
      <c r="AT405" s="48" t="n"/>
      <c r="AU405" s="48" t="n"/>
      <c r="AV405" s="48" t="n"/>
      <c r="AW405" s="48" t="n"/>
      <c r="AX405" s="48" t="n"/>
      <c r="AY405" s="48" t="n"/>
      <c r="AZ405" s="48" t="n"/>
      <c r="BA405" s="48" t="n"/>
      <c r="BB405" s="48" t="n"/>
      <c r="BC405" s="48" t="n"/>
      <c r="BD405" s="48" t="n"/>
      <c r="BE405" s="48" t="n"/>
      <c r="BF405" s="48" t="n"/>
      <c r="BG405" s="48" t="n"/>
      <c r="BH405" s="48" t="n"/>
      <c r="BI405" s="48" t="n"/>
      <c r="BJ405" s="48" t="n"/>
      <c r="BK405" s="48" t="n"/>
      <c r="BL405" s="48" t="n"/>
      <c r="BM405" s="48" t="n"/>
      <c r="BN405" s="48" t="n"/>
    </row>
    <row r="406">
      <c r="A406" s="47" t="n"/>
      <c r="B406" s="48" t="n"/>
      <c r="C406" s="48" t="n"/>
      <c r="D406" s="49" t="n"/>
      <c r="E406" s="48" t="n"/>
      <c r="F406" s="48" t="n"/>
      <c r="G406" s="50" t="n"/>
      <c r="H406" s="51" t="n"/>
      <c r="I406" s="51" t="n"/>
      <c r="J406" s="48" t="n"/>
      <c r="K406" s="52" t="n"/>
      <c r="L406" s="48" t="n"/>
      <c r="M406" s="48" t="n"/>
      <c r="N406" s="48" t="n"/>
      <c r="O406" s="48" t="n"/>
      <c r="P406" s="48" t="n"/>
      <c r="Q406" s="48" t="n"/>
      <c r="R406" s="48" t="n"/>
      <c r="S406" s="48" t="n"/>
      <c r="T406" s="48" t="n"/>
      <c r="U406" s="48" t="n"/>
      <c r="V406" s="48" t="n"/>
      <c r="W406" s="48" t="n"/>
      <c r="X406" s="48" t="n"/>
      <c r="Y406" s="48" t="n"/>
      <c r="Z406" s="48" t="n"/>
      <c r="AA406" s="48" t="n"/>
      <c r="AB406" s="48" t="n"/>
      <c r="AC406" s="48" t="n"/>
      <c r="AD406" s="48" t="n"/>
      <c r="AE406" s="48" t="n"/>
      <c r="AF406" s="48" t="n"/>
      <c r="AG406" s="48" t="n"/>
      <c r="AH406" s="48" t="n"/>
      <c r="AI406" s="48" t="n"/>
      <c r="AJ406" s="48" t="n"/>
      <c r="AK406" s="48" t="n"/>
      <c r="AL406" s="53" t="n"/>
      <c r="AM406" s="52" t="n"/>
      <c r="AN406" s="48" t="n"/>
      <c r="AO406" s="48" t="n"/>
      <c r="AP406" s="48" t="n"/>
      <c r="AQ406" s="48" t="n"/>
      <c r="AR406" s="48" t="n"/>
      <c r="AS406" s="48" t="n"/>
      <c r="AT406" s="48" t="n"/>
      <c r="AU406" s="48" t="n"/>
      <c r="AV406" s="48" t="n"/>
      <c r="AW406" s="48" t="n"/>
      <c r="AX406" s="48" t="n"/>
      <c r="AY406" s="48" t="n"/>
      <c r="AZ406" s="48" t="n"/>
      <c r="BA406" s="48" t="n"/>
      <c r="BB406" s="48" t="n"/>
      <c r="BC406" s="48" t="n"/>
      <c r="BD406" s="48" t="n"/>
      <c r="BE406" s="48" t="n"/>
      <c r="BF406" s="48" t="n"/>
      <c r="BG406" s="48" t="n"/>
      <c r="BH406" s="48" t="n"/>
      <c r="BI406" s="48" t="n"/>
      <c r="BJ406" s="48" t="n"/>
      <c r="BK406" s="48" t="n"/>
      <c r="BL406" s="48" t="n"/>
      <c r="BM406" s="48" t="n"/>
      <c r="BN406" s="48" t="n"/>
    </row>
    <row r="407">
      <c r="A407" s="47" t="n"/>
      <c r="B407" s="48" t="n"/>
      <c r="C407" s="48" t="n"/>
      <c r="D407" s="49" t="n"/>
      <c r="E407" s="48" t="n"/>
      <c r="F407" s="48" t="n"/>
      <c r="G407" s="50" t="n"/>
      <c r="H407" s="51" t="n"/>
      <c r="I407" s="51" t="n"/>
      <c r="J407" s="48" t="n"/>
      <c r="K407" s="52" t="n"/>
      <c r="L407" s="48" t="n"/>
      <c r="M407" s="48" t="n"/>
      <c r="N407" s="48" t="n"/>
      <c r="O407" s="48" t="n"/>
      <c r="P407" s="48" t="n"/>
      <c r="Q407" s="48" t="n"/>
      <c r="R407" s="48" t="n"/>
      <c r="S407" s="48" t="n"/>
      <c r="T407" s="48" t="n"/>
      <c r="U407" s="48" t="n"/>
      <c r="V407" s="48" t="n"/>
      <c r="W407" s="48" t="n"/>
      <c r="X407" s="48" t="n"/>
      <c r="Y407" s="48" t="n"/>
      <c r="Z407" s="48" t="n"/>
      <c r="AA407" s="48" t="n"/>
      <c r="AB407" s="48" t="n"/>
      <c r="AC407" s="48" t="n"/>
      <c r="AD407" s="48" t="n"/>
      <c r="AE407" s="48" t="n"/>
      <c r="AF407" s="48" t="n"/>
      <c r="AG407" s="48" t="n"/>
      <c r="AH407" s="48" t="n"/>
      <c r="AI407" s="48" t="n"/>
      <c r="AJ407" s="48" t="n"/>
      <c r="AK407" s="48" t="n"/>
      <c r="AL407" s="53" t="n"/>
      <c r="AM407" s="52" t="n"/>
      <c r="AN407" s="48" t="n"/>
      <c r="AO407" s="48" t="n"/>
      <c r="AP407" s="48" t="n"/>
      <c r="AQ407" s="48" t="n"/>
      <c r="AR407" s="48" t="n"/>
      <c r="AS407" s="48" t="n"/>
      <c r="AT407" s="48" t="n"/>
      <c r="AU407" s="48" t="n"/>
      <c r="AV407" s="48" t="n"/>
      <c r="AW407" s="48" t="n"/>
      <c r="AX407" s="48" t="n"/>
      <c r="AY407" s="48" t="n"/>
      <c r="AZ407" s="48" t="n"/>
      <c r="BA407" s="48" t="n"/>
      <c r="BB407" s="48" t="n"/>
      <c r="BC407" s="48" t="n"/>
      <c r="BD407" s="48" t="n"/>
      <c r="BE407" s="48" t="n"/>
      <c r="BF407" s="48" t="n"/>
      <c r="BG407" s="48" t="n"/>
      <c r="BH407" s="48" t="n"/>
      <c r="BI407" s="48" t="n"/>
      <c r="BJ407" s="48" t="n"/>
      <c r="BK407" s="48" t="n"/>
      <c r="BL407" s="48" t="n"/>
      <c r="BM407" s="48" t="n"/>
      <c r="BN407" s="48" t="n"/>
    </row>
    <row r="408">
      <c r="A408" s="47" t="n"/>
      <c r="B408" s="48" t="n"/>
      <c r="C408" s="48" t="n"/>
      <c r="D408" s="49" t="n"/>
      <c r="E408" s="48" t="n"/>
      <c r="F408" s="48" t="n"/>
      <c r="G408" s="50" t="n"/>
      <c r="H408" s="51" t="n"/>
      <c r="I408" s="51" t="n"/>
      <c r="J408" s="48" t="n"/>
      <c r="K408" s="52" t="n"/>
      <c r="L408" s="48" t="n"/>
      <c r="M408" s="48" t="n"/>
      <c r="N408" s="48" t="n"/>
      <c r="O408" s="48" t="n"/>
      <c r="P408" s="48" t="n"/>
      <c r="Q408" s="48" t="n"/>
      <c r="R408" s="48" t="n"/>
      <c r="S408" s="48" t="n"/>
      <c r="T408" s="48" t="n"/>
      <c r="U408" s="48" t="n"/>
      <c r="V408" s="48" t="n"/>
      <c r="W408" s="48" t="n"/>
      <c r="X408" s="48" t="n"/>
      <c r="Y408" s="48" t="n"/>
      <c r="Z408" s="48" t="n"/>
      <c r="AA408" s="48" t="n"/>
      <c r="AB408" s="48" t="n"/>
      <c r="AC408" s="48" t="n"/>
      <c r="AD408" s="48" t="n"/>
      <c r="AE408" s="48" t="n"/>
      <c r="AF408" s="48" t="n"/>
      <c r="AG408" s="48" t="n"/>
      <c r="AH408" s="48" t="n"/>
      <c r="AI408" s="48" t="n"/>
      <c r="AJ408" s="48" t="n"/>
      <c r="AK408" s="48" t="n"/>
      <c r="AL408" s="53" t="n"/>
      <c r="AM408" s="52" t="n"/>
      <c r="AN408" s="48" t="n"/>
      <c r="AO408" s="48" t="n"/>
      <c r="AP408" s="48" t="n"/>
      <c r="AQ408" s="48" t="n"/>
      <c r="AR408" s="48" t="n"/>
      <c r="AS408" s="48" t="n"/>
      <c r="AT408" s="48" t="n"/>
      <c r="AU408" s="48" t="n"/>
      <c r="AV408" s="48" t="n"/>
      <c r="AW408" s="48" t="n"/>
      <c r="AX408" s="48" t="n"/>
      <c r="AY408" s="48" t="n"/>
      <c r="AZ408" s="48" t="n"/>
      <c r="BA408" s="48" t="n"/>
      <c r="BB408" s="48" t="n"/>
      <c r="BC408" s="48" t="n"/>
      <c r="BD408" s="48" t="n"/>
      <c r="BE408" s="48" t="n"/>
      <c r="BF408" s="48" t="n"/>
      <c r="BG408" s="48" t="n"/>
      <c r="BH408" s="48" t="n"/>
      <c r="BI408" s="48" t="n"/>
      <c r="BJ408" s="48" t="n"/>
      <c r="BK408" s="48" t="n"/>
      <c r="BL408" s="48" t="n"/>
      <c r="BM408" s="48" t="n"/>
      <c r="BN408" s="48" t="n"/>
    </row>
    <row r="409">
      <c r="A409" s="47" t="n"/>
      <c r="B409" s="48" t="n"/>
      <c r="C409" s="48" t="n"/>
      <c r="D409" s="49" t="n"/>
      <c r="E409" s="48" t="n"/>
      <c r="F409" s="48" t="n"/>
      <c r="G409" s="50" t="n"/>
      <c r="H409" s="51" t="n"/>
      <c r="I409" s="51" t="n"/>
      <c r="J409" s="48" t="n"/>
      <c r="K409" s="52" t="n"/>
      <c r="L409" s="48" t="n"/>
      <c r="M409" s="48" t="n"/>
      <c r="N409" s="48" t="n"/>
      <c r="O409" s="48" t="n"/>
      <c r="P409" s="48" t="n"/>
      <c r="Q409" s="48" t="n"/>
      <c r="R409" s="48" t="n"/>
      <c r="S409" s="48" t="n"/>
      <c r="T409" s="48" t="n"/>
      <c r="U409" s="48" t="n"/>
      <c r="V409" s="48" t="n"/>
      <c r="W409" s="48" t="n"/>
      <c r="X409" s="48" t="n"/>
      <c r="Y409" s="48" t="n"/>
      <c r="Z409" s="48" t="n"/>
      <c r="AA409" s="48" t="n"/>
      <c r="AB409" s="48" t="n"/>
      <c r="AC409" s="48" t="n"/>
      <c r="AD409" s="48" t="n"/>
      <c r="AE409" s="48" t="n"/>
      <c r="AF409" s="48" t="n"/>
      <c r="AG409" s="48" t="n"/>
      <c r="AH409" s="48" t="n"/>
      <c r="AI409" s="48" t="n"/>
      <c r="AJ409" s="48" t="n"/>
      <c r="AK409" s="48" t="n"/>
      <c r="AL409" s="53" t="n"/>
      <c r="AM409" s="52" t="n"/>
      <c r="AN409" s="48" t="n"/>
      <c r="AO409" s="48" t="n"/>
      <c r="AP409" s="48" t="n"/>
      <c r="AQ409" s="48" t="n"/>
      <c r="AR409" s="48" t="n"/>
      <c r="AS409" s="48" t="n"/>
      <c r="AT409" s="48" t="n"/>
      <c r="AU409" s="48" t="n"/>
      <c r="AV409" s="48" t="n"/>
      <c r="AW409" s="48" t="n"/>
      <c r="AX409" s="48" t="n"/>
      <c r="AY409" s="48" t="n"/>
      <c r="AZ409" s="48" t="n"/>
      <c r="BA409" s="48" t="n"/>
      <c r="BB409" s="48" t="n"/>
      <c r="BC409" s="48" t="n"/>
      <c r="BD409" s="48" t="n"/>
      <c r="BE409" s="48" t="n"/>
      <c r="BF409" s="48" t="n"/>
      <c r="BG409" s="48" t="n"/>
      <c r="BH409" s="48" t="n"/>
      <c r="BI409" s="48" t="n"/>
      <c r="BJ409" s="48" t="n"/>
      <c r="BK409" s="48" t="n"/>
      <c r="BL409" s="48" t="n"/>
      <c r="BM409" s="48" t="n"/>
      <c r="BN409" s="48" t="n"/>
    </row>
    <row r="410">
      <c r="A410" s="47" t="n"/>
      <c r="B410" s="48" t="n"/>
      <c r="C410" s="48" t="n"/>
      <c r="D410" s="49" t="n"/>
      <c r="E410" s="48" t="n"/>
      <c r="F410" s="48" t="n"/>
      <c r="G410" s="50" t="n"/>
      <c r="H410" s="51" t="n"/>
      <c r="I410" s="51" t="n"/>
      <c r="J410" s="48" t="n"/>
      <c r="K410" s="52" t="n"/>
      <c r="L410" s="48" t="n"/>
      <c r="M410" s="48" t="n"/>
      <c r="N410" s="48" t="n"/>
      <c r="O410" s="48" t="n"/>
      <c r="P410" s="48" t="n"/>
      <c r="Q410" s="48" t="n"/>
      <c r="R410" s="48" t="n"/>
      <c r="S410" s="48" t="n"/>
      <c r="T410" s="48" t="n"/>
      <c r="U410" s="48" t="n"/>
      <c r="V410" s="48" t="n"/>
      <c r="W410" s="48" t="n"/>
      <c r="X410" s="48" t="n"/>
      <c r="Y410" s="48" t="n"/>
      <c r="Z410" s="48" t="n"/>
      <c r="AA410" s="48" t="n"/>
      <c r="AB410" s="48" t="n"/>
      <c r="AC410" s="48" t="n"/>
      <c r="AD410" s="48" t="n"/>
      <c r="AE410" s="48" t="n"/>
      <c r="AF410" s="48" t="n"/>
      <c r="AG410" s="48" t="n"/>
      <c r="AH410" s="48" t="n"/>
      <c r="AI410" s="48" t="n"/>
      <c r="AJ410" s="48" t="n"/>
      <c r="AK410" s="48" t="n"/>
      <c r="AL410" s="53" t="n"/>
      <c r="AM410" s="52" t="n"/>
      <c r="AN410" s="48" t="n"/>
      <c r="AO410" s="48" t="n"/>
      <c r="AP410" s="48" t="n"/>
      <c r="AQ410" s="48" t="n"/>
      <c r="AR410" s="48" t="n"/>
      <c r="AS410" s="48" t="n"/>
      <c r="AT410" s="48" t="n"/>
      <c r="AU410" s="48" t="n"/>
      <c r="AV410" s="48" t="n"/>
      <c r="AW410" s="48" t="n"/>
      <c r="AX410" s="48" t="n"/>
      <c r="AY410" s="48" t="n"/>
      <c r="AZ410" s="48" t="n"/>
      <c r="BA410" s="48" t="n"/>
      <c r="BB410" s="48" t="n"/>
      <c r="BC410" s="48" t="n"/>
      <c r="BD410" s="48" t="n"/>
      <c r="BE410" s="48" t="n"/>
      <c r="BF410" s="48" t="n"/>
      <c r="BG410" s="48" t="n"/>
      <c r="BH410" s="48" t="n"/>
      <c r="BI410" s="48" t="n"/>
      <c r="BJ410" s="48" t="n"/>
      <c r="BK410" s="48" t="n"/>
      <c r="BL410" s="48" t="n"/>
      <c r="BM410" s="48" t="n"/>
      <c r="BN410" s="48" t="n"/>
    </row>
    <row r="411">
      <c r="A411" s="47" t="n"/>
      <c r="B411" s="48" t="n"/>
      <c r="C411" s="48" t="n"/>
      <c r="D411" s="49" t="n"/>
      <c r="E411" s="48" t="n"/>
      <c r="F411" s="48" t="n"/>
      <c r="G411" s="50" t="n"/>
      <c r="H411" s="51" t="n"/>
      <c r="I411" s="51" t="n"/>
      <c r="J411" s="48" t="n"/>
      <c r="K411" s="52" t="n"/>
      <c r="L411" s="48" t="n"/>
      <c r="M411" s="48" t="n"/>
      <c r="N411" s="48" t="n"/>
      <c r="O411" s="48" t="n"/>
      <c r="P411" s="48" t="n"/>
      <c r="Q411" s="48" t="n"/>
      <c r="R411" s="48" t="n"/>
      <c r="S411" s="48" t="n"/>
      <c r="T411" s="48" t="n"/>
      <c r="U411" s="48" t="n"/>
      <c r="V411" s="48" t="n"/>
      <c r="W411" s="48" t="n"/>
      <c r="X411" s="48" t="n"/>
      <c r="Y411" s="48" t="n"/>
      <c r="Z411" s="48" t="n"/>
      <c r="AA411" s="48" t="n"/>
      <c r="AB411" s="48" t="n"/>
      <c r="AC411" s="48" t="n"/>
      <c r="AD411" s="48" t="n"/>
      <c r="AE411" s="48" t="n"/>
      <c r="AF411" s="48" t="n"/>
      <c r="AG411" s="48" t="n"/>
      <c r="AH411" s="48" t="n"/>
      <c r="AI411" s="48" t="n"/>
      <c r="AJ411" s="48" t="n"/>
      <c r="AK411" s="48" t="n"/>
      <c r="AL411" s="53" t="n"/>
      <c r="AM411" s="52" t="n"/>
      <c r="AN411" s="48" t="n"/>
      <c r="AO411" s="48" t="n"/>
      <c r="AP411" s="48" t="n"/>
      <c r="AQ411" s="48" t="n"/>
      <c r="AR411" s="48" t="n"/>
      <c r="AS411" s="48" t="n"/>
      <c r="AT411" s="48" t="n"/>
      <c r="AU411" s="48" t="n"/>
      <c r="AV411" s="48" t="n"/>
      <c r="AW411" s="48" t="n"/>
      <c r="AX411" s="48" t="n"/>
      <c r="AY411" s="48" t="n"/>
      <c r="AZ411" s="48" t="n"/>
      <c r="BA411" s="48" t="n"/>
      <c r="BB411" s="48" t="n"/>
      <c r="BC411" s="48" t="n"/>
      <c r="BD411" s="48" t="n"/>
      <c r="BE411" s="48" t="n"/>
      <c r="BF411" s="48" t="n"/>
      <c r="BG411" s="48" t="n"/>
      <c r="BH411" s="48" t="n"/>
      <c r="BI411" s="48" t="n"/>
      <c r="BJ411" s="48" t="n"/>
      <c r="BK411" s="48" t="n"/>
      <c r="BL411" s="48" t="n"/>
      <c r="BM411" s="48" t="n"/>
      <c r="BN411" s="48" t="n"/>
    </row>
    <row r="412">
      <c r="A412" s="47" t="n"/>
      <c r="B412" s="48" t="n"/>
      <c r="C412" s="48" t="n"/>
      <c r="D412" s="49" t="n"/>
      <c r="E412" s="48" t="n"/>
      <c r="F412" s="48" t="n"/>
      <c r="G412" s="50" t="n"/>
      <c r="H412" s="51" t="n"/>
      <c r="I412" s="51" t="n"/>
      <c r="J412" s="48" t="n"/>
      <c r="K412" s="52" t="n"/>
      <c r="L412" s="48" t="n"/>
      <c r="M412" s="48" t="n"/>
      <c r="N412" s="48" t="n"/>
      <c r="O412" s="48" t="n"/>
      <c r="P412" s="48" t="n"/>
      <c r="Q412" s="48" t="n"/>
      <c r="R412" s="48" t="n"/>
      <c r="S412" s="48" t="n"/>
      <c r="T412" s="48" t="n"/>
      <c r="U412" s="48" t="n"/>
      <c r="V412" s="48" t="n"/>
      <c r="W412" s="48" t="n"/>
      <c r="X412" s="48" t="n"/>
      <c r="Y412" s="48" t="n"/>
      <c r="Z412" s="48" t="n"/>
      <c r="AA412" s="48" t="n"/>
      <c r="AB412" s="48" t="n"/>
      <c r="AC412" s="48" t="n"/>
      <c r="AD412" s="48" t="n"/>
      <c r="AE412" s="48" t="n"/>
      <c r="AF412" s="48" t="n"/>
      <c r="AG412" s="48" t="n"/>
      <c r="AH412" s="48" t="n"/>
      <c r="AI412" s="48" t="n"/>
      <c r="AJ412" s="48" t="n"/>
      <c r="AK412" s="48" t="n"/>
      <c r="AL412" s="53" t="n"/>
      <c r="AM412" s="52" t="n"/>
      <c r="AN412" s="48" t="n"/>
      <c r="AO412" s="48" t="n"/>
      <c r="AP412" s="48" t="n"/>
      <c r="AQ412" s="48" t="n"/>
      <c r="AR412" s="48" t="n"/>
      <c r="AS412" s="48" t="n"/>
      <c r="AT412" s="48" t="n"/>
      <c r="AU412" s="48" t="n"/>
      <c r="AV412" s="48" t="n"/>
      <c r="AW412" s="48" t="n"/>
      <c r="AX412" s="48" t="n"/>
      <c r="AY412" s="48" t="n"/>
      <c r="AZ412" s="48" t="n"/>
      <c r="BA412" s="48" t="n"/>
      <c r="BB412" s="48" t="n"/>
      <c r="BC412" s="48" t="n"/>
      <c r="BD412" s="48" t="n"/>
      <c r="BE412" s="48" t="n"/>
      <c r="BF412" s="48" t="n"/>
      <c r="BG412" s="48" t="n"/>
      <c r="BH412" s="48" t="n"/>
      <c r="BI412" s="48" t="n"/>
      <c r="BJ412" s="48" t="n"/>
      <c r="BK412" s="48" t="n"/>
      <c r="BL412" s="48" t="n"/>
      <c r="BM412" s="48" t="n"/>
      <c r="BN412" s="48" t="n"/>
    </row>
    <row r="413">
      <c r="A413" s="47" t="n"/>
      <c r="B413" s="48" t="n"/>
      <c r="C413" s="48" t="n"/>
      <c r="D413" s="49" t="n"/>
      <c r="E413" s="48" t="n"/>
      <c r="F413" s="48" t="n"/>
      <c r="G413" s="50" t="n"/>
      <c r="H413" s="51" t="n"/>
      <c r="I413" s="51" t="n"/>
      <c r="J413" s="48" t="n"/>
      <c r="K413" s="52" t="n"/>
      <c r="L413" s="48" t="n"/>
      <c r="M413" s="48" t="n"/>
      <c r="N413" s="48" t="n"/>
      <c r="O413" s="48" t="n"/>
      <c r="P413" s="48" t="n"/>
      <c r="Q413" s="48" t="n"/>
      <c r="R413" s="48" t="n"/>
      <c r="S413" s="48" t="n"/>
      <c r="T413" s="48" t="n"/>
      <c r="U413" s="48" t="n"/>
      <c r="V413" s="48" t="n"/>
      <c r="W413" s="48" t="n"/>
      <c r="X413" s="48" t="n"/>
      <c r="Y413" s="48" t="n"/>
      <c r="Z413" s="48" t="n"/>
      <c r="AA413" s="48" t="n"/>
      <c r="AB413" s="48" t="n"/>
      <c r="AC413" s="48" t="n"/>
      <c r="AD413" s="48" t="n"/>
      <c r="AE413" s="48" t="n"/>
      <c r="AF413" s="48" t="n"/>
      <c r="AG413" s="48" t="n"/>
      <c r="AH413" s="48" t="n"/>
      <c r="AI413" s="48" t="n"/>
      <c r="AJ413" s="48" t="n"/>
      <c r="AK413" s="48" t="n"/>
      <c r="AL413" s="53" t="n"/>
      <c r="AM413" s="52" t="n"/>
      <c r="AN413" s="48" t="n"/>
      <c r="AO413" s="48" t="n"/>
      <c r="AP413" s="48" t="n"/>
      <c r="AQ413" s="48" t="n"/>
      <c r="AR413" s="48" t="n"/>
      <c r="AS413" s="48" t="n"/>
      <c r="AT413" s="48" t="n"/>
      <c r="AU413" s="48" t="n"/>
      <c r="AV413" s="48" t="n"/>
      <c r="AW413" s="48" t="n"/>
      <c r="AX413" s="48" t="n"/>
      <c r="AY413" s="48" t="n"/>
      <c r="AZ413" s="48" t="n"/>
      <c r="BA413" s="48" t="n"/>
      <c r="BB413" s="48" t="n"/>
      <c r="BC413" s="48" t="n"/>
      <c r="BD413" s="48" t="n"/>
      <c r="BE413" s="48" t="n"/>
      <c r="BF413" s="48" t="n"/>
      <c r="BG413" s="48" t="n"/>
      <c r="BH413" s="48" t="n"/>
      <c r="BI413" s="48" t="n"/>
      <c r="BJ413" s="48" t="n"/>
      <c r="BK413" s="48" t="n"/>
      <c r="BL413" s="48" t="n"/>
      <c r="BM413" s="48" t="n"/>
      <c r="BN413" s="48" t="n"/>
    </row>
    <row r="414">
      <c r="A414" s="47" t="n"/>
      <c r="B414" s="48" t="n"/>
      <c r="C414" s="48" t="n"/>
      <c r="D414" s="49" t="n"/>
      <c r="E414" s="48" t="n"/>
      <c r="F414" s="48" t="n"/>
      <c r="G414" s="50" t="n"/>
      <c r="H414" s="51" t="n"/>
      <c r="I414" s="51" t="n"/>
      <c r="J414" s="48" t="n"/>
      <c r="K414" s="52" t="n"/>
      <c r="L414" s="48" t="n"/>
      <c r="M414" s="48" t="n"/>
      <c r="N414" s="48" t="n"/>
      <c r="O414" s="48" t="n"/>
      <c r="P414" s="48" t="n"/>
      <c r="Q414" s="48" t="n"/>
      <c r="R414" s="48" t="n"/>
      <c r="S414" s="48" t="n"/>
      <c r="T414" s="48" t="n"/>
      <c r="U414" s="48" t="n"/>
      <c r="V414" s="48" t="n"/>
      <c r="W414" s="48" t="n"/>
      <c r="X414" s="48" t="n"/>
      <c r="Y414" s="48" t="n"/>
      <c r="Z414" s="48" t="n"/>
      <c r="AA414" s="48" t="n"/>
      <c r="AB414" s="48" t="n"/>
      <c r="AC414" s="48" t="n"/>
      <c r="AD414" s="48" t="n"/>
      <c r="AE414" s="48" t="n"/>
      <c r="AF414" s="48" t="n"/>
      <c r="AG414" s="48" t="n"/>
      <c r="AH414" s="48" t="n"/>
      <c r="AI414" s="48" t="n"/>
      <c r="AJ414" s="48" t="n"/>
      <c r="AK414" s="48" t="n"/>
      <c r="AL414" s="53" t="n"/>
      <c r="AM414" s="52" t="n"/>
      <c r="AN414" s="48" t="n"/>
      <c r="AO414" s="48" t="n"/>
      <c r="AP414" s="48" t="n"/>
      <c r="AQ414" s="48" t="n"/>
      <c r="AR414" s="48" t="n"/>
      <c r="AS414" s="48" t="n"/>
      <c r="AT414" s="48" t="n"/>
      <c r="AU414" s="48" t="n"/>
      <c r="AV414" s="48" t="n"/>
      <c r="AW414" s="48" t="n"/>
      <c r="AX414" s="48" t="n"/>
      <c r="AY414" s="48" t="n"/>
      <c r="AZ414" s="48" t="n"/>
      <c r="BA414" s="48" t="n"/>
      <c r="BB414" s="48" t="n"/>
      <c r="BC414" s="48" t="n"/>
      <c r="BD414" s="48" t="n"/>
      <c r="BE414" s="48" t="n"/>
      <c r="BF414" s="48" t="n"/>
      <c r="BG414" s="48" t="n"/>
      <c r="BH414" s="48" t="n"/>
      <c r="BI414" s="48" t="n"/>
      <c r="BJ414" s="48" t="n"/>
      <c r="BK414" s="48" t="n"/>
      <c r="BL414" s="48" t="n"/>
      <c r="BM414" s="48" t="n"/>
      <c r="BN414" s="48" t="n"/>
    </row>
    <row r="415">
      <c r="A415" s="47" t="n"/>
      <c r="B415" s="48" t="n"/>
      <c r="C415" s="48" t="n"/>
      <c r="D415" s="49" t="n"/>
      <c r="E415" s="48" t="n"/>
      <c r="F415" s="48" t="n"/>
      <c r="G415" s="50" t="n"/>
      <c r="H415" s="51" t="n"/>
      <c r="I415" s="51" t="n"/>
      <c r="J415" s="48" t="n"/>
      <c r="K415" s="52" t="n"/>
      <c r="L415" s="48" t="n"/>
      <c r="M415" s="48" t="n"/>
      <c r="N415" s="48" t="n"/>
      <c r="O415" s="48" t="n"/>
      <c r="P415" s="48" t="n"/>
      <c r="Q415" s="48" t="n"/>
      <c r="R415" s="48" t="n"/>
      <c r="S415" s="48" t="n"/>
      <c r="T415" s="48" t="n"/>
      <c r="U415" s="48" t="n"/>
      <c r="V415" s="48" t="n"/>
      <c r="W415" s="48" t="n"/>
      <c r="X415" s="48" t="n"/>
      <c r="Y415" s="48" t="n"/>
      <c r="Z415" s="48" t="n"/>
      <c r="AA415" s="48" t="n"/>
      <c r="AB415" s="48" t="n"/>
      <c r="AC415" s="48" t="n"/>
      <c r="AD415" s="48" t="n"/>
      <c r="AE415" s="48" t="n"/>
      <c r="AF415" s="48" t="n"/>
      <c r="AG415" s="48" t="n"/>
      <c r="AH415" s="48" t="n"/>
      <c r="AI415" s="48" t="n"/>
      <c r="AJ415" s="48" t="n"/>
      <c r="AK415" s="48" t="n"/>
      <c r="AL415" s="53" t="n"/>
      <c r="AM415" s="52" t="n"/>
      <c r="AN415" s="48" t="n"/>
      <c r="AO415" s="48" t="n"/>
      <c r="AP415" s="48" t="n"/>
      <c r="AQ415" s="48" t="n"/>
      <c r="AR415" s="48" t="n"/>
      <c r="AS415" s="48" t="n"/>
      <c r="AT415" s="48" t="n"/>
      <c r="AU415" s="48" t="n"/>
      <c r="AV415" s="48" t="n"/>
      <c r="AW415" s="48" t="n"/>
      <c r="AX415" s="48" t="n"/>
      <c r="AY415" s="48" t="n"/>
      <c r="AZ415" s="48" t="n"/>
      <c r="BA415" s="48" t="n"/>
      <c r="BB415" s="48" t="n"/>
      <c r="BC415" s="48" t="n"/>
      <c r="BD415" s="48" t="n"/>
      <c r="BE415" s="48" t="n"/>
      <c r="BF415" s="48" t="n"/>
      <c r="BG415" s="48" t="n"/>
      <c r="BH415" s="48" t="n"/>
      <c r="BI415" s="48" t="n"/>
      <c r="BJ415" s="48" t="n"/>
      <c r="BK415" s="48" t="n"/>
      <c r="BL415" s="48" t="n"/>
      <c r="BM415" s="48" t="n"/>
      <c r="BN415" s="48" t="n"/>
    </row>
    <row r="416">
      <c r="A416" s="47" t="n"/>
      <c r="B416" s="48" t="n"/>
      <c r="C416" s="48" t="n"/>
      <c r="D416" s="49" t="n"/>
      <c r="E416" s="48" t="n"/>
      <c r="F416" s="48" t="n"/>
      <c r="G416" s="50" t="n"/>
      <c r="H416" s="51" t="n"/>
      <c r="I416" s="51" t="n"/>
      <c r="J416" s="48" t="n"/>
      <c r="K416" s="52" t="n"/>
      <c r="L416" s="48" t="n"/>
      <c r="M416" s="48" t="n"/>
      <c r="N416" s="48" t="n"/>
      <c r="O416" s="48" t="n"/>
      <c r="P416" s="48" t="n"/>
      <c r="Q416" s="48" t="n"/>
      <c r="R416" s="48" t="n"/>
      <c r="S416" s="48" t="n"/>
      <c r="T416" s="48" t="n"/>
      <c r="U416" s="48" t="n"/>
      <c r="V416" s="48" t="n"/>
      <c r="W416" s="48" t="n"/>
      <c r="X416" s="48" t="n"/>
      <c r="Y416" s="48" t="n"/>
      <c r="Z416" s="48" t="n"/>
      <c r="AA416" s="48" t="n"/>
      <c r="AB416" s="48" t="n"/>
      <c r="AC416" s="48" t="n"/>
      <c r="AD416" s="48" t="n"/>
      <c r="AE416" s="48" t="n"/>
      <c r="AF416" s="48" t="n"/>
      <c r="AG416" s="48" t="n"/>
      <c r="AH416" s="48" t="n"/>
      <c r="AI416" s="48" t="n"/>
      <c r="AJ416" s="48" t="n"/>
      <c r="AK416" s="48" t="n"/>
      <c r="AL416" s="53" t="n"/>
      <c r="AM416" s="52" t="n"/>
      <c r="AN416" s="48" t="n"/>
      <c r="AO416" s="48" t="n"/>
      <c r="AP416" s="48" t="n"/>
      <c r="AQ416" s="48" t="n"/>
      <c r="AR416" s="48" t="n"/>
      <c r="AS416" s="48" t="n"/>
      <c r="AT416" s="48" t="n"/>
      <c r="AU416" s="48" t="n"/>
      <c r="AV416" s="48" t="n"/>
      <c r="AW416" s="48" t="n"/>
      <c r="AX416" s="48" t="n"/>
      <c r="AY416" s="48" t="n"/>
      <c r="AZ416" s="48" t="n"/>
      <c r="BA416" s="48" t="n"/>
      <c r="BB416" s="48" t="n"/>
      <c r="BC416" s="48" t="n"/>
      <c r="BD416" s="48" t="n"/>
      <c r="BE416" s="48" t="n"/>
      <c r="BF416" s="48" t="n"/>
      <c r="BG416" s="48" t="n"/>
      <c r="BH416" s="48" t="n"/>
      <c r="BI416" s="48" t="n"/>
      <c r="BJ416" s="48" t="n"/>
      <c r="BK416" s="48" t="n"/>
      <c r="BL416" s="48" t="n"/>
      <c r="BM416" s="48" t="n"/>
      <c r="BN416" s="48" t="n"/>
    </row>
    <row r="417">
      <c r="A417" s="47" t="n"/>
      <c r="B417" s="48" t="n"/>
      <c r="C417" s="48" t="n"/>
      <c r="D417" s="49" t="n"/>
      <c r="E417" s="48" t="n"/>
      <c r="F417" s="48" t="n"/>
      <c r="G417" s="50" t="n"/>
      <c r="H417" s="51" t="n"/>
      <c r="I417" s="51" t="n"/>
      <c r="J417" s="48" t="n"/>
      <c r="K417" s="52" t="n"/>
      <c r="L417" s="48" t="n"/>
      <c r="M417" s="48" t="n"/>
      <c r="N417" s="48" t="n"/>
      <c r="O417" s="48" t="n"/>
      <c r="P417" s="48" t="n"/>
      <c r="Q417" s="48" t="n"/>
      <c r="R417" s="48" t="n"/>
      <c r="S417" s="48" t="n"/>
      <c r="T417" s="48" t="n"/>
      <c r="U417" s="48" t="n"/>
      <c r="V417" s="48" t="n"/>
      <c r="W417" s="48" t="n"/>
      <c r="X417" s="48" t="n"/>
      <c r="Y417" s="48" t="n"/>
      <c r="Z417" s="48" t="n"/>
      <c r="AA417" s="48" t="n"/>
      <c r="AB417" s="48" t="n"/>
      <c r="AC417" s="48" t="n"/>
      <c r="AD417" s="48" t="n"/>
      <c r="AE417" s="48" t="n"/>
      <c r="AF417" s="48" t="n"/>
      <c r="AG417" s="48" t="n"/>
      <c r="AH417" s="48" t="n"/>
      <c r="AI417" s="48" t="n"/>
      <c r="AJ417" s="48" t="n"/>
      <c r="AK417" s="48" t="n"/>
      <c r="AL417" s="53" t="n"/>
      <c r="AM417" s="52" t="n"/>
      <c r="AN417" s="48" t="n"/>
      <c r="AO417" s="48" t="n"/>
      <c r="AP417" s="48" t="n"/>
      <c r="AQ417" s="48" t="n"/>
      <c r="AR417" s="48" t="n"/>
      <c r="AS417" s="48" t="n"/>
      <c r="AT417" s="48" t="n"/>
      <c r="AU417" s="48" t="n"/>
      <c r="AV417" s="48" t="n"/>
      <c r="AW417" s="48" t="n"/>
      <c r="AX417" s="48" t="n"/>
      <c r="AY417" s="48" t="n"/>
      <c r="AZ417" s="48" t="n"/>
      <c r="BA417" s="48" t="n"/>
      <c r="BB417" s="48" t="n"/>
      <c r="BC417" s="48" t="n"/>
      <c r="BD417" s="48" t="n"/>
      <c r="BE417" s="48" t="n"/>
      <c r="BF417" s="48" t="n"/>
      <c r="BG417" s="48" t="n"/>
      <c r="BH417" s="48" t="n"/>
      <c r="BI417" s="48" t="n"/>
      <c r="BJ417" s="48" t="n"/>
      <c r="BK417" s="48" t="n"/>
      <c r="BL417" s="48" t="n"/>
      <c r="BM417" s="48" t="n"/>
      <c r="BN417" s="48" t="n"/>
    </row>
    <row r="418">
      <c r="A418" s="47" t="n"/>
      <c r="B418" s="48" t="n"/>
      <c r="C418" s="48" t="n"/>
      <c r="D418" s="49" t="n"/>
      <c r="E418" s="48" t="n"/>
      <c r="F418" s="48" t="n"/>
      <c r="G418" s="50" t="n"/>
      <c r="H418" s="51" t="n"/>
      <c r="I418" s="51" t="n"/>
      <c r="J418" s="48" t="n"/>
      <c r="K418" s="52" t="n"/>
      <c r="L418" s="48" t="n"/>
      <c r="M418" s="48" t="n"/>
      <c r="N418" s="48" t="n"/>
      <c r="O418" s="48" t="n"/>
      <c r="P418" s="48" t="n"/>
      <c r="Q418" s="48" t="n"/>
      <c r="R418" s="48" t="n"/>
      <c r="S418" s="48" t="n"/>
      <c r="T418" s="48" t="n"/>
      <c r="U418" s="48" t="n"/>
      <c r="V418" s="48" t="n"/>
      <c r="W418" s="48" t="n"/>
      <c r="X418" s="48" t="n"/>
      <c r="Y418" s="48" t="n"/>
      <c r="Z418" s="48" t="n"/>
      <c r="AA418" s="48" t="n"/>
      <c r="AB418" s="48" t="n"/>
      <c r="AC418" s="48" t="n"/>
      <c r="AD418" s="48" t="n"/>
      <c r="AE418" s="48" t="n"/>
      <c r="AF418" s="48" t="n"/>
      <c r="AG418" s="48" t="n"/>
      <c r="AH418" s="48" t="n"/>
      <c r="AI418" s="48" t="n"/>
      <c r="AJ418" s="48" t="n"/>
      <c r="AK418" s="48" t="n"/>
      <c r="AL418" s="53" t="n"/>
      <c r="AM418" s="52" t="n"/>
      <c r="AN418" s="48" t="n"/>
      <c r="AO418" s="48" t="n"/>
      <c r="AP418" s="48" t="n"/>
      <c r="AQ418" s="48" t="n"/>
      <c r="AR418" s="48" t="n"/>
      <c r="AS418" s="48" t="n"/>
      <c r="AT418" s="48" t="n"/>
      <c r="AU418" s="48" t="n"/>
      <c r="AV418" s="48" t="n"/>
      <c r="AW418" s="48" t="n"/>
      <c r="AX418" s="48" t="n"/>
      <c r="AY418" s="48" t="n"/>
      <c r="AZ418" s="48" t="n"/>
      <c r="BA418" s="48" t="n"/>
      <c r="BB418" s="48" t="n"/>
      <c r="BC418" s="48" t="n"/>
      <c r="BD418" s="48" t="n"/>
      <c r="BE418" s="48" t="n"/>
      <c r="BF418" s="48" t="n"/>
      <c r="BG418" s="48" t="n"/>
      <c r="BH418" s="48" t="n"/>
      <c r="BI418" s="48" t="n"/>
      <c r="BJ418" s="48" t="n"/>
      <c r="BK418" s="48" t="n"/>
      <c r="BL418" s="48" t="n"/>
      <c r="BM418" s="48" t="n"/>
      <c r="BN418" s="48" t="n"/>
    </row>
    <row r="419">
      <c r="A419" s="47" t="n"/>
      <c r="B419" s="48" t="n"/>
      <c r="C419" s="48" t="n"/>
      <c r="D419" s="49" t="n"/>
      <c r="E419" s="48" t="n"/>
      <c r="F419" s="48" t="n"/>
      <c r="G419" s="50" t="n"/>
      <c r="H419" s="51" t="n"/>
      <c r="I419" s="51" t="n"/>
      <c r="J419" s="48" t="n"/>
      <c r="K419" s="52" t="n"/>
      <c r="L419" s="48" t="n"/>
      <c r="M419" s="48" t="n"/>
      <c r="N419" s="48" t="n"/>
      <c r="O419" s="48" t="n"/>
      <c r="P419" s="48" t="n"/>
      <c r="Q419" s="48" t="n"/>
      <c r="R419" s="48" t="n"/>
      <c r="S419" s="48" t="n"/>
      <c r="T419" s="48" t="n"/>
      <c r="U419" s="48" t="n"/>
      <c r="V419" s="48" t="n"/>
      <c r="W419" s="48" t="n"/>
      <c r="X419" s="48" t="n"/>
      <c r="Y419" s="48" t="n"/>
      <c r="Z419" s="48" t="n"/>
      <c r="AA419" s="48" t="n"/>
      <c r="AB419" s="48" t="n"/>
      <c r="AC419" s="48" t="n"/>
      <c r="AD419" s="48" t="n"/>
      <c r="AE419" s="48" t="n"/>
      <c r="AF419" s="48" t="n"/>
      <c r="AG419" s="48" t="n"/>
      <c r="AH419" s="48" t="n"/>
      <c r="AI419" s="48" t="n"/>
      <c r="AJ419" s="48" t="n"/>
      <c r="AK419" s="48" t="n"/>
      <c r="AL419" s="53" t="n"/>
      <c r="AM419" s="52" t="n"/>
      <c r="AN419" s="48" t="n"/>
      <c r="AO419" s="48" t="n"/>
      <c r="AP419" s="48" t="n"/>
      <c r="AQ419" s="48" t="n"/>
      <c r="AR419" s="48" t="n"/>
      <c r="AS419" s="48" t="n"/>
      <c r="AT419" s="48" t="n"/>
      <c r="AU419" s="48" t="n"/>
      <c r="AV419" s="48" t="n"/>
      <c r="AW419" s="48" t="n"/>
      <c r="AX419" s="48" t="n"/>
      <c r="AY419" s="48" t="n"/>
      <c r="AZ419" s="48" t="n"/>
      <c r="BA419" s="48" t="n"/>
      <c r="BB419" s="48" t="n"/>
      <c r="BC419" s="48" t="n"/>
      <c r="BD419" s="48" t="n"/>
      <c r="BE419" s="48" t="n"/>
      <c r="BF419" s="48" t="n"/>
      <c r="BG419" s="48" t="n"/>
      <c r="BH419" s="48" t="n"/>
      <c r="BI419" s="48" t="n"/>
      <c r="BJ419" s="48" t="n"/>
      <c r="BK419" s="48" t="n"/>
      <c r="BL419" s="48" t="n"/>
      <c r="BM419" s="48" t="n"/>
      <c r="BN419" s="48" t="n"/>
    </row>
    <row r="420">
      <c r="A420" s="47" t="n"/>
      <c r="B420" s="48" t="n"/>
      <c r="C420" s="48" t="n"/>
      <c r="D420" s="49" t="n"/>
      <c r="E420" s="48" t="n"/>
      <c r="F420" s="48" t="n"/>
      <c r="G420" s="50" t="n"/>
      <c r="H420" s="51" t="n"/>
      <c r="I420" s="51" t="n"/>
      <c r="J420" s="48" t="n"/>
      <c r="K420" s="52" t="n"/>
      <c r="L420" s="48" t="n"/>
      <c r="M420" s="48" t="n"/>
      <c r="N420" s="48" t="n"/>
      <c r="O420" s="48" t="n"/>
      <c r="P420" s="48" t="n"/>
      <c r="Q420" s="48" t="n"/>
      <c r="R420" s="48" t="n"/>
      <c r="S420" s="48" t="n"/>
      <c r="T420" s="48" t="n"/>
      <c r="U420" s="48" t="n"/>
      <c r="V420" s="48" t="n"/>
      <c r="W420" s="48" t="n"/>
      <c r="X420" s="48" t="n"/>
      <c r="Y420" s="48" t="n"/>
      <c r="Z420" s="48" t="n"/>
      <c r="AA420" s="48" t="n"/>
      <c r="AB420" s="48" t="n"/>
      <c r="AC420" s="48" t="n"/>
      <c r="AD420" s="48" t="n"/>
      <c r="AE420" s="48" t="n"/>
      <c r="AF420" s="48" t="n"/>
      <c r="AG420" s="48" t="n"/>
      <c r="AH420" s="48" t="n"/>
      <c r="AI420" s="48" t="n"/>
      <c r="AJ420" s="48" t="n"/>
      <c r="AK420" s="48" t="n"/>
      <c r="AL420" s="53" t="n"/>
      <c r="AM420" s="52" t="n"/>
      <c r="AN420" s="48" t="n"/>
      <c r="AO420" s="48" t="n"/>
      <c r="AP420" s="48" t="n"/>
      <c r="AQ420" s="48" t="n"/>
      <c r="AR420" s="48" t="n"/>
      <c r="AS420" s="48" t="n"/>
      <c r="AT420" s="48" t="n"/>
      <c r="AU420" s="48" t="n"/>
      <c r="AV420" s="48" t="n"/>
      <c r="AW420" s="48" t="n"/>
      <c r="AX420" s="48" t="n"/>
      <c r="AY420" s="48" t="n"/>
      <c r="AZ420" s="48" t="n"/>
      <c r="BA420" s="48" t="n"/>
      <c r="BB420" s="48" t="n"/>
      <c r="BC420" s="48" t="n"/>
      <c r="BD420" s="48" t="n"/>
      <c r="BE420" s="48" t="n"/>
      <c r="BF420" s="48" t="n"/>
      <c r="BG420" s="48" t="n"/>
      <c r="BH420" s="48" t="n"/>
      <c r="BI420" s="48" t="n"/>
      <c r="BJ420" s="48" t="n"/>
      <c r="BK420" s="48" t="n"/>
      <c r="BL420" s="48" t="n"/>
      <c r="BM420" s="48" t="n"/>
      <c r="BN420" s="48" t="n"/>
    </row>
    <row r="421">
      <c r="A421" s="47" t="n"/>
      <c r="B421" s="48" t="n"/>
      <c r="C421" s="48" t="n"/>
      <c r="D421" s="49" t="n"/>
      <c r="E421" s="48" t="n"/>
      <c r="F421" s="48" t="n"/>
      <c r="G421" s="50" t="n"/>
      <c r="H421" s="51" t="n"/>
      <c r="I421" s="51" t="n"/>
      <c r="J421" s="48" t="n"/>
      <c r="K421" s="52" t="n"/>
      <c r="L421" s="48" t="n"/>
      <c r="M421" s="48" t="n"/>
      <c r="N421" s="48" t="n"/>
      <c r="O421" s="48" t="n"/>
      <c r="P421" s="48" t="n"/>
      <c r="Q421" s="48" t="n"/>
      <c r="R421" s="48" t="n"/>
      <c r="S421" s="48" t="n"/>
      <c r="T421" s="48" t="n"/>
      <c r="U421" s="48" t="n"/>
      <c r="V421" s="48" t="n"/>
      <c r="W421" s="48" t="n"/>
      <c r="X421" s="48" t="n"/>
      <c r="Y421" s="48" t="n"/>
      <c r="Z421" s="48" t="n"/>
      <c r="AA421" s="48" t="n"/>
      <c r="AB421" s="48" t="n"/>
      <c r="AC421" s="48" t="n"/>
      <c r="AD421" s="48" t="n"/>
      <c r="AE421" s="48" t="n"/>
      <c r="AF421" s="48" t="n"/>
      <c r="AG421" s="48" t="n"/>
      <c r="AH421" s="48" t="n"/>
      <c r="AI421" s="48" t="n"/>
      <c r="AJ421" s="48" t="n"/>
      <c r="AK421" s="48" t="n"/>
      <c r="AL421" s="53" t="n"/>
      <c r="AM421" s="52" t="n"/>
      <c r="AN421" s="48" t="n"/>
      <c r="AO421" s="48" t="n"/>
      <c r="AP421" s="48" t="n"/>
      <c r="AQ421" s="48" t="n"/>
      <c r="AR421" s="48" t="n"/>
      <c r="AS421" s="48" t="n"/>
      <c r="AT421" s="48" t="n"/>
      <c r="AU421" s="48" t="n"/>
      <c r="AV421" s="48" t="n"/>
      <c r="AW421" s="48" t="n"/>
      <c r="AX421" s="48" t="n"/>
      <c r="AY421" s="48" t="n"/>
      <c r="AZ421" s="48" t="n"/>
      <c r="BA421" s="48" t="n"/>
      <c r="BB421" s="48" t="n"/>
      <c r="BC421" s="48" t="n"/>
      <c r="BD421" s="48" t="n"/>
      <c r="BE421" s="48" t="n"/>
      <c r="BF421" s="48" t="n"/>
      <c r="BG421" s="48" t="n"/>
      <c r="BH421" s="48" t="n"/>
      <c r="BI421" s="48" t="n"/>
      <c r="BJ421" s="48" t="n"/>
      <c r="BK421" s="48" t="n"/>
      <c r="BL421" s="48" t="n"/>
      <c r="BM421" s="48" t="n"/>
      <c r="BN421" s="48" t="n"/>
    </row>
    <row r="422">
      <c r="A422" s="47" t="n"/>
      <c r="B422" s="48" t="n"/>
      <c r="C422" s="48" t="n"/>
      <c r="D422" s="49" t="n"/>
      <c r="E422" s="48" t="n"/>
      <c r="F422" s="48" t="n"/>
      <c r="G422" s="50" t="n"/>
      <c r="H422" s="51" t="n"/>
      <c r="I422" s="51" t="n"/>
      <c r="J422" s="48" t="n"/>
      <c r="K422" s="52" t="n"/>
      <c r="L422" s="48" t="n"/>
      <c r="M422" s="48" t="n"/>
      <c r="N422" s="48" t="n"/>
      <c r="O422" s="48" t="n"/>
      <c r="P422" s="48" t="n"/>
      <c r="Q422" s="48" t="n"/>
      <c r="R422" s="48" t="n"/>
      <c r="S422" s="48" t="n"/>
      <c r="T422" s="48" t="n"/>
      <c r="U422" s="48" t="n"/>
      <c r="V422" s="48" t="n"/>
      <c r="W422" s="48" t="n"/>
      <c r="X422" s="48" t="n"/>
      <c r="Y422" s="48" t="n"/>
      <c r="Z422" s="48" t="n"/>
      <c r="AA422" s="48" t="n"/>
      <c r="AB422" s="48" t="n"/>
      <c r="AC422" s="48" t="n"/>
      <c r="AD422" s="48" t="n"/>
      <c r="AE422" s="48" t="n"/>
      <c r="AF422" s="48" t="n"/>
      <c r="AG422" s="48" t="n"/>
      <c r="AH422" s="48" t="n"/>
      <c r="AI422" s="48" t="n"/>
      <c r="AJ422" s="48" t="n"/>
      <c r="AK422" s="48" t="n"/>
      <c r="AL422" s="53" t="n"/>
      <c r="AM422" s="52" t="n"/>
      <c r="AN422" s="48" t="n"/>
      <c r="AO422" s="48" t="n"/>
      <c r="AP422" s="48" t="n"/>
      <c r="AQ422" s="48" t="n"/>
      <c r="AR422" s="48" t="n"/>
      <c r="AS422" s="48" t="n"/>
      <c r="AT422" s="48" t="n"/>
      <c r="AU422" s="48" t="n"/>
      <c r="AV422" s="48" t="n"/>
      <c r="AW422" s="48" t="n"/>
      <c r="AX422" s="48" t="n"/>
      <c r="AY422" s="48" t="n"/>
      <c r="AZ422" s="48" t="n"/>
      <c r="BA422" s="48" t="n"/>
      <c r="BB422" s="48" t="n"/>
      <c r="BC422" s="48" t="n"/>
      <c r="BD422" s="48" t="n"/>
      <c r="BE422" s="48" t="n"/>
      <c r="BF422" s="48" t="n"/>
      <c r="BG422" s="48" t="n"/>
      <c r="BH422" s="48" t="n"/>
      <c r="BI422" s="48" t="n"/>
      <c r="BJ422" s="48" t="n"/>
      <c r="BK422" s="48" t="n"/>
      <c r="BL422" s="48" t="n"/>
      <c r="BM422" s="48" t="n"/>
      <c r="BN422" s="48" t="n"/>
    </row>
    <row r="423">
      <c r="A423" s="47" t="n"/>
      <c r="B423" s="48" t="n"/>
      <c r="C423" s="48" t="n"/>
      <c r="D423" s="49" t="n"/>
      <c r="E423" s="48" t="n"/>
      <c r="F423" s="48" t="n"/>
      <c r="G423" s="50" t="n"/>
      <c r="H423" s="51" t="n"/>
      <c r="I423" s="51" t="n"/>
      <c r="J423" s="48" t="n"/>
      <c r="K423" s="52" t="n"/>
      <c r="L423" s="48" t="n"/>
      <c r="M423" s="48" t="n"/>
      <c r="N423" s="48" t="n"/>
      <c r="O423" s="48" t="n"/>
      <c r="P423" s="48" t="n"/>
      <c r="Q423" s="48" t="n"/>
      <c r="R423" s="48" t="n"/>
      <c r="S423" s="48" t="n"/>
      <c r="T423" s="48" t="n"/>
      <c r="U423" s="48" t="n"/>
      <c r="V423" s="48" t="n"/>
      <c r="W423" s="48" t="n"/>
      <c r="X423" s="48" t="n"/>
      <c r="Y423" s="48" t="n"/>
      <c r="Z423" s="48" t="n"/>
      <c r="AA423" s="48" t="n"/>
      <c r="AB423" s="48" t="n"/>
      <c r="AC423" s="48" t="n"/>
      <c r="AD423" s="48" t="n"/>
      <c r="AE423" s="48" t="n"/>
      <c r="AF423" s="48" t="n"/>
      <c r="AG423" s="48" t="n"/>
      <c r="AH423" s="48" t="n"/>
      <c r="AI423" s="48" t="n"/>
      <c r="AJ423" s="48" t="n"/>
      <c r="AK423" s="48" t="n"/>
      <c r="AL423" s="53" t="n"/>
      <c r="AM423" s="52" t="n"/>
      <c r="AN423" s="48" t="n"/>
      <c r="AO423" s="48" t="n"/>
      <c r="AP423" s="48" t="n"/>
      <c r="AQ423" s="48" t="n"/>
      <c r="AR423" s="48" t="n"/>
      <c r="AS423" s="48" t="n"/>
      <c r="AT423" s="48" t="n"/>
      <c r="AU423" s="48" t="n"/>
      <c r="AV423" s="48" t="n"/>
      <c r="AW423" s="48" t="n"/>
      <c r="AX423" s="48" t="n"/>
      <c r="AY423" s="48" t="n"/>
      <c r="AZ423" s="48" t="n"/>
      <c r="BA423" s="48" t="n"/>
      <c r="BB423" s="48" t="n"/>
      <c r="BC423" s="48" t="n"/>
      <c r="BD423" s="48" t="n"/>
      <c r="BE423" s="48" t="n"/>
      <c r="BF423" s="48" t="n"/>
      <c r="BG423" s="48" t="n"/>
      <c r="BH423" s="48" t="n"/>
      <c r="BI423" s="48" t="n"/>
      <c r="BJ423" s="48" t="n"/>
      <c r="BK423" s="48" t="n"/>
      <c r="BL423" s="48" t="n"/>
      <c r="BM423" s="48" t="n"/>
      <c r="BN423" s="48" t="n"/>
    </row>
    <row r="424">
      <c r="A424" s="47" t="n"/>
      <c r="B424" s="48" t="n"/>
      <c r="C424" s="48" t="n"/>
      <c r="D424" s="49" t="n"/>
      <c r="E424" s="48" t="n"/>
      <c r="F424" s="48" t="n"/>
      <c r="G424" s="50" t="n"/>
      <c r="H424" s="51" t="n"/>
      <c r="I424" s="51" t="n"/>
      <c r="J424" s="48" t="n"/>
      <c r="K424" s="52" t="n"/>
      <c r="L424" s="48" t="n"/>
      <c r="M424" s="48" t="n"/>
      <c r="N424" s="48" t="n"/>
      <c r="O424" s="48" t="n"/>
      <c r="P424" s="48" t="n"/>
      <c r="Q424" s="48" t="n"/>
      <c r="R424" s="48" t="n"/>
      <c r="S424" s="48" t="n"/>
      <c r="T424" s="48" t="n"/>
      <c r="U424" s="48" t="n"/>
      <c r="V424" s="48" t="n"/>
      <c r="W424" s="48" t="n"/>
      <c r="X424" s="48" t="n"/>
      <c r="Y424" s="48" t="n"/>
      <c r="Z424" s="48" t="n"/>
      <c r="AA424" s="48" t="n"/>
      <c r="AB424" s="48" t="n"/>
      <c r="AC424" s="48" t="n"/>
      <c r="AD424" s="48" t="n"/>
      <c r="AE424" s="48" t="n"/>
      <c r="AF424" s="48" t="n"/>
      <c r="AG424" s="48" t="n"/>
      <c r="AH424" s="48" t="n"/>
      <c r="AI424" s="48" t="n"/>
      <c r="AJ424" s="48" t="n"/>
      <c r="AK424" s="48" t="n"/>
      <c r="AL424" s="53" t="n"/>
      <c r="AM424" s="52" t="n"/>
      <c r="AN424" s="48" t="n"/>
      <c r="AO424" s="48" t="n"/>
      <c r="AP424" s="48" t="n"/>
      <c r="AQ424" s="48" t="n"/>
      <c r="AR424" s="48" t="n"/>
      <c r="AS424" s="48" t="n"/>
      <c r="AT424" s="48" t="n"/>
      <c r="AU424" s="48" t="n"/>
      <c r="AV424" s="48" t="n"/>
      <c r="AW424" s="48" t="n"/>
      <c r="AX424" s="48" t="n"/>
      <c r="AY424" s="48" t="n"/>
      <c r="AZ424" s="48" t="n"/>
      <c r="BA424" s="48" t="n"/>
      <c r="BB424" s="48" t="n"/>
      <c r="BC424" s="48" t="n"/>
      <c r="BD424" s="48" t="n"/>
      <c r="BE424" s="48" t="n"/>
      <c r="BF424" s="48" t="n"/>
      <c r="BG424" s="48" t="n"/>
      <c r="BH424" s="48" t="n"/>
      <c r="BI424" s="48" t="n"/>
      <c r="BJ424" s="48" t="n"/>
      <c r="BK424" s="48" t="n"/>
      <c r="BL424" s="48" t="n"/>
      <c r="BM424" s="48" t="n"/>
      <c r="BN424" s="48" t="n"/>
    </row>
    <row r="425">
      <c r="A425" s="47" t="n"/>
      <c r="B425" s="48" t="n"/>
      <c r="C425" s="48" t="n"/>
      <c r="D425" s="49" t="n"/>
      <c r="E425" s="48" t="n"/>
      <c r="F425" s="48" t="n"/>
      <c r="G425" s="50" t="n"/>
      <c r="H425" s="51" t="n"/>
      <c r="I425" s="51" t="n"/>
      <c r="J425" s="48" t="n"/>
      <c r="K425" s="52" t="n"/>
      <c r="L425" s="48" t="n"/>
      <c r="M425" s="48" t="n"/>
      <c r="N425" s="48" t="n"/>
      <c r="O425" s="48" t="n"/>
      <c r="P425" s="48" t="n"/>
      <c r="Q425" s="48" t="n"/>
      <c r="R425" s="48" t="n"/>
      <c r="S425" s="48" t="n"/>
      <c r="T425" s="48" t="n"/>
      <c r="U425" s="48" t="n"/>
      <c r="V425" s="48" t="n"/>
      <c r="W425" s="48" t="n"/>
      <c r="X425" s="48" t="n"/>
      <c r="Y425" s="48" t="n"/>
      <c r="Z425" s="48" t="n"/>
      <c r="AA425" s="48" t="n"/>
      <c r="AB425" s="48" t="n"/>
      <c r="AC425" s="48" t="n"/>
      <c r="AD425" s="48" t="n"/>
      <c r="AE425" s="48" t="n"/>
      <c r="AF425" s="48" t="n"/>
      <c r="AG425" s="48" t="n"/>
      <c r="AH425" s="48" t="n"/>
      <c r="AI425" s="48" t="n"/>
      <c r="AJ425" s="48" t="n"/>
      <c r="AK425" s="48" t="n"/>
      <c r="AL425" s="53" t="n"/>
      <c r="AM425" s="52" t="n"/>
      <c r="AN425" s="48" t="n"/>
      <c r="AO425" s="48" t="n"/>
      <c r="AP425" s="48" t="n"/>
      <c r="AQ425" s="48" t="n"/>
      <c r="AR425" s="48" t="n"/>
      <c r="AS425" s="48" t="n"/>
      <c r="AT425" s="48" t="n"/>
      <c r="AU425" s="48" t="n"/>
      <c r="AV425" s="48" t="n"/>
      <c r="AW425" s="48" t="n"/>
      <c r="AX425" s="48" t="n"/>
      <c r="AY425" s="48" t="n"/>
      <c r="AZ425" s="48" t="n"/>
      <c r="BA425" s="48" t="n"/>
      <c r="BB425" s="48" t="n"/>
      <c r="BC425" s="48" t="n"/>
      <c r="BD425" s="48" t="n"/>
      <c r="BE425" s="48" t="n"/>
      <c r="BF425" s="48" t="n"/>
      <c r="BG425" s="48" t="n"/>
      <c r="BH425" s="48" t="n"/>
      <c r="BI425" s="48" t="n"/>
      <c r="BJ425" s="48" t="n"/>
      <c r="BK425" s="48" t="n"/>
      <c r="BL425" s="48" t="n"/>
      <c r="BM425" s="48" t="n"/>
      <c r="BN425" s="48" t="n"/>
    </row>
    <row r="426">
      <c r="A426" s="47" t="n"/>
      <c r="B426" s="48" t="n"/>
      <c r="C426" s="48" t="n"/>
      <c r="D426" s="49" t="n"/>
      <c r="E426" s="48" t="n"/>
      <c r="F426" s="48" t="n"/>
      <c r="G426" s="50" t="n"/>
      <c r="H426" s="51" t="n"/>
      <c r="I426" s="51" t="n"/>
      <c r="J426" s="48" t="n"/>
      <c r="K426" s="52" t="n"/>
      <c r="L426" s="48" t="n"/>
      <c r="M426" s="48" t="n"/>
      <c r="N426" s="48" t="n"/>
      <c r="O426" s="48" t="n"/>
      <c r="P426" s="48" t="n"/>
      <c r="Q426" s="48" t="n"/>
      <c r="R426" s="48" t="n"/>
      <c r="S426" s="48" t="n"/>
      <c r="T426" s="48" t="n"/>
      <c r="U426" s="48" t="n"/>
      <c r="V426" s="48" t="n"/>
      <c r="W426" s="48" t="n"/>
      <c r="X426" s="48" t="n"/>
      <c r="Y426" s="48" t="n"/>
      <c r="Z426" s="48" t="n"/>
      <c r="AA426" s="48" t="n"/>
      <c r="AB426" s="48" t="n"/>
      <c r="AC426" s="48" t="n"/>
      <c r="AD426" s="48" t="n"/>
      <c r="AE426" s="48" t="n"/>
      <c r="AF426" s="48" t="n"/>
      <c r="AG426" s="48" t="n"/>
      <c r="AH426" s="48" t="n"/>
      <c r="AI426" s="48" t="n"/>
      <c r="AJ426" s="48" t="n"/>
      <c r="AK426" s="48" t="n"/>
      <c r="AL426" s="53" t="n"/>
      <c r="AM426" s="52" t="n"/>
      <c r="AN426" s="48" t="n"/>
      <c r="AO426" s="48" t="n"/>
      <c r="AP426" s="48" t="n"/>
      <c r="AQ426" s="48" t="n"/>
      <c r="AR426" s="48" t="n"/>
      <c r="AS426" s="48" t="n"/>
      <c r="AT426" s="48" t="n"/>
      <c r="AU426" s="48" t="n"/>
      <c r="AV426" s="48" t="n"/>
      <c r="AW426" s="48" t="n"/>
      <c r="AX426" s="48" t="n"/>
      <c r="AY426" s="48" t="n"/>
      <c r="AZ426" s="48" t="n"/>
      <c r="BA426" s="48" t="n"/>
      <c r="BB426" s="48" t="n"/>
      <c r="BC426" s="48" t="n"/>
      <c r="BD426" s="48" t="n"/>
      <c r="BE426" s="48" t="n"/>
      <c r="BF426" s="48" t="n"/>
      <c r="BG426" s="48" t="n"/>
      <c r="BH426" s="48" t="n"/>
      <c r="BI426" s="48" t="n"/>
      <c r="BJ426" s="48" t="n"/>
      <c r="BK426" s="48" t="n"/>
      <c r="BL426" s="48" t="n"/>
      <c r="BM426" s="48" t="n"/>
      <c r="BN426" s="48" t="n"/>
    </row>
    <row r="427">
      <c r="A427" s="47" t="n"/>
      <c r="B427" s="48" t="n"/>
      <c r="C427" s="48" t="n"/>
      <c r="D427" s="49" t="n"/>
      <c r="E427" s="48" t="n"/>
      <c r="F427" s="48" t="n"/>
      <c r="G427" s="50" t="n"/>
      <c r="H427" s="51" t="n"/>
      <c r="I427" s="51" t="n"/>
      <c r="J427" s="48" t="n"/>
      <c r="K427" s="52" t="n"/>
      <c r="L427" s="48" t="n"/>
      <c r="M427" s="48" t="n"/>
      <c r="N427" s="48" t="n"/>
      <c r="O427" s="48" t="n"/>
      <c r="P427" s="48" t="n"/>
      <c r="Q427" s="48" t="n"/>
      <c r="R427" s="48" t="n"/>
      <c r="S427" s="48" t="n"/>
      <c r="T427" s="48" t="n"/>
      <c r="U427" s="48" t="n"/>
      <c r="V427" s="48" t="n"/>
      <c r="W427" s="48" t="n"/>
      <c r="X427" s="48" t="n"/>
      <c r="Y427" s="48" t="n"/>
      <c r="Z427" s="48" t="n"/>
      <c r="AA427" s="48" t="n"/>
      <c r="AB427" s="48" t="n"/>
      <c r="AC427" s="48" t="n"/>
      <c r="AD427" s="48" t="n"/>
      <c r="AE427" s="48" t="n"/>
      <c r="AF427" s="48" t="n"/>
      <c r="AG427" s="48" t="n"/>
      <c r="AH427" s="48" t="n"/>
      <c r="AI427" s="48" t="n"/>
      <c r="AJ427" s="48" t="n"/>
      <c r="AK427" s="48" t="n"/>
      <c r="AL427" s="53" t="n"/>
      <c r="AM427" s="52" t="n"/>
      <c r="AN427" s="48" t="n"/>
      <c r="AO427" s="48" t="n"/>
      <c r="AP427" s="48" t="n"/>
      <c r="AQ427" s="48" t="n"/>
      <c r="AR427" s="48" t="n"/>
      <c r="AS427" s="48" t="n"/>
      <c r="AT427" s="48" t="n"/>
      <c r="AU427" s="48" t="n"/>
      <c r="AV427" s="48" t="n"/>
      <c r="AW427" s="48" t="n"/>
      <c r="AX427" s="48" t="n"/>
      <c r="AY427" s="48" t="n"/>
      <c r="AZ427" s="48" t="n"/>
      <c r="BA427" s="48" t="n"/>
      <c r="BB427" s="48" t="n"/>
      <c r="BC427" s="48" t="n"/>
      <c r="BD427" s="48" t="n"/>
      <c r="BE427" s="48" t="n"/>
      <c r="BF427" s="48" t="n"/>
      <c r="BG427" s="48" t="n"/>
      <c r="BH427" s="48" t="n"/>
      <c r="BI427" s="48" t="n"/>
      <c r="BJ427" s="48" t="n"/>
      <c r="BK427" s="48" t="n"/>
      <c r="BL427" s="48" t="n"/>
      <c r="BM427" s="48" t="n"/>
      <c r="BN427" s="48" t="n"/>
    </row>
    <row r="428">
      <c r="A428" s="47" t="n"/>
      <c r="B428" s="48" t="n"/>
      <c r="C428" s="48" t="n"/>
      <c r="D428" s="49" t="n"/>
      <c r="E428" s="48" t="n"/>
      <c r="F428" s="48" t="n"/>
      <c r="G428" s="50" t="n"/>
      <c r="H428" s="51" t="n"/>
      <c r="I428" s="51" t="n"/>
      <c r="J428" s="48" t="n"/>
      <c r="K428" s="52" t="n"/>
      <c r="L428" s="48" t="n"/>
      <c r="M428" s="48" t="n"/>
      <c r="N428" s="48" t="n"/>
      <c r="O428" s="48" t="n"/>
      <c r="P428" s="48" t="n"/>
      <c r="Q428" s="48" t="n"/>
      <c r="R428" s="48" t="n"/>
      <c r="S428" s="48" t="n"/>
      <c r="T428" s="48" t="n"/>
      <c r="U428" s="48" t="n"/>
      <c r="V428" s="48" t="n"/>
      <c r="W428" s="48" t="n"/>
      <c r="X428" s="48" t="n"/>
      <c r="Y428" s="48" t="n"/>
      <c r="Z428" s="48" t="n"/>
      <c r="AA428" s="48" t="n"/>
      <c r="AB428" s="48" t="n"/>
      <c r="AC428" s="48" t="n"/>
      <c r="AD428" s="48" t="n"/>
      <c r="AE428" s="48" t="n"/>
      <c r="AF428" s="48" t="n"/>
      <c r="AG428" s="48" t="n"/>
      <c r="AH428" s="48" t="n"/>
      <c r="AI428" s="48" t="n"/>
      <c r="AJ428" s="48" t="n"/>
      <c r="AK428" s="48" t="n"/>
      <c r="AL428" s="53" t="n"/>
      <c r="AM428" s="52" t="n"/>
      <c r="AN428" s="48" t="n"/>
      <c r="AO428" s="48" t="n"/>
      <c r="AP428" s="48" t="n"/>
      <c r="AQ428" s="48" t="n"/>
      <c r="AR428" s="48" t="n"/>
      <c r="AS428" s="48" t="n"/>
      <c r="AT428" s="48" t="n"/>
      <c r="AU428" s="48" t="n"/>
      <c r="AV428" s="48" t="n"/>
      <c r="AW428" s="48" t="n"/>
      <c r="AX428" s="48" t="n"/>
      <c r="AY428" s="48" t="n"/>
      <c r="AZ428" s="48" t="n"/>
      <c r="BA428" s="48" t="n"/>
      <c r="BB428" s="48" t="n"/>
      <c r="BC428" s="48" t="n"/>
      <c r="BD428" s="48" t="n"/>
      <c r="BE428" s="48" t="n"/>
      <c r="BF428" s="48" t="n"/>
      <c r="BG428" s="48" t="n"/>
      <c r="BH428" s="48" t="n"/>
      <c r="BI428" s="48" t="n"/>
      <c r="BJ428" s="48" t="n"/>
      <c r="BK428" s="48" t="n"/>
      <c r="BL428" s="48" t="n"/>
      <c r="BM428" s="48" t="n"/>
      <c r="BN428" s="48" t="n"/>
    </row>
    <row r="429">
      <c r="A429" s="47" t="n"/>
      <c r="B429" s="48" t="n"/>
      <c r="C429" s="48" t="n"/>
      <c r="D429" s="49" t="n"/>
      <c r="E429" s="48" t="n"/>
      <c r="F429" s="48" t="n"/>
      <c r="G429" s="50" t="n"/>
      <c r="H429" s="51" t="n"/>
      <c r="I429" s="51" t="n"/>
      <c r="J429" s="48" t="n"/>
      <c r="K429" s="52" t="n"/>
      <c r="L429" s="48" t="n"/>
      <c r="M429" s="48" t="n"/>
      <c r="N429" s="48" t="n"/>
      <c r="O429" s="48" t="n"/>
      <c r="P429" s="48" t="n"/>
      <c r="Q429" s="48" t="n"/>
      <c r="R429" s="48" t="n"/>
      <c r="S429" s="48" t="n"/>
      <c r="T429" s="48" t="n"/>
      <c r="U429" s="48" t="n"/>
      <c r="V429" s="48" t="n"/>
      <c r="W429" s="48" t="n"/>
      <c r="X429" s="48" t="n"/>
      <c r="Y429" s="48" t="n"/>
      <c r="Z429" s="48" t="n"/>
      <c r="AA429" s="48" t="n"/>
      <c r="AB429" s="48" t="n"/>
      <c r="AC429" s="48" t="n"/>
      <c r="AD429" s="48" t="n"/>
      <c r="AE429" s="48" t="n"/>
      <c r="AF429" s="48" t="n"/>
      <c r="AG429" s="48" t="n"/>
      <c r="AH429" s="48" t="n"/>
      <c r="AI429" s="48" t="n"/>
      <c r="AJ429" s="48" t="n"/>
      <c r="AK429" s="48" t="n"/>
      <c r="AL429" s="53" t="n"/>
      <c r="AM429" s="52" t="n"/>
      <c r="AN429" s="48" t="n"/>
      <c r="AO429" s="48" t="n"/>
      <c r="AP429" s="48" t="n"/>
      <c r="AQ429" s="48" t="n"/>
      <c r="AR429" s="48" t="n"/>
      <c r="AS429" s="48" t="n"/>
      <c r="AT429" s="48" t="n"/>
      <c r="AU429" s="48" t="n"/>
      <c r="AV429" s="48" t="n"/>
      <c r="AW429" s="48" t="n"/>
      <c r="AX429" s="48" t="n"/>
      <c r="AY429" s="48" t="n"/>
      <c r="AZ429" s="48" t="n"/>
      <c r="BA429" s="48" t="n"/>
      <c r="BB429" s="48" t="n"/>
      <c r="BC429" s="48" t="n"/>
      <c r="BD429" s="48" t="n"/>
      <c r="BE429" s="48" t="n"/>
      <c r="BF429" s="48" t="n"/>
      <c r="BG429" s="48" t="n"/>
      <c r="BH429" s="48" t="n"/>
      <c r="BI429" s="48" t="n"/>
      <c r="BJ429" s="48" t="n"/>
      <c r="BK429" s="48" t="n"/>
      <c r="BL429" s="48" t="n"/>
      <c r="BM429" s="48" t="n"/>
      <c r="BN429" s="48" t="n"/>
    </row>
    <row r="430">
      <c r="A430" s="47" t="n"/>
      <c r="B430" s="48" t="n"/>
      <c r="C430" s="48" t="n"/>
      <c r="D430" s="49" t="n"/>
      <c r="E430" s="48" t="n"/>
      <c r="F430" s="48" t="n"/>
      <c r="G430" s="50" t="n"/>
      <c r="H430" s="51" t="n"/>
      <c r="I430" s="51" t="n"/>
      <c r="J430" s="48" t="n"/>
      <c r="K430" s="52" t="n"/>
      <c r="L430" s="48" t="n"/>
      <c r="M430" s="48" t="n"/>
      <c r="N430" s="48" t="n"/>
      <c r="O430" s="48" t="n"/>
      <c r="P430" s="48" t="n"/>
      <c r="Q430" s="48" t="n"/>
      <c r="R430" s="48" t="n"/>
      <c r="S430" s="48" t="n"/>
      <c r="T430" s="48" t="n"/>
      <c r="U430" s="48" t="n"/>
      <c r="V430" s="48" t="n"/>
      <c r="W430" s="48" t="n"/>
      <c r="X430" s="48" t="n"/>
      <c r="Y430" s="48" t="n"/>
      <c r="Z430" s="48" t="n"/>
      <c r="AA430" s="48" t="n"/>
      <c r="AB430" s="48" t="n"/>
      <c r="AC430" s="48" t="n"/>
      <c r="AD430" s="48" t="n"/>
      <c r="AE430" s="48" t="n"/>
      <c r="AF430" s="48" t="n"/>
      <c r="AG430" s="48" t="n"/>
      <c r="AH430" s="48" t="n"/>
      <c r="AI430" s="48" t="n"/>
      <c r="AJ430" s="48" t="n"/>
      <c r="AK430" s="48" t="n"/>
      <c r="AL430" s="53" t="n"/>
      <c r="AM430" s="52" t="n"/>
      <c r="AN430" s="48" t="n"/>
      <c r="AO430" s="48" t="n"/>
      <c r="AP430" s="48" t="n"/>
      <c r="AQ430" s="48" t="n"/>
      <c r="AR430" s="48" t="n"/>
      <c r="AS430" s="48" t="n"/>
      <c r="AT430" s="48" t="n"/>
      <c r="AU430" s="48" t="n"/>
      <c r="AV430" s="48" t="n"/>
      <c r="AW430" s="48" t="n"/>
      <c r="AX430" s="48" t="n"/>
      <c r="AY430" s="48" t="n"/>
      <c r="AZ430" s="48" t="n"/>
      <c r="BA430" s="48" t="n"/>
      <c r="BB430" s="48" t="n"/>
      <c r="BC430" s="48" t="n"/>
      <c r="BD430" s="48" t="n"/>
      <c r="BE430" s="48" t="n"/>
      <c r="BF430" s="48" t="n"/>
      <c r="BG430" s="48" t="n"/>
      <c r="BH430" s="48" t="n"/>
      <c r="BI430" s="48" t="n"/>
      <c r="BJ430" s="48" t="n"/>
      <c r="BK430" s="48" t="n"/>
      <c r="BL430" s="48" t="n"/>
      <c r="BM430" s="48" t="n"/>
      <c r="BN430" s="48" t="n"/>
    </row>
    <row r="431">
      <c r="A431" s="47" t="n"/>
      <c r="B431" s="48" t="n"/>
      <c r="C431" s="48" t="n"/>
      <c r="D431" s="49" t="n"/>
      <c r="E431" s="48" t="n"/>
      <c r="F431" s="48" t="n"/>
      <c r="G431" s="50" t="n"/>
      <c r="H431" s="51" t="n"/>
      <c r="I431" s="51" t="n"/>
      <c r="J431" s="48" t="n"/>
      <c r="K431" s="52" t="n"/>
      <c r="L431" s="48" t="n"/>
      <c r="M431" s="48" t="n"/>
      <c r="N431" s="48" t="n"/>
      <c r="O431" s="48" t="n"/>
      <c r="P431" s="48" t="n"/>
      <c r="Q431" s="48" t="n"/>
      <c r="R431" s="48" t="n"/>
      <c r="S431" s="48" t="n"/>
      <c r="T431" s="48" t="n"/>
      <c r="U431" s="48" t="n"/>
      <c r="V431" s="48" t="n"/>
      <c r="W431" s="48" t="n"/>
      <c r="X431" s="48" t="n"/>
      <c r="Y431" s="48" t="n"/>
      <c r="Z431" s="48" t="n"/>
      <c r="AA431" s="48" t="n"/>
      <c r="AB431" s="48" t="n"/>
      <c r="AC431" s="48" t="n"/>
      <c r="AD431" s="48" t="n"/>
      <c r="AE431" s="48" t="n"/>
      <c r="AF431" s="48" t="n"/>
      <c r="AG431" s="48" t="n"/>
      <c r="AH431" s="48" t="n"/>
      <c r="AI431" s="48" t="n"/>
      <c r="AJ431" s="48" t="n"/>
      <c r="AK431" s="48" t="n"/>
      <c r="AL431" s="53" t="n"/>
      <c r="AM431" s="52" t="n"/>
      <c r="AN431" s="48" t="n"/>
      <c r="AO431" s="48" t="n"/>
      <c r="AP431" s="48" t="n"/>
      <c r="AQ431" s="48" t="n"/>
      <c r="AR431" s="48" t="n"/>
      <c r="AS431" s="48" t="n"/>
      <c r="AT431" s="48" t="n"/>
      <c r="AU431" s="48" t="n"/>
      <c r="AV431" s="48" t="n"/>
      <c r="AW431" s="48" t="n"/>
      <c r="AX431" s="48" t="n"/>
      <c r="AY431" s="48" t="n"/>
      <c r="AZ431" s="48" t="n"/>
      <c r="BA431" s="48" t="n"/>
      <c r="BB431" s="48" t="n"/>
      <c r="BC431" s="48" t="n"/>
      <c r="BD431" s="48" t="n"/>
      <c r="BE431" s="48" t="n"/>
      <c r="BF431" s="48" t="n"/>
      <c r="BG431" s="48" t="n"/>
      <c r="BH431" s="48" t="n"/>
      <c r="BI431" s="48" t="n"/>
      <c r="BJ431" s="48" t="n"/>
      <c r="BK431" s="48" t="n"/>
      <c r="BL431" s="48" t="n"/>
      <c r="BM431" s="48" t="n"/>
      <c r="BN431" s="48" t="n"/>
    </row>
    <row r="432">
      <c r="A432" s="47" t="n"/>
      <c r="B432" s="48" t="n"/>
      <c r="C432" s="48" t="n"/>
      <c r="D432" s="49" t="n"/>
      <c r="E432" s="48" t="n"/>
      <c r="F432" s="48" t="n"/>
      <c r="G432" s="50" t="n"/>
      <c r="H432" s="51" t="n"/>
      <c r="I432" s="51" t="n"/>
      <c r="J432" s="48" t="n"/>
      <c r="K432" s="52" t="n"/>
      <c r="L432" s="48" t="n"/>
      <c r="M432" s="48" t="n"/>
      <c r="N432" s="48" t="n"/>
      <c r="O432" s="48" t="n"/>
      <c r="P432" s="48" t="n"/>
      <c r="Q432" s="48" t="n"/>
      <c r="R432" s="48" t="n"/>
      <c r="S432" s="48" t="n"/>
      <c r="T432" s="48" t="n"/>
      <c r="U432" s="48" t="n"/>
      <c r="V432" s="48" t="n"/>
      <c r="W432" s="48" t="n"/>
      <c r="X432" s="48" t="n"/>
      <c r="Y432" s="48" t="n"/>
      <c r="Z432" s="48" t="n"/>
      <c r="AA432" s="48" t="n"/>
      <c r="AB432" s="48" t="n"/>
      <c r="AC432" s="48" t="n"/>
      <c r="AD432" s="48" t="n"/>
      <c r="AE432" s="48" t="n"/>
      <c r="AF432" s="48" t="n"/>
      <c r="AG432" s="48" t="n"/>
      <c r="AH432" s="48" t="n"/>
      <c r="AI432" s="48" t="n"/>
      <c r="AJ432" s="48" t="n"/>
      <c r="AK432" s="48" t="n"/>
      <c r="AL432" s="53" t="n"/>
      <c r="AM432" s="52" t="n"/>
      <c r="AN432" s="48" t="n"/>
      <c r="AO432" s="48" t="n"/>
      <c r="AP432" s="48" t="n"/>
      <c r="AQ432" s="48" t="n"/>
      <c r="AR432" s="48" t="n"/>
      <c r="AS432" s="48" t="n"/>
      <c r="AT432" s="48" t="n"/>
      <c r="AU432" s="48" t="n"/>
      <c r="AV432" s="48" t="n"/>
      <c r="AW432" s="48" t="n"/>
      <c r="AX432" s="48" t="n"/>
      <c r="AY432" s="48" t="n"/>
      <c r="AZ432" s="48" t="n"/>
      <c r="BA432" s="48" t="n"/>
      <c r="BB432" s="48" t="n"/>
      <c r="BC432" s="48" t="n"/>
      <c r="BD432" s="48" t="n"/>
      <c r="BE432" s="48" t="n"/>
      <c r="BF432" s="48" t="n"/>
      <c r="BG432" s="48" t="n"/>
      <c r="BH432" s="48" t="n"/>
      <c r="BI432" s="48" t="n"/>
      <c r="BJ432" s="48" t="n"/>
      <c r="BK432" s="48" t="n"/>
      <c r="BL432" s="48" t="n"/>
      <c r="BM432" s="48" t="n"/>
      <c r="BN432" s="48" t="n"/>
    </row>
    <row r="433">
      <c r="A433" s="47" t="n"/>
      <c r="B433" s="48" t="n"/>
      <c r="C433" s="48" t="n"/>
      <c r="D433" s="49" t="n"/>
      <c r="E433" s="48" t="n"/>
      <c r="F433" s="48" t="n"/>
      <c r="G433" s="50" t="n"/>
      <c r="H433" s="51" t="n"/>
      <c r="I433" s="51" t="n"/>
      <c r="J433" s="48" t="n"/>
      <c r="K433" s="52" t="n"/>
      <c r="L433" s="48" t="n"/>
      <c r="M433" s="48" t="n"/>
      <c r="N433" s="48" t="n"/>
      <c r="O433" s="48" t="n"/>
      <c r="P433" s="48" t="n"/>
      <c r="Q433" s="48" t="n"/>
      <c r="R433" s="48" t="n"/>
      <c r="S433" s="48" t="n"/>
      <c r="T433" s="48" t="n"/>
      <c r="U433" s="48" t="n"/>
      <c r="V433" s="48" t="n"/>
      <c r="W433" s="48" t="n"/>
      <c r="X433" s="48" t="n"/>
      <c r="Y433" s="48" t="n"/>
      <c r="Z433" s="48" t="n"/>
      <c r="AA433" s="48" t="n"/>
      <c r="AB433" s="48" t="n"/>
      <c r="AC433" s="48" t="n"/>
      <c r="AD433" s="48" t="n"/>
      <c r="AE433" s="48" t="n"/>
      <c r="AF433" s="48" t="n"/>
      <c r="AG433" s="48" t="n"/>
      <c r="AH433" s="48" t="n"/>
      <c r="AI433" s="48" t="n"/>
      <c r="AJ433" s="48" t="n"/>
      <c r="AK433" s="48" t="n"/>
      <c r="AL433" s="53" t="n"/>
      <c r="AM433" s="52" t="n"/>
      <c r="AN433" s="48" t="n"/>
      <c r="AO433" s="48" t="n"/>
      <c r="AP433" s="48" t="n"/>
      <c r="AQ433" s="48" t="n"/>
      <c r="AR433" s="48" t="n"/>
      <c r="AS433" s="48" t="n"/>
      <c r="AT433" s="48" t="n"/>
      <c r="AU433" s="48" t="n"/>
      <c r="AV433" s="48" t="n"/>
      <c r="AW433" s="48" t="n"/>
      <c r="AX433" s="48" t="n"/>
      <c r="AY433" s="48" t="n"/>
      <c r="AZ433" s="48" t="n"/>
      <c r="BA433" s="48" t="n"/>
      <c r="BB433" s="48" t="n"/>
      <c r="BC433" s="48" t="n"/>
      <c r="BD433" s="48" t="n"/>
      <c r="BE433" s="48" t="n"/>
      <c r="BF433" s="48" t="n"/>
      <c r="BG433" s="48" t="n"/>
      <c r="BH433" s="48" t="n"/>
      <c r="BI433" s="48" t="n"/>
      <c r="BJ433" s="48" t="n"/>
      <c r="BK433" s="48" t="n"/>
      <c r="BL433" s="48" t="n"/>
      <c r="BM433" s="48" t="n"/>
      <c r="BN433" s="48" t="n"/>
    </row>
    <row r="434">
      <c r="A434" s="47" t="n"/>
      <c r="B434" s="48" t="n"/>
      <c r="C434" s="48" t="n"/>
      <c r="D434" s="49" t="n"/>
      <c r="E434" s="48" t="n"/>
      <c r="F434" s="48" t="n"/>
      <c r="G434" s="50" t="n"/>
      <c r="H434" s="51" t="n"/>
      <c r="I434" s="51" t="n"/>
      <c r="J434" s="48" t="n"/>
      <c r="K434" s="52" t="n"/>
      <c r="L434" s="48" t="n"/>
      <c r="M434" s="48" t="n"/>
      <c r="N434" s="48" t="n"/>
      <c r="O434" s="48" t="n"/>
      <c r="P434" s="48" t="n"/>
      <c r="Q434" s="48" t="n"/>
      <c r="R434" s="48" t="n"/>
      <c r="S434" s="48" t="n"/>
      <c r="T434" s="48" t="n"/>
      <c r="U434" s="48" t="n"/>
      <c r="V434" s="48" t="n"/>
      <c r="W434" s="48" t="n"/>
      <c r="X434" s="48" t="n"/>
      <c r="Y434" s="48" t="n"/>
      <c r="Z434" s="48" t="n"/>
      <c r="AA434" s="48" t="n"/>
      <c r="AB434" s="48" t="n"/>
      <c r="AC434" s="48" t="n"/>
      <c r="AD434" s="48" t="n"/>
      <c r="AE434" s="48" t="n"/>
      <c r="AF434" s="48" t="n"/>
      <c r="AG434" s="48" t="n"/>
      <c r="AH434" s="48" t="n"/>
      <c r="AI434" s="48" t="n"/>
      <c r="AJ434" s="48" t="n"/>
      <c r="AK434" s="48" t="n"/>
      <c r="AL434" s="53" t="n"/>
      <c r="AM434" s="52" t="n"/>
      <c r="AN434" s="48" t="n"/>
      <c r="AO434" s="48" t="n"/>
      <c r="AP434" s="48" t="n"/>
      <c r="AQ434" s="48" t="n"/>
      <c r="AR434" s="48" t="n"/>
      <c r="AS434" s="48" t="n"/>
      <c r="AT434" s="48" t="n"/>
      <c r="AU434" s="48" t="n"/>
      <c r="AV434" s="48" t="n"/>
      <c r="AW434" s="48" t="n"/>
      <c r="AX434" s="48" t="n"/>
      <c r="AY434" s="48" t="n"/>
      <c r="AZ434" s="48" t="n"/>
      <c r="BA434" s="48" t="n"/>
      <c r="BB434" s="48" t="n"/>
      <c r="BC434" s="48" t="n"/>
      <c r="BD434" s="48" t="n"/>
      <c r="BE434" s="48" t="n"/>
      <c r="BF434" s="48" t="n"/>
      <c r="BG434" s="48" t="n"/>
      <c r="BH434" s="48" t="n"/>
      <c r="BI434" s="48" t="n"/>
      <c r="BJ434" s="48" t="n"/>
      <c r="BK434" s="48" t="n"/>
      <c r="BL434" s="48" t="n"/>
      <c r="BM434" s="48" t="n"/>
      <c r="BN434" s="48" t="n"/>
    </row>
    <row r="435">
      <c r="A435" s="47" t="n"/>
      <c r="B435" s="48" t="n"/>
      <c r="C435" s="48" t="n"/>
      <c r="D435" s="49" t="n"/>
      <c r="E435" s="48" t="n"/>
      <c r="F435" s="48" t="n"/>
      <c r="G435" s="50" t="n"/>
      <c r="H435" s="51" t="n"/>
      <c r="I435" s="51" t="n"/>
      <c r="J435" s="48" t="n"/>
      <c r="K435" s="52" t="n"/>
      <c r="L435" s="48" t="n"/>
      <c r="M435" s="48" t="n"/>
      <c r="N435" s="48" t="n"/>
      <c r="O435" s="48" t="n"/>
      <c r="P435" s="48" t="n"/>
      <c r="Q435" s="48" t="n"/>
      <c r="R435" s="48" t="n"/>
      <c r="S435" s="48" t="n"/>
      <c r="T435" s="48" t="n"/>
      <c r="U435" s="48" t="n"/>
      <c r="V435" s="48" t="n"/>
      <c r="W435" s="48" t="n"/>
      <c r="X435" s="48" t="n"/>
      <c r="Y435" s="48" t="n"/>
      <c r="Z435" s="48" t="n"/>
      <c r="AA435" s="48" t="n"/>
      <c r="AB435" s="48" t="n"/>
      <c r="AC435" s="48" t="n"/>
      <c r="AD435" s="48" t="n"/>
      <c r="AE435" s="48" t="n"/>
      <c r="AF435" s="48" t="n"/>
      <c r="AG435" s="48" t="n"/>
      <c r="AH435" s="48" t="n"/>
      <c r="AI435" s="48" t="n"/>
      <c r="AJ435" s="48" t="n"/>
      <c r="AK435" s="48" t="n"/>
      <c r="AL435" s="53" t="n"/>
      <c r="AM435" s="52" t="n"/>
      <c r="AN435" s="48" t="n"/>
      <c r="AO435" s="48" t="n"/>
      <c r="AP435" s="48" t="n"/>
      <c r="AQ435" s="48" t="n"/>
      <c r="AR435" s="48" t="n"/>
      <c r="AS435" s="48" t="n"/>
      <c r="AT435" s="48" t="n"/>
      <c r="AU435" s="48" t="n"/>
      <c r="AV435" s="48" t="n"/>
      <c r="AW435" s="48" t="n"/>
      <c r="AX435" s="48" t="n"/>
      <c r="AY435" s="48" t="n"/>
      <c r="AZ435" s="48" t="n"/>
      <c r="BA435" s="48" t="n"/>
      <c r="BB435" s="48" t="n"/>
      <c r="BC435" s="48" t="n"/>
      <c r="BD435" s="48" t="n"/>
      <c r="BE435" s="48" t="n"/>
      <c r="BF435" s="48" t="n"/>
      <c r="BG435" s="48" t="n"/>
      <c r="BH435" s="48" t="n"/>
      <c r="BI435" s="48" t="n"/>
      <c r="BJ435" s="48" t="n"/>
      <c r="BK435" s="48" t="n"/>
      <c r="BL435" s="48" t="n"/>
      <c r="BM435" s="48" t="n"/>
      <c r="BN435" s="48" t="n"/>
    </row>
    <row r="436">
      <c r="A436" s="47" t="n"/>
      <c r="B436" s="48" t="n"/>
      <c r="C436" s="48" t="n"/>
      <c r="D436" s="49" t="n"/>
      <c r="E436" s="48" t="n"/>
      <c r="F436" s="48" t="n"/>
      <c r="G436" s="50" t="n"/>
      <c r="H436" s="51" t="n"/>
      <c r="I436" s="51" t="n"/>
      <c r="J436" s="48" t="n"/>
      <c r="K436" s="52" t="n"/>
      <c r="L436" s="48" t="n"/>
      <c r="M436" s="48" t="n"/>
      <c r="N436" s="48" t="n"/>
      <c r="O436" s="48" t="n"/>
      <c r="P436" s="48" t="n"/>
      <c r="Q436" s="48" t="n"/>
      <c r="R436" s="48" t="n"/>
      <c r="S436" s="48" t="n"/>
      <c r="T436" s="48" t="n"/>
      <c r="U436" s="48" t="n"/>
      <c r="V436" s="48" t="n"/>
      <c r="W436" s="48" t="n"/>
      <c r="X436" s="48" t="n"/>
      <c r="Y436" s="48" t="n"/>
      <c r="Z436" s="48" t="n"/>
      <c r="AA436" s="48" t="n"/>
      <c r="AB436" s="48" t="n"/>
      <c r="AC436" s="48" t="n"/>
      <c r="AD436" s="48" t="n"/>
      <c r="AE436" s="48" t="n"/>
      <c r="AF436" s="48" t="n"/>
      <c r="AG436" s="48" t="n"/>
      <c r="AH436" s="48" t="n"/>
      <c r="AI436" s="48" t="n"/>
      <c r="AJ436" s="48" t="n"/>
      <c r="AK436" s="48" t="n"/>
      <c r="AL436" s="53" t="n"/>
      <c r="AM436" s="52" t="n"/>
      <c r="AN436" s="48" t="n"/>
      <c r="AO436" s="48" t="n"/>
      <c r="AP436" s="48" t="n"/>
      <c r="AQ436" s="48" t="n"/>
      <c r="AR436" s="48" t="n"/>
      <c r="AS436" s="48" t="n"/>
      <c r="AT436" s="48" t="n"/>
      <c r="AU436" s="48" t="n"/>
      <c r="AV436" s="48" t="n"/>
      <c r="AW436" s="48" t="n"/>
      <c r="AX436" s="48" t="n"/>
      <c r="AY436" s="48" t="n"/>
      <c r="AZ436" s="48" t="n"/>
      <c r="BA436" s="48" t="n"/>
      <c r="BB436" s="48" t="n"/>
      <c r="BC436" s="48" t="n"/>
      <c r="BD436" s="48" t="n"/>
      <c r="BE436" s="48" t="n"/>
      <c r="BF436" s="48" t="n"/>
      <c r="BG436" s="48" t="n"/>
      <c r="BH436" s="48" t="n"/>
      <c r="BI436" s="48" t="n"/>
      <c r="BJ436" s="48" t="n"/>
      <c r="BK436" s="48" t="n"/>
      <c r="BL436" s="48" t="n"/>
      <c r="BM436" s="48" t="n"/>
      <c r="BN436" s="48" t="n"/>
    </row>
    <row r="437">
      <c r="A437" s="47" t="n"/>
      <c r="B437" s="48" t="n"/>
      <c r="C437" s="48" t="n"/>
      <c r="D437" s="49" t="n"/>
      <c r="E437" s="48" t="n"/>
      <c r="F437" s="48" t="n"/>
      <c r="G437" s="50" t="n"/>
      <c r="H437" s="51" t="n"/>
      <c r="I437" s="51" t="n"/>
      <c r="J437" s="48" t="n"/>
      <c r="K437" s="52" t="n"/>
      <c r="L437" s="48" t="n"/>
      <c r="M437" s="48" t="n"/>
      <c r="N437" s="48" t="n"/>
      <c r="O437" s="48" t="n"/>
      <c r="P437" s="48" t="n"/>
      <c r="Q437" s="48" t="n"/>
      <c r="R437" s="48" t="n"/>
      <c r="S437" s="48" t="n"/>
      <c r="T437" s="48" t="n"/>
      <c r="U437" s="48" t="n"/>
      <c r="V437" s="48" t="n"/>
      <c r="W437" s="48" t="n"/>
      <c r="X437" s="48" t="n"/>
      <c r="Y437" s="48" t="n"/>
      <c r="Z437" s="48" t="n"/>
      <c r="AA437" s="48" t="n"/>
      <c r="AB437" s="48" t="n"/>
      <c r="AC437" s="48" t="n"/>
      <c r="AD437" s="48" t="n"/>
      <c r="AE437" s="48" t="n"/>
      <c r="AF437" s="48" t="n"/>
      <c r="AG437" s="48" t="n"/>
      <c r="AH437" s="48" t="n"/>
      <c r="AI437" s="48" t="n"/>
      <c r="AJ437" s="48" t="n"/>
      <c r="AK437" s="48" t="n"/>
      <c r="AL437" s="53" t="n"/>
      <c r="AM437" s="52" t="n"/>
      <c r="AN437" s="48" t="n"/>
      <c r="AO437" s="48" t="n"/>
      <c r="AP437" s="48" t="n"/>
      <c r="AQ437" s="48" t="n"/>
      <c r="AR437" s="48" t="n"/>
      <c r="AS437" s="48" t="n"/>
      <c r="AT437" s="48" t="n"/>
      <c r="AU437" s="48" t="n"/>
      <c r="AV437" s="48" t="n"/>
      <c r="AW437" s="48" t="n"/>
      <c r="AX437" s="48" t="n"/>
      <c r="AY437" s="48" t="n"/>
      <c r="AZ437" s="48" t="n"/>
      <c r="BA437" s="48" t="n"/>
      <c r="BB437" s="48" t="n"/>
      <c r="BC437" s="48" t="n"/>
      <c r="BD437" s="48" t="n"/>
      <c r="BE437" s="48" t="n"/>
      <c r="BF437" s="48" t="n"/>
      <c r="BG437" s="48" t="n"/>
      <c r="BH437" s="48" t="n"/>
      <c r="BI437" s="48" t="n"/>
      <c r="BJ437" s="48" t="n"/>
      <c r="BK437" s="48" t="n"/>
      <c r="BL437" s="48" t="n"/>
      <c r="BM437" s="48" t="n"/>
      <c r="BN437" s="48" t="n"/>
    </row>
    <row r="438">
      <c r="A438" s="47" t="n"/>
      <c r="B438" s="48" t="n"/>
      <c r="C438" s="48" t="n"/>
      <c r="D438" s="49" t="n"/>
      <c r="E438" s="48" t="n"/>
      <c r="F438" s="48" t="n"/>
      <c r="G438" s="50" t="n"/>
      <c r="H438" s="51" t="n"/>
      <c r="I438" s="51" t="n"/>
      <c r="J438" s="48" t="n"/>
      <c r="K438" s="52" t="n"/>
      <c r="L438" s="48" t="n"/>
      <c r="M438" s="48" t="n"/>
      <c r="N438" s="48" t="n"/>
      <c r="O438" s="48" t="n"/>
      <c r="P438" s="48" t="n"/>
      <c r="Q438" s="48" t="n"/>
      <c r="R438" s="48" t="n"/>
      <c r="S438" s="48" t="n"/>
      <c r="T438" s="48" t="n"/>
      <c r="U438" s="48" t="n"/>
      <c r="V438" s="48" t="n"/>
      <c r="W438" s="48" t="n"/>
      <c r="X438" s="48" t="n"/>
      <c r="Y438" s="48" t="n"/>
      <c r="Z438" s="48" t="n"/>
      <c r="AA438" s="48" t="n"/>
      <c r="AB438" s="48" t="n"/>
      <c r="AC438" s="48" t="n"/>
      <c r="AD438" s="48" t="n"/>
      <c r="AE438" s="48" t="n"/>
      <c r="AF438" s="48" t="n"/>
      <c r="AG438" s="48" t="n"/>
      <c r="AH438" s="48" t="n"/>
      <c r="AI438" s="48" t="n"/>
      <c r="AJ438" s="48" t="n"/>
      <c r="AK438" s="48" t="n"/>
      <c r="AL438" s="53" t="n"/>
      <c r="AM438" s="52" t="n"/>
      <c r="AN438" s="48" t="n"/>
      <c r="AO438" s="48" t="n"/>
      <c r="AP438" s="48" t="n"/>
      <c r="AQ438" s="48" t="n"/>
      <c r="AR438" s="48" t="n"/>
      <c r="AS438" s="48" t="n"/>
      <c r="AT438" s="48" t="n"/>
      <c r="AU438" s="48" t="n"/>
      <c r="AV438" s="48" t="n"/>
      <c r="AW438" s="48" t="n"/>
      <c r="AX438" s="48" t="n"/>
      <c r="AY438" s="48" t="n"/>
      <c r="AZ438" s="48" t="n"/>
      <c r="BA438" s="48" t="n"/>
      <c r="BB438" s="48" t="n"/>
      <c r="BC438" s="48" t="n"/>
      <c r="BD438" s="48" t="n"/>
      <c r="BE438" s="48" t="n"/>
      <c r="BF438" s="48" t="n"/>
      <c r="BG438" s="48" t="n"/>
      <c r="BH438" s="48" t="n"/>
      <c r="BI438" s="48" t="n"/>
      <c r="BJ438" s="48" t="n"/>
      <c r="BK438" s="48" t="n"/>
      <c r="BL438" s="48" t="n"/>
      <c r="BM438" s="48" t="n"/>
      <c r="BN438" s="48" t="n"/>
    </row>
    <row r="439">
      <c r="A439" s="47" t="n"/>
      <c r="B439" s="48" t="n"/>
      <c r="C439" s="48" t="n"/>
      <c r="D439" s="49" t="n"/>
      <c r="E439" s="48" t="n"/>
      <c r="F439" s="48" t="n"/>
      <c r="G439" s="50" t="n"/>
      <c r="H439" s="51" t="n"/>
      <c r="I439" s="51" t="n"/>
      <c r="J439" s="48" t="n"/>
      <c r="K439" s="52" t="n"/>
      <c r="L439" s="48" t="n"/>
      <c r="M439" s="48" t="n"/>
      <c r="N439" s="48" t="n"/>
      <c r="O439" s="48" t="n"/>
      <c r="P439" s="48" t="n"/>
      <c r="Q439" s="48" t="n"/>
      <c r="R439" s="48" t="n"/>
      <c r="S439" s="48" t="n"/>
      <c r="T439" s="48" t="n"/>
      <c r="U439" s="48" t="n"/>
      <c r="V439" s="48" t="n"/>
      <c r="W439" s="48" t="n"/>
      <c r="X439" s="48" t="n"/>
      <c r="Y439" s="48" t="n"/>
      <c r="Z439" s="48" t="n"/>
      <c r="AA439" s="48" t="n"/>
      <c r="AB439" s="48" t="n"/>
      <c r="AC439" s="48" t="n"/>
      <c r="AD439" s="48" t="n"/>
      <c r="AE439" s="48" t="n"/>
      <c r="AF439" s="48" t="n"/>
      <c r="AG439" s="48" t="n"/>
      <c r="AH439" s="48" t="n"/>
      <c r="AI439" s="48" t="n"/>
      <c r="AJ439" s="48" t="n"/>
      <c r="AK439" s="48" t="n"/>
      <c r="AL439" s="53" t="n"/>
      <c r="AM439" s="52" t="n"/>
      <c r="AN439" s="48" t="n"/>
      <c r="AO439" s="48" t="n"/>
      <c r="AP439" s="48" t="n"/>
      <c r="AQ439" s="48" t="n"/>
      <c r="AR439" s="48" t="n"/>
      <c r="AS439" s="48" t="n"/>
      <c r="AT439" s="48" t="n"/>
      <c r="AU439" s="48" t="n"/>
      <c r="AV439" s="48" t="n"/>
      <c r="AW439" s="48" t="n"/>
      <c r="AX439" s="48" t="n"/>
      <c r="AY439" s="48" t="n"/>
      <c r="AZ439" s="48" t="n"/>
      <c r="BA439" s="48" t="n"/>
      <c r="BB439" s="48" t="n"/>
      <c r="BC439" s="48" t="n"/>
      <c r="BD439" s="48" t="n"/>
      <c r="BE439" s="48" t="n"/>
      <c r="BF439" s="48" t="n"/>
      <c r="BG439" s="48" t="n"/>
      <c r="BH439" s="48" t="n"/>
      <c r="BI439" s="48" t="n"/>
      <c r="BJ439" s="48" t="n"/>
      <c r="BK439" s="48" t="n"/>
      <c r="BL439" s="48" t="n"/>
      <c r="BM439" s="48" t="n"/>
      <c r="BN439" s="48" t="n"/>
    </row>
    <row r="440">
      <c r="A440" s="47" t="n"/>
      <c r="B440" s="48" t="n"/>
      <c r="C440" s="48" t="n"/>
      <c r="D440" s="49" t="n"/>
      <c r="E440" s="48" t="n"/>
      <c r="F440" s="48" t="n"/>
      <c r="G440" s="50" t="n"/>
      <c r="H440" s="51" t="n"/>
      <c r="I440" s="51" t="n"/>
      <c r="J440" s="48" t="n"/>
      <c r="K440" s="52" t="n"/>
      <c r="L440" s="48" t="n"/>
      <c r="M440" s="48" t="n"/>
      <c r="N440" s="48" t="n"/>
      <c r="O440" s="48" t="n"/>
      <c r="P440" s="48" t="n"/>
      <c r="Q440" s="48" t="n"/>
      <c r="R440" s="48" t="n"/>
      <c r="S440" s="48" t="n"/>
      <c r="T440" s="48" t="n"/>
      <c r="U440" s="48" t="n"/>
      <c r="V440" s="48" t="n"/>
      <c r="W440" s="48" t="n"/>
      <c r="X440" s="48" t="n"/>
      <c r="Y440" s="48" t="n"/>
      <c r="Z440" s="48" t="n"/>
      <c r="AA440" s="48" t="n"/>
      <c r="AB440" s="48" t="n"/>
      <c r="AC440" s="48" t="n"/>
      <c r="AD440" s="48" t="n"/>
      <c r="AE440" s="48" t="n"/>
      <c r="AF440" s="48" t="n"/>
      <c r="AG440" s="48" t="n"/>
      <c r="AH440" s="48" t="n"/>
      <c r="AI440" s="48" t="n"/>
      <c r="AJ440" s="48" t="n"/>
      <c r="AK440" s="48" t="n"/>
      <c r="AL440" s="53" t="n"/>
      <c r="AM440" s="52" t="n"/>
      <c r="AN440" s="48" t="n"/>
      <c r="AO440" s="48" t="n"/>
      <c r="AP440" s="48" t="n"/>
      <c r="AQ440" s="48" t="n"/>
      <c r="AR440" s="48" t="n"/>
      <c r="AS440" s="48" t="n"/>
      <c r="AT440" s="48" t="n"/>
      <c r="AU440" s="48" t="n"/>
      <c r="AV440" s="48" t="n"/>
      <c r="AW440" s="48" t="n"/>
      <c r="AX440" s="48" t="n"/>
      <c r="AY440" s="48" t="n"/>
      <c r="AZ440" s="48" t="n"/>
      <c r="BA440" s="48" t="n"/>
      <c r="BB440" s="48" t="n"/>
      <c r="BC440" s="48" t="n"/>
      <c r="BD440" s="48" t="n"/>
      <c r="BE440" s="48" t="n"/>
      <c r="BF440" s="48" t="n"/>
      <c r="BG440" s="48" t="n"/>
      <c r="BH440" s="48" t="n"/>
      <c r="BI440" s="48" t="n"/>
      <c r="BJ440" s="48" t="n"/>
      <c r="BK440" s="48" t="n"/>
      <c r="BL440" s="48" t="n"/>
      <c r="BM440" s="48" t="n"/>
      <c r="BN440" s="48" t="n"/>
    </row>
    <row r="441">
      <c r="A441" s="47" t="n"/>
      <c r="B441" s="48" t="n"/>
      <c r="C441" s="48" t="n"/>
      <c r="D441" s="49" t="n"/>
      <c r="E441" s="48" t="n"/>
      <c r="F441" s="48" t="n"/>
      <c r="G441" s="50" t="n"/>
      <c r="H441" s="51" t="n"/>
      <c r="I441" s="51" t="n"/>
      <c r="J441" s="48" t="n"/>
      <c r="K441" s="52" t="n"/>
      <c r="L441" s="48" t="n"/>
      <c r="M441" s="48" t="n"/>
      <c r="N441" s="48" t="n"/>
      <c r="O441" s="48" t="n"/>
      <c r="P441" s="48" t="n"/>
      <c r="Q441" s="48" t="n"/>
      <c r="R441" s="48" t="n"/>
      <c r="S441" s="48" t="n"/>
      <c r="T441" s="48" t="n"/>
      <c r="U441" s="48" t="n"/>
      <c r="V441" s="48" t="n"/>
      <c r="W441" s="48" t="n"/>
      <c r="X441" s="48" t="n"/>
      <c r="Y441" s="48" t="n"/>
      <c r="Z441" s="48" t="n"/>
      <c r="AA441" s="48" t="n"/>
      <c r="AB441" s="48" t="n"/>
      <c r="AC441" s="48" t="n"/>
      <c r="AD441" s="48" t="n"/>
      <c r="AE441" s="48" t="n"/>
      <c r="AF441" s="48" t="n"/>
      <c r="AG441" s="48" t="n"/>
      <c r="AH441" s="48" t="n"/>
      <c r="AI441" s="48" t="n"/>
      <c r="AJ441" s="48" t="n"/>
      <c r="AK441" s="48" t="n"/>
      <c r="AL441" s="53" t="n"/>
      <c r="AM441" s="52" t="n"/>
      <c r="AN441" s="48" t="n"/>
      <c r="AO441" s="48" t="n"/>
      <c r="AP441" s="48" t="n"/>
      <c r="AQ441" s="48" t="n"/>
      <c r="AR441" s="48" t="n"/>
      <c r="AS441" s="48" t="n"/>
      <c r="AT441" s="48" t="n"/>
      <c r="AU441" s="48" t="n"/>
      <c r="AV441" s="48" t="n"/>
      <c r="AW441" s="48" t="n"/>
      <c r="AX441" s="48" t="n"/>
      <c r="AY441" s="48" t="n"/>
      <c r="AZ441" s="48" t="n"/>
      <c r="BA441" s="48" t="n"/>
      <c r="BB441" s="48" t="n"/>
      <c r="BC441" s="48" t="n"/>
      <c r="BD441" s="48" t="n"/>
      <c r="BE441" s="48" t="n"/>
      <c r="BF441" s="48" t="n"/>
      <c r="BG441" s="48" t="n"/>
      <c r="BH441" s="48" t="n"/>
      <c r="BI441" s="48" t="n"/>
      <c r="BJ441" s="48" t="n"/>
      <c r="BK441" s="48" t="n"/>
      <c r="BL441" s="48" t="n"/>
      <c r="BM441" s="48" t="n"/>
      <c r="BN441" s="48" t="n"/>
    </row>
    <row r="442">
      <c r="A442" s="47" t="n"/>
      <c r="B442" s="48" t="n"/>
      <c r="C442" s="48" t="n"/>
      <c r="D442" s="49" t="n"/>
      <c r="E442" s="48" t="n"/>
      <c r="F442" s="48" t="n"/>
      <c r="G442" s="50" t="n"/>
      <c r="H442" s="51" t="n"/>
      <c r="I442" s="51" t="n"/>
      <c r="J442" s="48" t="n"/>
      <c r="K442" s="52" t="n"/>
      <c r="L442" s="48" t="n"/>
      <c r="M442" s="48" t="n"/>
      <c r="N442" s="48" t="n"/>
      <c r="O442" s="48" t="n"/>
      <c r="P442" s="48" t="n"/>
      <c r="Q442" s="48" t="n"/>
      <c r="R442" s="48" t="n"/>
      <c r="S442" s="48" t="n"/>
      <c r="T442" s="48" t="n"/>
      <c r="U442" s="48" t="n"/>
      <c r="V442" s="48" t="n"/>
      <c r="W442" s="48" t="n"/>
      <c r="X442" s="48" t="n"/>
      <c r="Y442" s="48" t="n"/>
      <c r="Z442" s="48" t="n"/>
      <c r="AA442" s="48" t="n"/>
      <c r="AB442" s="48" t="n"/>
      <c r="AC442" s="48" t="n"/>
      <c r="AD442" s="48" t="n"/>
      <c r="AE442" s="48" t="n"/>
      <c r="AF442" s="48" t="n"/>
      <c r="AG442" s="48" t="n"/>
      <c r="AH442" s="48" t="n"/>
      <c r="AI442" s="48" t="n"/>
      <c r="AJ442" s="48" t="n"/>
      <c r="AK442" s="48" t="n"/>
      <c r="AL442" s="53" t="n"/>
      <c r="AM442" s="52" t="n"/>
      <c r="AN442" s="48" t="n"/>
      <c r="AO442" s="48" t="n"/>
      <c r="AP442" s="48" t="n"/>
      <c r="AQ442" s="48" t="n"/>
      <c r="AR442" s="48" t="n"/>
      <c r="AS442" s="48" t="n"/>
      <c r="AT442" s="48" t="n"/>
      <c r="AU442" s="48" t="n"/>
      <c r="AV442" s="48" t="n"/>
      <c r="AW442" s="48" t="n"/>
      <c r="AX442" s="48" t="n"/>
      <c r="AY442" s="48" t="n"/>
      <c r="AZ442" s="48" t="n"/>
      <c r="BA442" s="48" t="n"/>
      <c r="BB442" s="48" t="n"/>
      <c r="BC442" s="48" t="n"/>
      <c r="BD442" s="48" t="n"/>
      <c r="BE442" s="48" t="n"/>
      <c r="BF442" s="48" t="n"/>
      <c r="BG442" s="48" t="n"/>
      <c r="BH442" s="48" t="n"/>
      <c r="BI442" s="48" t="n"/>
      <c r="BJ442" s="48" t="n"/>
      <c r="BK442" s="48" t="n"/>
      <c r="BL442" s="48" t="n"/>
      <c r="BM442" s="48" t="n"/>
      <c r="BN442" s="48" t="n"/>
    </row>
    <row r="443">
      <c r="A443" s="47" t="n"/>
      <c r="B443" s="48" t="n"/>
      <c r="C443" s="48" t="n"/>
      <c r="D443" s="49" t="n"/>
      <c r="E443" s="48" t="n"/>
      <c r="F443" s="48" t="n"/>
      <c r="G443" s="50" t="n"/>
      <c r="H443" s="51" t="n"/>
      <c r="I443" s="51" t="n"/>
      <c r="J443" s="48" t="n"/>
      <c r="K443" s="52" t="n"/>
      <c r="L443" s="48" t="n"/>
      <c r="M443" s="48" t="n"/>
      <c r="N443" s="48" t="n"/>
      <c r="O443" s="48" t="n"/>
      <c r="P443" s="48" t="n"/>
      <c r="Q443" s="48" t="n"/>
      <c r="R443" s="48" t="n"/>
      <c r="S443" s="48" t="n"/>
      <c r="T443" s="48" t="n"/>
      <c r="U443" s="48" t="n"/>
      <c r="V443" s="48" t="n"/>
      <c r="W443" s="48" t="n"/>
      <c r="X443" s="48" t="n"/>
      <c r="Y443" s="48" t="n"/>
      <c r="Z443" s="48" t="n"/>
      <c r="AA443" s="48" t="n"/>
      <c r="AB443" s="48" t="n"/>
      <c r="AC443" s="48" t="n"/>
      <c r="AD443" s="48" t="n"/>
      <c r="AE443" s="48" t="n"/>
      <c r="AF443" s="48" t="n"/>
      <c r="AG443" s="48" t="n"/>
      <c r="AH443" s="48" t="n"/>
      <c r="AI443" s="48" t="n"/>
      <c r="AJ443" s="48" t="n"/>
      <c r="AK443" s="48" t="n"/>
      <c r="AL443" s="53" t="n"/>
      <c r="AM443" s="52" t="n"/>
      <c r="AN443" s="48" t="n"/>
      <c r="AO443" s="48" t="n"/>
      <c r="AP443" s="48" t="n"/>
      <c r="AQ443" s="48" t="n"/>
      <c r="AR443" s="48" t="n"/>
      <c r="AS443" s="48" t="n"/>
      <c r="AT443" s="48" t="n"/>
      <c r="AU443" s="48" t="n"/>
      <c r="AV443" s="48" t="n"/>
      <c r="AW443" s="48" t="n"/>
      <c r="AX443" s="48" t="n"/>
      <c r="AY443" s="48" t="n"/>
      <c r="AZ443" s="48" t="n"/>
      <c r="BA443" s="48" t="n"/>
      <c r="BB443" s="48" t="n"/>
      <c r="BC443" s="48" t="n"/>
      <c r="BD443" s="48" t="n"/>
      <c r="BE443" s="48" t="n"/>
      <c r="BF443" s="48" t="n"/>
      <c r="BG443" s="48" t="n"/>
      <c r="BH443" s="48" t="n"/>
      <c r="BI443" s="48" t="n"/>
      <c r="BJ443" s="48" t="n"/>
      <c r="BK443" s="48" t="n"/>
      <c r="BL443" s="48" t="n"/>
      <c r="BM443" s="48" t="n"/>
      <c r="BN443" s="48" t="n"/>
    </row>
    <row r="444">
      <c r="A444" s="47" t="n"/>
      <c r="B444" s="48" t="n"/>
      <c r="C444" s="48" t="n"/>
      <c r="D444" s="49" t="n"/>
      <c r="E444" s="48" t="n"/>
      <c r="F444" s="48" t="n"/>
      <c r="G444" s="50" t="n"/>
      <c r="H444" s="51" t="n"/>
      <c r="I444" s="51" t="n"/>
      <c r="J444" s="48" t="n"/>
      <c r="K444" s="52" t="n"/>
      <c r="L444" s="48" t="n"/>
      <c r="M444" s="48" t="n"/>
      <c r="N444" s="48" t="n"/>
      <c r="O444" s="48" t="n"/>
      <c r="P444" s="48" t="n"/>
      <c r="Q444" s="48" t="n"/>
      <c r="R444" s="48" t="n"/>
      <c r="S444" s="48" t="n"/>
      <c r="T444" s="48" t="n"/>
      <c r="U444" s="48" t="n"/>
      <c r="V444" s="48" t="n"/>
      <c r="W444" s="48" t="n"/>
      <c r="X444" s="48" t="n"/>
      <c r="Y444" s="48" t="n"/>
      <c r="Z444" s="48" t="n"/>
      <c r="AA444" s="48" t="n"/>
      <c r="AB444" s="48" t="n"/>
      <c r="AC444" s="48" t="n"/>
      <c r="AD444" s="48" t="n"/>
      <c r="AE444" s="48" t="n"/>
      <c r="AF444" s="48" t="n"/>
      <c r="AG444" s="48" t="n"/>
      <c r="AH444" s="48" t="n"/>
      <c r="AI444" s="48" t="n"/>
      <c r="AJ444" s="48" t="n"/>
      <c r="AK444" s="48" t="n"/>
      <c r="AL444" s="53" t="n"/>
      <c r="AM444" s="52" t="n"/>
      <c r="AN444" s="48" t="n"/>
      <c r="AO444" s="48" t="n"/>
      <c r="AP444" s="48" t="n"/>
      <c r="AQ444" s="48" t="n"/>
      <c r="AR444" s="48" t="n"/>
      <c r="AS444" s="48" t="n"/>
      <c r="AT444" s="48" t="n"/>
      <c r="AU444" s="48" t="n"/>
      <c r="AV444" s="48" t="n"/>
      <c r="AW444" s="48" t="n"/>
      <c r="AX444" s="48" t="n"/>
      <c r="AY444" s="48" t="n"/>
      <c r="AZ444" s="48" t="n"/>
      <c r="BA444" s="48" t="n"/>
      <c r="BB444" s="48" t="n"/>
      <c r="BC444" s="48" t="n"/>
      <c r="BD444" s="48" t="n"/>
      <c r="BE444" s="48" t="n"/>
      <c r="BF444" s="48" t="n"/>
      <c r="BG444" s="48" t="n"/>
      <c r="BH444" s="48" t="n"/>
      <c r="BI444" s="48" t="n"/>
      <c r="BJ444" s="48" t="n"/>
      <c r="BK444" s="48" t="n"/>
      <c r="BL444" s="48" t="n"/>
      <c r="BM444" s="48" t="n"/>
      <c r="BN444" s="48" t="n"/>
    </row>
    <row r="445">
      <c r="A445" s="47" t="n"/>
      <c r="B445" s="48" t="n"/>
      <c r="C445" s="48" t="n"/>
      <c r="D445" s="49" t="n"/>
      <c r="E445" s="48" t="n"/>
      <c r="F445" s="48" t="n"/>
      <c r="G445" s="50" t="n"/>
      <c r="H445" s="51" t="n"/>
      <c r="I445" s="51" t="n"/>
      <c r="J445" s="48" t="n"/>
      <c r="K445" s="52" t="n"/>
      <c r="L445" s="48" t="n"/>
      <c r="M445" s="48" t="n"/>
      <c r="N445" s="48" t="n"/>
      <c r="O445" s="48" t="n"/>
      <c r="P445" s="48" t="n"/>
      <c r="Q445" s="48" t="n"/>
      <c r="R445" s="48" t="n"/>
      <c r="S445" s="48" t="n"/>
      <c r="T445" s="48" t="n"/>
      <c r="U445" s="48" t="n"/>
      <c r="V445" s="48" t="n"/>
      <c r="W445" s="48" t="n"/>
      <c r="X445" s="48" t="n"/>
      <c r="Y445" s="48" t="n"/>
      <c r="Z445" s="48" t="n"/>
      <c r="AA445" s="48" t="n"/>
      <c r="AB445" s="48" t="n"/>
      <c r="AC445" s="48" t="n"/>
      <c r="AD445" s="48" t="n"/>
      <c r="AE445" s="48" t="n"/>
      <c r="AF445" s="48" t="n"/>
      <c r="AG445" s="48" t="n"/>
      <c r="AH445" s="48" t="n"/>
      <c r="AI445" s="48" t="n"/>
      <c r="AJ445" s="48" t="n"/>
      <c r="AK445" s="48" t="n"/>
      <c r="AL445" s="53" t="n"/>
      <c r="AM445" s="52" t="n"/>
      <c r="AN445" s="48" t="n"/>
      <c r="AO445" s="48" t="n"/>
      <c r="AP445" s="48" t="n"/>
      <c r="AQ445" s="48" t="n"/>
      <c r="AR445" s="48" t="n"/>
      <c r="AS445" s="48" t="n"/>
      <c r="AT445" s="48" t="n"/>
      <c r="AU445" s="48" t="n"/>
      <c r="AV445" s="48" t="n"/>
      <c r="AW445" s="48" t="n"/>
      <c r="AX445" s="48" t="n"/>
      <c r="AY445" s="48" t="n"/>
      <c r="AZ445" s="48" t="n"/>
      <c r="BA445" s="48" t="n"/>
      <c r="BB445" s="48" t="n"/>
      <c r="BC445" s="48" t="n"/>
      <c r="BD445" s="48" t="n"/>
      <c r="BE445" s="48" t="n"/>
      <c r="BF445" s="48" t="n"/>
      <c r="BG445" s="48" t="n"/>
      <c r="BH445" s="48" t="n"/>
      <c r="BI445" s="48" t="n"/>
      <c r="BJ445" s="48" t="n"/>
      <c r="BK445" s="48" t="n"/>
      <c r="BL445" s="48" t="n"/>
      <c r="BM445" s="48" t="n"/>
      <c r="BN445" s="48" t="n"/>
    </row>
    <row r="446">
      <c r="A446" s="47" t="n"/>
      <c r="B446" s="48" t="n"/>
      <c r="C446" s="48" t="n"/>
      <c r="D446" s="49" t="n"/>
      <c r="E446" s="48" t="n"/>
      <c r="F446" s="48" t="n"/>
      <c r="G446" s="50" t="n"/>
      <c r="H446" s="51" t="n"/>
      <c r="I446" s="51" t="n"/>
      <c r="J446" s="48" t="n"/>
      <c r="K446" s="52" t="n"/>
      <c r="L446" s="48" t="n"/>
      <c r="M446" s="48" t="n"/>
      <c r="N446" s="48" t="n"/>
      <c r="O446" s="48" t="n"/>
      <c r="P446" s="48" t="n"/>
      <c r="Q446" s="48" t="n"/>
      <c r="R446" s="48" t="n"/>
      <c r="S446" s="48" t="n"/>
      <c r="T446" s="48" t="n"/>
      <c r="U446" s="48" t="n"/>
      <c r="V446" s="48" t="n"/>
      <c r="W446" s="48" t="n"/>
      <c r="X446" s="48" t="n"/>
      <c r="Y446" s="48" t="n"/>
      <c r="Z446" s="48" t="n"/>
      <c r="AA446" s="48" t="n"/>
      <c r="AB446" s="48" t="n"/>
      <c r="AC446" s="48" t="n"/>
      <c r="AD446" s="48" t="n"/>
      <c r="AE446" s="48" t="n"/>
      <c r="AF446" s="48" t="n"/>
      <c r="AG446" s="48" t="n"/>
      <c r="AH446" s="48" t="n"/>
      <c r="AI446" s="48" t="n"/>
      <c r="AJ446" s="48" t="n"/>
      <c r="AK446" s="48" t="n"/>
      <c r="AL446" s="53" t="n"/>
      <c r="AM446" s="52" t="n"/>
      <c r="AN446" s="48" t="n"/>
      <c r="AO446" s="48" t="n"/>
      <c r="AP446" s="48" t="n"/>
      <c r="AQ446" s="48" t="n"/>
      <c r="AR446" s="48" t="n"/>
      <c r="AS446" s="48" t="n"/>
      <c r="AT446" s="48" t="n"/>
      <c r="AU446" s="48" t="n"/>
      <c r="AV446" s="48" t="n"/>
      <c r="AW446" s="48" t="n"/>
      <c r="AX446" s="48" t="n"/>
      <c r="AY446" s="48" t="n"/>
      <c r="AZ446" s="48" t="n"/>
      <c r="BA446" s="48" t="n"/>
      <c r="BB446" s="48" t="n"/>
      <c r="BC446" s="48" t="n"/>
      <c r="BD446" s="48" t="n"/>
      <c r="BE446" s="48" t="n"/>
      <c r="BF446" s="48" t="n"/>
      <c r="BG446" s="48" t="n"/>
      <c r="BH446" s="48" t="n"/>
      <c r="BI446" s="48" t="n"/>
      <c r="BJ446" s="48" t="n"/>
      <c r="BK446" s="48" t="n"/>
      <c r="BL446" s="48" t="n"/>
      <c r="BM446" s="48" t="n"/>
      <c r="BN446" s="48" t="n"/>
    </row>
    <row r="447">
      <c r="A447" s="47" t="n"/>
      <c r="B447" s="48" t="n"/>
      <c r="C447" s="48" t="n"/>
      <c r="D447" s="49" t="n"/>
      <c r="E447" s="48" t="n"/>
      <c r="F447" s="48" t="n"/>
      <c r="G447" s="50" t="n"/>
      <c r="H447" s="51" t="n"/>
      <c r="I447" s="51" t="n"/>
      <c r="J447" s="48" t="n"/>
      <c r="K447" s="52" t="n"/>
      <c r="L447" s="48" t="n"/>
      <c r="M447" s="48" t="n"/>
      <c r="N447" s="48" t="n"/>
      <c r="O447" s="48" t="n"/>
      <c r="P447" s="48" t="n"/>
      <c r="Q447" s="48" t="n"/>
      <c r="R447" s="48" t="n"/>
      <c r="S447" s="48" t="n"/>
      <c r="T447" s="48" t="n"/>
      <c r="U447" s="48" t="n"/>
      <c r="V447" s="48" t="n"/>
      <c r="W447" s="48" t="n"/>
      <c r="X447" s="48" t="n"/>
      <c r="Y447" s="48" t="n"/>
      <c r="Z447" s="48" t="n"/>
      <c r="AA447" s="48" t="n"/>
      <c r="AB447" s="48" t="n"/>
      <c r="AC447" s="48" t="n"/>
      <c r="AD447" s="48" t="n"/>
      <c r="AE447" s="48" t="n"/>
      <c r="AF447" s="48" t="n"/>
      <c r="AG447" s="48" t="n"/>
      <c r="AH447" s="48" t="n"/>
      <c r="AI447" s="48" t="n"/>
      <c r="AJ447" s="48" t="n"/>
      <c r="AK447" s="48" t="n"/>
      <c r="AL447" s="53" t="n"/>
      <c r="AM447" s="52" t="n"/>
      <c r="AN447" s="48" t="n"/>
      <c r="AO447" s="48" t="n"/>
      <c r="AP447" s="48" t="n"/>
      <c r="AQ447" s="48" t="n"/>
      <c r="AR447" s="48" t="n"/>
      <c r="AS447" s="48" t="n"/>
      <c r="AT447" s="48" t="n"/>
      <c r="AU447" s="48" t="n"/>
      <c r="AV447" s="48" t="n"/>
      <c r="AW447" s="48" t="n"/>
      <c r="AX447" s="48" t="n"/>
      <c r="AY447" s="48" t="n"/>
      <c r="AZ447" s="48" t="n"/>
      <c r="BA447" s="48" t="n"/>
      <c r="BB447" s="48" t="n"/>
      <c r="BC447" s="48" t="n"/>
      <c r="BD447" s="48" t="n"/>
      <c r="BE447" s="48" t="n"/>
      <c r="BF447" s="48" t="n"/>
      <c r="BG447" s="48" t="n"/>
      <c r="BH447" s="48" t="n"/>
      <c r="BI447" s="48" t="n"/>
      <c r="BJ447" s="48" t="n"/>
      <c r="BK447" s="48" t="n"/>
      <c r="BL447" s="48" t="n"/>
      <c r="BM447" s="48" t="n"/>
      <c r="BN447" s="48" t="n"/>
    </row>
    <row r="448">
      <c r="A448" s="47" t="n"/>
      <c r="B448" s="48" t="n"/>
      <c r="C448" s="48" t="n"/>
      <c r="D448" s="49" t="n"/>
      <c r="E448" s="48" t="n"/>
      <c r="F448" s="48" t="n"/>
      <c r="G448" s="50" t="n"/>
      <c r="H448" s="51" t="n"/>
      <c r="I448" s="51" t="n"/>
      <c r="J448" s="48" t="n"/>
      <c r="K448" s="52" t="n"/>
      <c r="L448" s="48" t="n"/>
      <c r="M448" s="48" t="n"/>
      <c r="N448" s="48" t="n"/>
      <c r="O448" s="48" t="n"/>
      <c r="P448" s="48" t="n"/>
      <c r="Q448" s="48" t="n"/>
      <c r="R448" s="48" t="n"/>
      <c r="S448" s="48" t="n"/>
      <c r="T448" s="48" t="n"/>
      <c r="U448" s="48" t="n"/>
      <c r="V448" s="48" t="n"/>
      <c r="W448" s="48" t="n"/>
      <c r="X448" s="48" t="n"/>
      <c r="Y448" s="48" t="n"/>
      <c r="Z448" s="48" t="n"/>
      <c r="AA448" s="48" t="n"/>
      <c r="AB448" s="48" t="n"/>
      <c r="AC448" s="48" t="n"/>
      <c r="AD448" s="48" t="n"/>
      <c r="AE448" s="48" t="n"/>
      <c r="AF448" s="48" t="n"/>
      <c r="AG448" s="48" t="n"/>
      <c r="AH448" s="48" t="n"/>
      <c r="AI448" s="48" t="n"/>
      <c r="AJ448" s="48" t="n"/>
      <c r="AK448" s="48" t="n"/>
      <c r="AL448" s="53" t="n"/>
      <c r="AM448" s="52" t="n"/>
      <c r="AN448" s="48" t="n"/>
      <c r="AO448" s="48" t="n"/>
      <c r="AP448" s="48" t="n"/>
      <c r="AQ448" s="48" t="n"/>
      <c r="AR448" s="48" t="n"/>
      <c r="AS448" s="48" t="n"/>
      <c r="AT448" s="48" t="n"/>
      <c r="AU448" s="48" t="n"/>
      <c r="AV448" s="48" t="n"/>
      <c r="AW448" s="48" t="n"/>
      <c r="AX448" s="48" t="n"/>
      <c r="AY448" s="48" t="n"/>
      <c r="AZ448" s="48" t="n"/>
      <c r="BA448" s="48" t="n"/>
      <c r="BB448" s="48" t="n"/>
      <c r="BC448" s="48" t="n"/>
      <c r="BD448" s="48" t="n"/>
      <c r="BE448" s="48" t="n"/>
      <c r="BF448" s="48" t="n"/>
      <c r="BG448" s="48" t="n"/>
      <c r="BH448" s="48" t="n"/>
      <c r="BI448" s="48" t="n"/>
      <c r="BJ448" s="48" t="n"/>
      <c r="BK448" s="48" t="n"/>
      <c r="BL448" s="48" t="n"/>
      <c r="BM448" s="48" t="n"/>
      <c r="BN448" s="48" t="n"/>
    </row>
    <row r="449">
      <c r="A449" s="47" t="n"/>
      <c r="B449" s="48" t="n"/>
      <c r="C449" s="48" t="n"/>
      <c r="D449" s="49" t="n"/>
      <c r="E449" s="48" t="n"/>
      <c r="F449" s="48" t="n"/>
      <c r="G449" s="50" t="n"/>
      <c r="H449" s="51" t="n"/>
      <c r="I449" s="51" t="n"/>
      <c r="J449" s="48" t="n"/>
      <c r="K449" s="52" t="n"/>
      <c r="L449" s="48" t="n"/>
      <c r="M449" s="48" t="n"/>
      <c r="N449" s="48" t="n"/>
      <c r="O449" s="48" t="n"/>
      <c r="P449" s="48" t="n"/>
      <c r="Q449" s="48" t="n"/>
      <c r="R449" s="48" t="n"/>
      <c r="S449" s="48" t="n"/>
      <c r="T449" s="48" t="n"/>
      <c r="U449" s="48" t="n"/>
      <c r="V449" s="48" t="n"/>
      <c r="W449" s="48" t="n"/>
      <c r="X449" s="48" t="n"/>
      <c r="Y449" s="48" t="n"/>
      <c r="Z449" s="48" t="n"/>
      <c r="AA449" s="48" t="n"/>
      <c r="AB449" s="48" t="n"/>
      <c r="AC449" s="48" t="n"/>
      <c r="AD449" s="48" t="n"/>
      <c r="AE449" s="48" t="n"/>
      <c r="AF449" s="48" t="n"/>
      <c r="AG449" s="48" t="n"/>
      <c r="AH449" s="48" t="n"/>
      <c r="AI449" s="48" t="n"/>
      <c r="AJ449" s="48" t="n"/>
      <c r="AK449" s="48" t="n"/>
      <c r="AL449" s="53" t="n"/>
      <c r="AM449" s="52" t="n"/>
      <c r="AN449" s="48" t="n"/>
      <c r="AO449" s="48" t="n"/>
      <c r="AP449" s="48" t="n"/>
      <c r="AQ449" s="48" t="n"/>
      <c r="AR449" s="48" t="n"/>
      <c r="AS449" s="48" t="n"/>
      <c r="AT449" s="48" t="n"/>
      <c r="AU449" s="48" t="n"/>
      <c r="AV449" s="48" t="n"/>
      <c r="AW449" s="48" t="n"/>
      <c r="AX449" s="48" t="n"/>
      <c r="AY449" s="48" t="n"/>
      <c r="AZ449" s="48" t="n"/>
      <c r="BA449" s="48" t="n"/>
      <c r="BB449" s="48" t="n"/>
      <c r="BC449" s="48" t="n"/>
      <c r="BD449" s="48" t="n"/>
      <c r="BE449" s="48" t="n"/>
      <c r="BF449" s="48" t="n"/>
      <c r="BG449" s="48" t="n"/>
      <c r="BH449" s="48" t="n"/>
      <c r="BI449" s="48" t="n"/>
      <c r="BJ449" s="48" t="n"/>
      <c r="BK449" s="48" t="n"/>
      <c r="BL449" s="48" t="n"/>
      <c r="BM449" s="48" t="n"/>
      <c r="BN449" s="48" t="n"/>
    </row>
    <row r="450">
      <c r="A450" s="47" t="n"/>
      <c r="B450" s="48" t="n"/>
      <c r="C450" s="48" t="n"/>
      <c r="D450" s="49" t="n"/>
      <c r="E450" s="48" t="n"/>
      <c r="F450" s="48" t="n"/>
      <c r="G450" s="50" t="n"/>
      <c r="H450" s="51" t="n"/>
      <c r="I450" s="51" t="n"/>
      <c r="J450" s="48" t="n"/>
      <c r="K450" s="52" t="n"/>
      <c r="L450" s="48" t="n"/>
      <c r="M450" s="48" t="n"/>
      <c r="N450" s="48" t="n"/>
      <c r="O450" s="48" t="n"/>
      <c r="P450" s="48" t="n"/>
      <c r="Q450" s="48" t="n"/>
      <c r="R450" s="48" t="n"/>
      <c r="S450" s="48" t="n"/>
      <c r="T450" s="48" t="n"/>
      <c r="U450" s="48" t="n"/>
      <c r="V450" s="48" t="n"/>
      <c r="W450" s="48" t="n"/>
      <c r="X450" s="48" t="n"/>
      <c r="Y450" s="48" t="n"/>
      <c r="Z450" s="48" t="n"/>
      <c r="AA450" s="48" t="n"/>
      <c r="AB450" s="48" t="n"/>
      <c r="AC450" s="48" t="n"/>
      <c r="AD450" s="48" t="n"/>
      <c r="AE450" s="48" t="n"/>
      <c r="AF450" s="48" t="n"/>
      <c r="AG450" s="48" t="n"/>
      <c r="AH450" s="48" t="n"/>
      <c r="AI450" s="48" t="n"/>
      <c r="AJ450" s="48" t="n"/>
      <c r="AK450" s="48" t="n"/>
      <c r="AL450" s="53" t="n"/>
      <c r="AM450" s="52" t="n"/>
      <c r="AN450" s="48" t="n"/>
      <c r="AO450" s="48" t="n"/>
      <c r="AP450" s="48" t="n"/>
      <c r="AQ450" s="48" t="n"/>
      <c r="AR450" s="48" t="n"/>
      <c r="AS450" s="48" t="n"/>
      <c r="AT450" s="48" t="n"/>
      <c r="AU450" s="48" t="n"/>
      <c r="AV450" s="48" t="n"/>
      <c r="AW450" s="48" t="n"/>
      <c r="AX450" s="48" t="n"/>
      <c r="AY450" s="48" t="n"/>
      <c r="AZ450" s="48" t="n"/>
      <c r="BA450" s="48" t="n"/>
      <c r="BB450" s="48" t="n"/>
      <c r="BC450" s="48" t="n"/>
      <c r="BD450" s="48" t="n"/>
      <c r="BE450" s="48" t="n"/>
      <c r="BF450" s="48" t="n"/>
      <c r="BG450" s="48" t="n"/>
      <c r="BH450" s="48" t="n"/>
      <c r="BI450" s="48" t="n"/>
      <c r="BJ450" s="48" t="n"/>
      <c r="BK450" s="48" t="n"/>
      <c r="BL450" s="48" t="n"/>
      <c r="BM450" s="48" t="n"/>
      <c r="BN450" s="48" t="n"/>
    </row>
    <row r="451">
      <c r="A451" s="47" t="n"/>
      <c r="B451" s="48" t="n"/>
      <c r="C451" s="48" t="n"/>
      <c r="D451" s="49" t="n"/>
      <c r="E451" s="48" t="n"/>
      <c r="F451" s="48" t="n"/>
      <c r="G451" s="50" t="n"/>
      <c r="H451" s="51" t="n"/>
      <c r="I451" s="51" t="n"/>
      <c r="J451" s="48" t="n"/>
      <c r="K451" s="52" t="n"/>
      <c r="L451" s="48" t="n"/>
      <c r="M451" s="48" t="n"/>
      <c r="N451" s="48" t="n"/>
      <c r="O451" s="48" t="n"/>
      <c r="P451" s="48" t="n"/>
      <c r="Q451" s="48" t="n"/>
      <c r="R451" s="48" t="n"/>
      <c r="S451" s="48" t="n"/>
      <c r="T451" s="48" t="n"/>
      <c r="U451" s="48" t="n"/>
      <c r="V451" s="48" t="n"/>
      <c r="W451" s="48" t="n"/>
      <c r="X451" s="48" t="n"/>
      <c r="Y451" s="48" t="n"/>
      <c r="Z451" s="48" t="n"/>
      <c r="AA451" s="48" t="n"/>
      <c r="AB451" s="48" t="n"/>
      <c r="AC451" s="48" t="n"/>
      <c r="AD451" s="48" t="n"/>
      <c r="AE451" s="48" t="n"/>
      <c r="AF451" s="48" t="n"/>
      <c r="AG451" s="48" t="n"/>
      <c r="AH451" s="48" t="n"/>
      <c r="AI451" s="48" t="n"/>
      <c r="AJ451" s="48" t="n"/>
      <c r="AK451" s="48" t="n"/>
      <c r="AL451" s="53" t="n"/>
      <c r="AM451" s="52" t="n"/>
      <c r="AN451" s="48" t="n"/>
      <c r="AO451" s="48" t="n"/>
      <c r="AP451" s="48" t="n"/>
      <c r="AQ451" s="48" t="n"/>
      <c r="AR451" s="48" t="n"/>
      <c r="AS451" s="48" t="n"/>
      <c r="AT451" s="48" t="n"/>
      <c r="AU451" s="48" t="n"/>
      <c r="AV451" s="48" t="n"/>
      <c r="AW451" s="48" t="n"/>
      <c r="AX451" s="48" t="n"/>
      <c r="AY451" s="48" t="n"/>
      <c r="AZ451" s="48" t="n"/>
      <c r="BA451" s="48" t="n"/>
      <c r="BB451" s="48" t="n"/>
      <c r="BC451" s="48" t="n"/>
      <c r="BD451" s="48" t="n"/>
      <c r="BE451" s="48" t="n"/>
      <c r="BF451" s="48" t="n"/>
      <c r="BG451" s="48" t="n"/>
      <c r="BH451" s="48" t="n"/>
      <c r="BI451" s="48" t="n"/>
      <c r="BJ451" s="48" t="n"/>
      <c r="BK451" s="48" t="n"/>
      <c r="BL451" s="48" t="n"/>
      <c r="BM451" s="48" t="n"/>
      <c r="BN451" s="48" t="n"/>
    </row>
    <row r="452">
      <c r="A452" s="47" t="n"/>
      <c r="B452" s="48" t="n"/>
      <c r="C452" s="48" t="n"/>
      <c r="D452" s="49" t="n"/>
      <c r="E452" s="48" t="n"/>
      <c r="F452" s="48" t="n"/>
      <c r="G452" s="50" t="n"/>
      <c r="H452" s="51" t="n"/>
      <c r="I452" s="51" t="n"/>
      <c r="J452" s="48" t="n"/>
      <c r="K452" s="52" t="n"/>
      <c r="L452" s="48" t="n"/>
      <c r="M452" s="48" t="n"/>
      <c r="N452" s="48" t="n"/>
      <c r="O452" s="48" t="n"/>
      <c r="P452" s="48" t="n"/>
      <c r="Q452" s="48" t="n"/>
      <c r="R452" s="48" t="n"/>
      <c r="S452" s="48" t="n"/>
      <c r="T452" s="48" t="n"/>
      <c r="U452" s="48" t="n"/>
      <c r="V452" s="48" t="n"/>
      <c r="W452" s="48" t="n"/>
      <c r="X452" s="48" t="n"/>
      <c r="Y452" s="48" t="n"/>
      <c r="Z452" s="48" t="n"/>
      <c r="AA452" s="48" t="n"/>
      <c r="AB452" s="48" t="n"/>
      <c r="AC452" s="48" t="n"/>
      <c r="AD452" s="48" t="n"/>
      <c r="AE452" s="48" t="n"/>
      <c r="AF452" s="48" t="n"/>
      <c r="AG452" s="48" t="n"/>
      <c r="AH452" s="48" t="n"/>
      <c r="AI452" s="48" t="n"/>
      <c r="AJ452" s="48" t="n"/>
      <c r="AK452" s="48" t="n"/>
      <c r="AL452" s="53" t="n"/>
      <c r="AM452" s="52" t="n"/>
      <c r="AN452" s="48" t="n"/>
      <c r="AO452" s="48" t="n"/>
      <c r="AP452" s="48" t="n"/>
      <c r="AQ452" s="48" t="n"/>
      <c r="AR452" s="48" t="n"/>
      <c r="AS452" s="48" t="n"/>
      <c r="AT452" s="48" t="n"/>
      <c r="AU452" s="48" t="n"/>
      <c r="AV452" s="48" t="n"/>
      <c r="AW452" s="48" t="n"/>
      <c r="AX452" s="48" t="n"/>
      <c r="AY452" s="48" t="n"/>
      <c r="AZ452" s="48" t="n"/>
      <c r="BA452" s="48" t="n"/>
      <c r="BB452" s="48" t="n"/>
      <c r="BC452" s="48" t="n"/>
      <c r="BD452" s="48" t="n"/>
      <c r="BE452" s="48" t="n"/>
      <c r="BF452" s="48" t="n"/>
      <c r="BG452" s="48" t="n"/>
      <c r="BH452" s="48" t="n"/>
      <c r="BI452" s="48" t="n"/>
      <c r="BJ452" s="48" t="n"/>
      <c r="BK452" s="48" t="n"/>
      <c r="BL452" s="48" t="n"/>
      <c r="BM452" s="48" t="n"/>
      <c r="BN452" s="48" t="n"/>
    </row>
    <row r="453">
      <c r="A453" s="47" t="n"/>
      <c r="B453" s="48" t="n"/>
      <c r="C453" s="48" t="n"/>
      <c r="D453" s="49" t="n"/>
      <c r="E453" s="48" t="n"/>
      <c r="F453" s="48" t="n"/>
      <c r="G453" s="50" t="n"/>
      <c r="H453" s="51" t="n"/>
      <c r="I453" s="51" t="n"/>
      <c r="J453" s="48" t="n"/>
      <c r="K453" s="52" t="n"/>
      <c r="L453" s="48" t="n"/>
      <c r="M453" s="48" t="n"/>
      <c r="N453" s="48" t="n"/>
      <c r="O453" s="48" t="n"/>
      <c r="P453" s="48" t="n"/>
      <c r="Q453" s="48" t="n"/>
      <c r="R453" s="48" t="n"/>
      <c r="S453" s="48" t="n"/>
      <c r="T453" s="48" t="n"/>
      <c r="U453" s="48" t="n"/>
      <c r="V453" s="48" t="n"/>
      <c r="W453" s="48" t="n"/>
      <c r="X453" s="48" t="n"/>
      <c r="Y453" s="48" t="n"/>
      <c r="Z453" s="48" t="n"/>
      <c r="AA453" s="48" t="n"/>
      <c r="AB453" s="48" t="n"/>
      <c r="AC453" s="48" t="n"/>
      <c r="AD453" s="48" t="n"/>
      <c r="AE453" s="48" t="n"/>
      <c r="AF453" s="48" t="n"/>
      <c r="AG453" s="48" t="n"/>
      <c r="AH453" s="48" t="n"/>
      <c r="AI453" s="48" t="n"/>
      <c r="AJ453" s="48" t="n"/>
      <c r="AK453" s="48" t="n"/>
      <c r="AL453" s="53" t="n"/>
      <c r="AM453" s="52" t="n"/>
      <c r="AN453" s="48" t="n"/>
      <c r="AO453" s="48" t="n"/>
      <c r="AP453" s="48" t="n"/>
      <c r="AQ453" s="48" t="n"/>
      <c r="AR453" s="48" t="n"/>
      <c r="AS453" s="48" t="n"/>
      <c r="AT453" s="48" t="n"/>
      <c r="AU453" s="48" t="n"/>
      <c r="AV453" s="48" t="n"/>
      <c r="AW453" s="48" t="n"/>
      <c r="AX453" s="48" t="n"/>
      <c r="AY453" s="48" t="n"/>
      <c r="AZ453" s="48" t="n"/>
      <c r="BA453" s="48" t="n"/>
      <c r="BB453" s="48" t="n"/>
      <c r="BC453" s="48" t="n"/>
      <c r="BD453" s="48" t="n"/>
      <c r="BE453" s="48" t="n"/>
      <c r="BF453" s="48" t="n"/>
      <c r="BG453" s="48" t="n"/>
      <c r="BH453" s="48" t="n"/>
      <c r="BI453" s="48" t="n"/>
      <c r="BJ453" s="48" t="n"/>
      <c r="BK453" s="48" t="n"/>
      <c r="BL453" s="48" t="n"/>
      <c r="BM453" s="48" t="n"/>
      <c r="BN453" s="48" t="n"/>
    </row>
    <row r="454">
      <c r="A454" s="47" t="n"/>
      <c r="B454" s="48" t="n"/>
      <c r="C454" s="48" t="n"/>
      <c r="D454" s="49" t="n"/>
      <c r="E454" s="48" t="n"/>
      <c r="F454" s="48" t="n"/>
      <c r="G454" s="50" t="n"/>
      <c r="H454" s="51" t="n"/>
      <c r="I454" s="51" t="n"/>
      <c r="J454" s="48" t="n"/>
      <c r="K454" s="52" t="n"/>
      <c r="L454" s="48" t="n"/>
      <c r="M454" s="48" t="n"/>
      <c r="N454" s="48" t="n"/>
      <c r="O454" s="48" t="n"/>
      <c r="P454" s="48" t="n"/>
      <c r="Q454" s="48" t="n"/>
      <c r="R454" s="48" t="n"/>
      <c r="S454" s="48" t="n"/>
      <c r="T454" s="48" t="n"/>
      <c r="U454" s="48" t="n"/>
      <c r="V454" s="48" t="n"/>
      <c r="W454" s="48" t="n"/>
      <c r="X454" s="48" t="n"/>
      <c r="Y454" s="48" t="n"/>
      <c r="Z454" s="48" t="n"/>
      <c r="AA454" s="48" t="n"/>
      <c r="AB454" s="48" t="n"/>
      <c r="AC454" s="48" t="n"/>
      <c r="AD454" s="48" t="n"/>
      <c r="AE454" s="48" t="n"/>
      <c r="AF454" s="48" t="n"/>
      <c r="AG454" s="48" t="n"/>
      <c r="AH454" s="48" t="n"/>
      <c r="AI454" s="48" t="n"/>
      <c r="AJ454" s="48" t="n"/>
      <c r="AK454" s="48" t="n"/>
      <c r="AL454" s="53" t="n"/>
      <c r="AM454" s="52" t="n"/>
      <c r="AN454" s="48" t="n"/>
      <c r="AO454" s="48" t="n"/>
      <c r="AP454" s="48" t="n"/>
      <c r="AQ454" s="48" t="n"/>
      <c r="AR454" s="48" t="n"/>
      <c r="AS454" s="48" t="n"/>
      <c r="AT454" s="48" t="n"/>
      <c r="AU454" s="48" t="n"/>
      <c r="AV454" s="48" t="n"/>
      <c r="AW454" s="48" t="n"/>
      <c r="AX454" s="48" t="n"/>
      <c r="AY454" s="48" t="n"/>
      <c r="AZ454" s="48" t="n"/>
      <c r="BA454" s="48" t="n"/>
      <c r="BB454" s="48" t="n"/>
      <c r="BC454" s="48" t="n"/>
      <c r="BD454" s="48" t="n"/>
      <c r="BE454" s="48" t="n"/>
      <c r="BF454" s="48" t="n"/>
      <c r="BG454" s="48" t="n"/>
      <c r="BH454" s="48" t="n"/>
      <c r="BI454" s="48" t="n"/>
      <c r="BJ454" s="48" t="n"/>
      <c r="BK454" s="48" t="n"/>
      <c r="BL454" s="48" t="n"/>
      <c r="BM454" s="48" t="n"/>
      <c r="BN454" s="48" t="n"/>
    </row>
    <row r="455">
      <c r="A455" s="47" t="n"/>
      <c r="B455" s="48" t="n"/>
      <c r="C455" s="48" t="n"/>
      <c r="D455" s="49" t="n"/>
      <c r="E455" s="48" t="n"/>
      <c r="F455" s="48" t="n"/>
      <c r="G455" s="50" t="n"/>
      <c r="H455" s="51" t="n"/>
      <c r="I455" s="51" t="n"/>
      <c r="J455" s="48" t="n"/>
      <c r="K455" s="52" t="n"/>
      <c r="L455" s="48" t="n"/>
      <c r="M455" s="48" t="n"/>
      <c r="N455" s="48" t="n"/>
      <c r="O455" s="48" t="n"/>
      <c r="P455" s="48" t="n"/>
      <c r="Q455" s="48" t="n"/>
      <c r="R455" s="48" t="n"/>
      <c r="S455" s="48" t="n"/>
      <c r="T455" s="48" t="n"/>
      <c r="U455" s="48" t="n"/>
      <c r="V455" s="48" t="n"/>
      <c r="W455" s="48" t="n"/>
      <c r="X455" s="48" t="n"/>
      <c r="Y455" s="48" t="n"/>
      <c r="Z455" s="48" t="n"/>
      <c r="AA455" s="48" t="n"/>
      <c r="AB455" s="48" t="n"/>
      <c r="AC455" s="48" t="n"/>
      <c r="AD455" s="48" t="n"/>
      <c r="AE455" s="48" t="n"/>
      <c r="AF455" s="48" t="n"/>
      <c r="AG455" s="48" t="n"/>
      <c r="AH455" s="48" t="n"/>
      <c r="AI455" s="48" t="n"/>
      <c r="AJ455" s="48" t="n"/>
      <c r="AK455" s="48" t="n"/>
      <c r="AL455" s="53" t="n"/>
      <c r="AM455" s="52" t="n"/>
      <c r="AN455" s="48" t="n"/>
      <c r="AO455" s="48" t="n"/>
      <c r="AP455" s="48" t="n"/>
      <c r="AQ455" s="48" t="n"/>
      <c r="AR455" s="48" t="n"/>
      <c r="AS455" s="48" t="n"/>
      <c r="AT455" s="48" t="n"/>
      <c r="AU455" s="48" t="n"/>
      <c r="AV455" s="48" t="n"/>
      <c r="AW455" s="48" t="n"/>
      <c r="AX455" s="48" t="n"/>
      <c r="AY455" s="48" t="n"/>
      <c r="AZ455" s="48" t="n"/>
      <c r="BA455" s="48" t="n"/>
      <c r="BB455" s="48" t="n"/>
      <c r="BC455" s="48" t="n"/>
      <c r="BD455" s="48" t="n"/>
      <c r="BE455" s="48" t="n"/>
      <c r="BF455" s="48" t="n"/>
      <c r="BG455" s="48" t="n"/>
      <c r="BH455" s="48" t="n"/>
      <c r="BI455" s="48" t="n"/>
      <c r="BJ455" s="48" t="n"/>
      <c r="BK455" s="48" t="n"/>
      <c r="BL455" s="48" t="n"/>
      <c r="BM455" s="48" t="n"/>
      <c r="BN455" s="48" t="n"/>
    </row>
    <row r="456">
      <c r="A456" s="47" t="n"/>
      <c r="B456" s="48" t="n"/>
      <c r="C456" s="48" t="n"/>
      <c r="D456" s="49" t="n"/>
      <c r="E456" s="48" t="n"/>
      <c r="F456" s="48" t="n"/>
      <c r="G456" s="50" t="n"/>
      <c r="H456" s="51" t="n"/>
      <c r="I456" s="51" t="n"/>
      <c r="J456" s="48" t="n"/>
      <c r="K456" s="52" t="n"/>
      <c r="L456" s="48" t="n"/>
      <c r="M456" s="48" t="n"/>
      <c r="N456" s="48" t="n"/>
      <c r="O456" s="48" t="n"/>
      <c r="P456" s="48" t="n"/>
      <c r="Q456" s="48" t="n"/>
      <c r="R456" s="48" t="n"/>
      <c r="S456" s="48" t="n"/>
      <c r="T456" s="48" t="n"/>
      <c r="U456" s="48" t="n"/>
      <c r="V456" s="48" t="n"/>
      <c r="W456" s="48" t="n"/>
      <c r="X456" s="48" t="n"/>
      <c r="Y456" s="48" t="n"/>
      <c r="Z456" s="48" t="n"/>
      <c r="AA456" s="48" t="n"/>
      <c r="AB456" s="48" t="n"/>
      <c r="AC456" s="48" t="n"/>
      <c r="AD456" s="48" t="n"/>
      <c r="AE456" s="48" t="n"/>
      <c r="AF456" s="48" t="n"/>
      <c r="AG456" s="48" t="n"/>
      <c r="AH456" s="48" t="n"/>
      <c r="AI456" s="48" t="n"/>
      <c r="AJ456" s="48" t="n"/>
      <c r="AK456" s="48" t="n"/>
      <c r="AL456" s="53" t="n"/>
      <c r="AM456" s="52" t="n"/>
      <c r="AN456" s="48" t="n"/>
      <c r="AO456" s="48" t="n"/>
      <c r="AP456" s="48" t="n"/>
      <c r="AQ456" s="48" t="n"/>
      <c r="AR456" s="48" t="n"/>
      <c r="AS456" s="48" t="n"/>
      <c r="AT456" s="48" t="n"/>
      <c r="AU456" s="48" t="n"/>
      <c r="AV456" s="48" t="n"/>
      <c r="AW456" s="48" t="n"/>
      <c r="AX456" s="48" t="n"/>
      <c r="AY456" s="48" t="n"/>
      <c r="AZ456" s="48" t="n"/>
      <c r="BA456" s="48" t="n"/>
      <c r="BB456" s="48" t="n"/>
      <c r="BC456" s="48" t="n"/>
      <c r="BD456" s="48" t="n"/>
      <c r="BE456" s="48" t="n"/>
      <c r="BF456" s="48" t="n"/>
      <c r="BG456" s="48" t="n"/>
      <c r="BH456" s="48" t="n"/>
      <c r="BI456" s="48" t="n"/>
      <c r="BJ456" s="48" t="n"/>
      <c r="BK456" s="48" t="n"/>
      <c r="BL456" s="48" t="n"/>
      <c r="BM456" s="48" t="n"/>
      <c r="BN456" s="48" t="n"/>
    </row>
    <row r="457">
      <c r="A457" s="47" t="n"/>
      <c r="B457" s="48" t="n"/>
      <c r="C457" s="48" t="n"/>
      <c r="D457" s="49" t="n"/>
      <c r="E457" s="48" t="n"/>
      <c r="F457" s="48" t="n"/>
      <c r="G457" s="50" t="n"/>
      <c r="H457" s="51" t="n"/>
      <c r="I457" s="51" t="n"/>
      <c r="J457" s="48" t="n"/>
      <c r="K457" s="52" t="n"/>
      <c r="L457" s="48" t="n"/>
      <c r="M457" s="48" t="n"/>
      <c r="N457" s="48" t="n"/>
      <c r="O457" s="48" t="n"/>
      <c r="P457" s="48" t="n"/>
      <c r="Q457" s="48" t="n"/>
      <c r="R457" s="48" t="n"/>
      <c r="S457" s="48" t="n"/>
      <c r="T457" s="48" t="n"/>
      <c r="U457" s="48" t="n"/>
      <c r="V457" s="48" t="n"/>
      <c r="W457" s="48" t="n"/>
      <c r="X457" s="48" t="n"/>
      <c r="Y457" s="48" t="n"/>
      <c r="Z457" s="48" t="n"/>
      <c r="AA457" s="48" t="n"/>
      <c r="AB457" s="48" t="n"/>
      <c r="AC457" s="48" t="n"/>
      <c r="AD457" s="48" t="n"/>
      <c r="AE457" s="48" t="n"/>
      <c r="AF457" s="48" t="n"/>
      <c r="AG457" s="48" t="n"/>
      <c r="AH457" s="48" t="n"/>
      <c r="AI457" s="48" t="n"/>
      <c r="AJ457" s="48" t="n"/>
      <c r="AK457" s="48" t="n"/>
      <c r="AL457" s="53" t="n"/>
      <c r="AM457" s="52" t="n"/>
      <c r="AN457" s="48" t="n"/>
      <c r="AO457" s="48" t="n"/>
      <c r="AP457" s="48" t="n"/>
      <c r="AQ457" s="48" t="n"/>
      <c r="AR457" s="48" t="n"/>
      <c r="AS457" s="48" t="n"/>
      <c r="AT457" s="48" t="n"/>
      <c r="AU457" s="48" t="n"/>
      <c r="AV457" s="48" t="n"/>
      <c r="AW457" s="48" t="n"/>
      <c r="AX457" s="48" t="n"/>
      <c r="AY457" s="48" t="n"/>
      <c r="AZ457" s="48" t="n"/>
      <c r="BA457" s="48" t="n"/>
      <c r="BB457" s="48" t="n"/>
      <c r="BC457" s="48" t="n"/>
      <c r="BD457" s="48" t="n"/>
      <c r="BE457" s="48" t="n"/>
      <c r="BF457" s="48" t="n"/>
      <c r="BG457" s="48" t="n"/>
      <c r="BH457" s="48" t="n"/>
      <c r="BI457" s="48" t="n"/>
      <c r="BJ457" s="48" t="n"/>
      <c r="BK457" s="48" t="n"/>
      <c r="BL457" s="48" t="n"/>
      <c r="BM457" s="48" t="n"/>
      <c r="BN457" s="48" t="n"/>
    </row>
    <row r="458">
      <c r="A458" s="47" t="n"/>
      <c r="B458" s="48" t="n"/>
      <c r="C458" s="48" t="n"/>
      <c r="D458" s="49" t="n"/>
      <c r="E458" s="48" t="n"/>
      <c r="F458" s="48" t="n"/>
      <c r="G458" s="50" t="n"/>
      <c r="H458" s="51" t="n"/>
      <c r="I458" s="51" t="n"/>
      <c r="J458" s="48" t="n"/>
      <c r="K458" s="52" t="n"/>
      <c r="L458" s="48" t="n"/>
      <c r="M458" s="48" t="n"/>
      <c r="N458" s="48" t="n"/>
      <c r="O458" s="48" t="n"/>
      <c r="P458" s="48" t="n"/>
      <c r="Q458" s="48" t="n"/>
      <c r="R458" s="48" t="n"/>
      <c r="S458" s="48" t="n"/>
      <c r="T458" s="48" t="n"/>
      <c r="U458" s="48" t="n"/>
      <c r="V458" s="48" t="n"/>
      <c r="W458" s="48" t="n"/>
      <c r="X458" s="48" t="n"/>
      <c r="Y458" s="48" t="n"/>
      <c r="Z458" s="48" t="n"/>
      <c r="AA458" s="48" t="n"/>
      <c r="AB458" s="48" t="n"/>
      <c r="AC458" s="48" t="n"/>
      <c r="AD458" s="48" t="n"/>
      <c r="AE458" s="48" t="n"/>
      <c r="AF458" s="48" t="n"/>
      <c r="AG458" s="48" t="n"/>
      <c r="AH458" s="48" t="n"/>
      <c r="AI458" s="48" t="n"/>
      <c r="AJ458" s="48" t="n"/>
      <c r="AK458" s="48" t="n"/>
      <c r="AL458" s="53" t="n"/>
      <c r="AM458" s="52" t="n"/>
      <c r="AN458" s="48" t="n"/>
      <c r="AO458" s="48" t="n"/>
      <c r="AP458" s="48" t="n"/>
      <c r="AQ458" s="48" t="n"/>
      <c r="AR458" s="48" t="n"/>
      <c r="AS458" s="48" t="n"/>
      <c r="AT458" s="48" t="n"/>
      <c r="AU458" s="48" t="n"/>
      <c r="AV458" s="48" t="n"/>
      <c r="AW458" s="48" t="n"/>
      <c r="AX458" s="48" t="n"/>
      <c r="AY458" s="48" t="n"/>
      <c r="AZ458" s="48" t="n"/>
      <c r="BA458" s="48" t="n"/>
      <c r="BB458" s="48" t="n"/>
      <c r="BC458" s="48" t="n"/>
      <c r="BD458" s="48" t="n"/>
      <c r="BE458" s="48" t="n"/>
      <c r="BF458" s="48" t="n"/>
      <c r="BG458" s="48" t="n"/>
      <c r="BH458" s="48" t="n"/>
      <c r="BI458" s="48" t="n"/>
      <c r="BJ458" s="48" t="n"/>
      <c r="BK458" s="48" t="n"/>
      <c r="BL458" s="48" t="n"/>
      <c r="BM458" s="48" t="n"/>
      <c r="BN458" s="48" t="n"/>
    </row>
    <row r="459">
      <c r="A459" s="47" t="n"/>
      <c r="B459" s="48" t="n"/>
      <c r="C459" s="48" t="n"/>
      <c r="D459" s="49" t="n"/>
      <c r="E459" s="48" t="n"/>
      <c r="F459" s="48" t="n"/>
      <c r="G459" s="50" t="n"/>
      <c r="H459" s="51" t="n"/>
      <c r="I459" s="51" t="n"/>
      <c r="J459" s="48" t="n"/>
      <c r="K459" s="52" t="n"/>
      <c r="L459" s="48" t="n"/>
      <c r="M459" s="48" t="n"/>
      <c r="N459" s="48" t="n"/>
      <c r="O459" s="48" t="n"/>
      <c r="P459" s="48" t="n"/>
      <c r="Q459" s="48" t="n"/>
      <c r="R459" s="48" t="n"/>
      <c r="S459" s="48" t="n"/>
      <c r="T459" s="48" t="n"/>
      <c r="U459" s="48" t="n"/>
      <c r="V459" s="48" t="n"/>
      <c r="W459" s="48" t="n"/>
      <c r="X459" s="48" t="n"/>
      <c r="Y459" s="48" t="n"/>
      <c r="Z459" s="48" t="n"/>
      <c r="AA459" s="48" t="n"/>
      <c r="AB459" s="48" t="n"/>
      <c r="AC459" s="48" t="n"/>
      <c r="AD459" s="48" t="n"/>
      <c r="AE459" s="48" t="n"/>
      <c r="AF459" s="48" t="n"/>
      <c r="AG459" s="48" t="n"/>
      <c r="AH459" s="48" t="n"/>
      <c r="AI459" s="48" t="n"/>
      <c r="AJ459" s="48" t="n"/>
      <c r="AK459" s="48" t="n"/>
      <c r="AL459" s="53" t="n"/>
      <c r="AM459" s="52" t="n"/>
      <c r="AN459" s="48" t="n"/>
      <c r="AO459" s="48" t="n"/>
      <c r="AP459" s="48" t="n"/>
      <c r="AQ459" s="48" t="n"/>
      <c r="AR459" s="48" t="n"/>
      <c r="AS459" s="48" t="n"/>
      <c r="AT459" s="48" t="n"/>
      <c r="AU459" s="48" t="n"/>
      <c r="AV459" s="48" t="n"/>
      <c r="AW459" s="48" t="n"/>
      <c r="AX459" s="48" t="n"/>
      <c r="AY459" s="48" t="n"/>
      <c r="AZ459" s="48" t="n"/>
      <c r="BA459" s="48" t="n"/>
      <c r="BB459" s="48" t="n"/>
      <c r="BC459" s="48" t="n"/>
      <c r="BD459" s="48" t="n"/>
      <c r="BE459" s="48" t="n"/>
      <c r="BF459" s="48" t="n"/>
      <c r="BG459" s="48" t="n"/>
      <c r="BH459" s="48" t="n"/>
      <c r="BI459" s="48" t="n"/>
      <c r="BJ459" s="48" t="n"/>
      <c r="BK459" s="48" t="n"/>
      <c r="BL459" s="48" t="n"/>
      <c r="BM459" s="48" t="n"/>
      <c r="BN459" s="48" t="n"/>
    </row>
    <row r="460">
      <c r="A460" s="47" t="n"/>
      <c r="B460" s="48" t="n"/>
      <c r="C460" s="48" t="n"/>
      <c r="D460" s="49" t="n"/>
      <c r="E460" s="48" t="n"/>
      <c r="F460" s="48" t="n"/>
      <c r="G460" s="50" t="n"/>
      <c r="H460" s="51" t="n"/>
      <c r="I460" s="51" t="n"/>
      <c r="J460" s="48" t="n"/>
      <c r="K460" s="52" t="n"/>
      <c r="L460" s="48" t="n"/>
      <c r="M460" s="48" t="n"/>
      <c r="N460" s="48" t="n"/>
      <c r="O460" s="48" t="n"/>
      <c r="P460" s="48" t="n"/>
      <c r="Q460" s="48" t="n"/>
      <c r="R460" s="48" t="n"/>
      <c r="S460" s="48" t="n"/>
      <c r="T460" s="48" t="n"/>
      <c r="U460" s="48" t="n"/>
      <c r="V460" s="48" t="n"/>
      <c r="W460" s="48" t="n"/>
      <c r="X460" s="48" t="n"/>
      <c r="Y460" s="48" t="n"/>
      <c r="Z460" s="48" t="n"/>
      <c r="AA460" s="48" t="n"/>
      <c r="AB460" s="48" t="n"/>
      <c r="AC460" s="48" t="n"/>
      <c r="AD460" s="48" t="n"/>
      <c r="AE460" s="48" t="n"/>
      <c r="AF460" s="48" t="n"/>
      <c r="AG460" s="48" t="n"/>
      <c r="AH460" s="48" t="n"/>
      <c r="AI460" s="48" t="n"/>
      <c r="AJ460" s="48" t="n"/>
      <c r="AK460" s="48" t="n"/>
      <c r="AL460" s="53" t="n"/>
      <c r="AM460" s="52" t="n"/>
      <c r="AN460" s="48" t="n"/>
      <c r="AO460" s="48" t="n"/>
      <c r="AP460" s="48" t="n"/>
      <c r="AQ460" s="48" t="n"/>
      <c r="AR460" s="48" t="n"/>
      <c r="AS460" s="48" t="n"/>
      <c r="AT460" s="48" t="n"/>
      <c r="AU460" s="48" t="n"/>
      <c r="AV460" s="48" t="n"/>
      <c r="AW460" s="48" t="n"/>
      <c r="AX460" s="48" t="n"/>
      <c r="AY460" s="48" t="n"/>
      <c r="AZ460" s="48" t="n"/>
      <c r="BA460" s="48" t="n"/>
      <c r="BB460" s="48" t="n"/>
      <c r="BC460" s="48" t="n"/>
      <c r="BD460" s="48" t="n"/>
      <c r="BE460" s="48" t="n"/>
      <c r="BF460" s="48" t="n"/>
      <c r="BG460" s="48" t="n"/>
      <c r="BH460" s="48" t="n"/>
      <c r="BI460" s="48" t="n"/>
      <c r="BJ460" s="48" t="n"/>
      <c r="BK460" s="48" t="n"/>
      <c r="BL460" s="48" t="n"/>
      <c r="BM460" s="48" t="n"/>
      <c r="BN460" s="48" t="n"/>
    </row>
    <row r="461">
      <c r="A461" s="47" t="n"/>
      <c r="B461" s="48" t="n"/>
      <c r="C461" s="48" t="n"/>
      <c r="D461" s="49" t="n"/>
      <c r="E461" s="48" t="n"/>
      <c r="F461" s="48" t="n"/>
      <c r="G461" s="50" t="n"/>
      <c r="H461" s="51" t="n"/>
      <c r="I461" s="51" t="n"/>
      <c r="J461" s="48" t="n"/>
      <c r="K461" s="52" t="n"/>
      <c r="L461" s="48" t="n"/>
      <c r="M461" s="48" t="n"/>
      <c r="N461" s="48" t="n"/>
      <c r="O461" s="48" t="n"/>
      <c r="P461" s="48" t="n"/>
      <c r="Q461" s="48" t="n"/>
      <c r="R461" s="48" t="n"/>
      <c r="S461" s="48" t="n"/>
      <c r="T461" s="48" t="n"/>
      <c r="U461" s="48" t="n"/>
      <c r="V461" s="48" t="n"/>
      <c r="W461" s="48" t="n"/>
      <c r="X461" s="48" t="n"/>
      <c r="Y461" s="48" t="n"/>
      <c r="Z461" s="48" t="n"/>
      <c r="AA461" s="48" t="n"/>
      <c r="AB461" s="48" t="n"/>
      <c r="AC461" s="48" t="n"/>
      <c r="AD461" s="48" t="n"/>
      <c r="AE461" s="48" t="n"/>
      <c r="AF461" s="48" t="n"/>
      <c r="AG461" s="48" t="n"/>
      <c r="AH461" s="48" t="n"/>
      <c r="AI461" s="48" t="n"/>
      <c r="AJ461" s="48" t="n"/>
      <c r="AK461" s="48" t="n"/>
      <c r="AL461" s="53" t="n"/>
      <c r="AM461" s="52" t="n"/>
      <c r="AN461" s="48" t="n"/>
      <c r="AO461" s="48" t="n"/>
      <c r="AP461" s="48" t="n"/>
      <c r="AQ461" s="48" t="n"/>
      <c r="AR461" s="48" t="n"/>
      <c r="AS461" s="48" t="n"/>
      <c r="AT461" s="48" t="n"/>
      <c r="AU461" s="48" t="n"/>
      <c r="AV461" s="48" t="n"/>
      <c r="AW461" s="48" t="n"/>
      <c r="AX461" s="48" t="n"/>
      <c r="AY461" s="48" t="n"/>
      <c r="AZ461" s="48" t="n"/>
      <c r="BA461" s="48" t="n"/>
      <c r="BB461" s="48" t="n"/>
      <c r="BC461" s="48" t="n"/>
      <c r="BD461" s="48" t="n"/>
      <c r="BE461" s="48" t="n"/>
      <c r="BF461" s="48" t="n"/>
      <c r="BG461" s="48" t="n"/>
      <c r="BH461" s="48" t="n"/>
      <c r="BI461" s="48" t="n"/>
      <c r="BJ461" s="48" t="n"/>
      <c r="BK461" s="48" t="n"/>
      <c r="BL461" s="48" t="n"/>
      <c r="BM461" s="48" t="n"/>
      <c r="BN461" s="48" t="n"/>
    </row>
    <row r="462">
      <c r="A462" s="47" t="n"/>
      <c r="B462" s="48" t="n"/>
      <c r="C462" s="48" t="n"/>
      <c r="D462" s="49" t="n"/>
      <c r="E462" s="48" t="n"/>
      <c r="F462" s="48" t="n"/>
      <c r="G462" s="50" t="n"/>
      <c r="H462" s="51" t="n"/>
      <c r="I462" s="51" t="n"/>
      <c r="J462" s="48" t="n"/>
      <c r="K462" s="52" t="n"/>
      <c r="L462" s="48" t="n"/>
      <c r="M462" s="48" t="n"/>
      <c r="N462" s="48" t="n"/>
      <c r="O462" s="48" t="n"/>
      <c r="P462" s="48" t="n"/>
      <c r="Q462" s="48" t="n"/>
      <c r="R462" s="48" t="n"/>
      <c r="S462" s="48" t="n"/>
      <c r="T462" s="48" t="n"/>
      <c r="U462" s="48" t="n"/>
      <c r="V462" s="48" t="n"/>
      <c r="W462" s="48" t="n"/>
      <c r="X462" s="48" t="n"/>
      <c r="Y462" s="48" t="n"/>
      <c r="Z462" s="48" t="n"/>
      <c r="AA462" s="48" t="n"/>
      <c r="AB462" s="48" t="n"/>
      <c r="AC462" s="48" t="n"/>
      <c r="AD462" s="48" t="n"/>
      <c r="AE462" s="48" t="n"/>
      <c r="AF462" s="48" t="n"/>
      <c r="AG462" s="48" t="n"/>
      <c r="AH462" s="48" t="n"/>
      <c r="AI462" s="48" t="n"/>
      <c r="AJ462" s="48" t="n"/>
      <c r="AK462" s="48" t="n"/>
      <c r="AL462" s="53" t="n"/>
      <c r="AM462" s="52" t="n"/>
      <c r="AN462" s="48" t="n"/>
      <c r="AO462" s="48" t="n"/>
      <c r="AP462" s="48" t="n"/>
      <c r="AQ462" s="48" t="n"/>
      <c r="AR462" s="48" t="n"/>
      <c r="AS462" s="48" t="n"/>
      <c r="AT462" s="48" t="n"/>
      <c r="AU462" s="48" t="n"/>
      <c r="AV462" s="48" t="n"/>
      <c r="AW462" s="48" t="n"/>
      <c r="AX462" s="48" t="n"/>
      <c r="AY462" s="48" t="n"/>
      <c r="AZ462" s="48" t="n"/>
      <c r="BA462" s="48" t="n"/>
      <c r="BB462" s="48" t="n"/>
      <c r="BC462" s="48" t="n"/>
      <c r="BD462" s="48" t="n"/>
      <c r="BE462" s="48" t="n"/>
      <c r="BF462" s="48" t="n"/>
      <c r="BG462" s="48" t="n"/>
      <c r="BH462" s="48" t="n"/>
      <c r="BI462" s="48" t="n"/>
      <c r="BJ462" s="48" t="n"/>
      <c r="BK462" s="48" t="n"/>
      <c r="BL462" s="48" t="n"/>
      <c r="BM462" s="48" t="n"/>
      <c r="BN462" s="48" t="n"/>
    </row>
    <row r="463">
      <c r="A463" s="47" t="n"/>
      <c r="B463" s="48" t="n"/>
      <c r="C463" s="48" t="n"/>
      <c r="D463" s="49" t="n"/>
      <c r="E463" s="48" t="n"/>
      <c r="F463" s="48" t="n"/>
      <c r="G463" s="50" t="n"/>
      <c r="H463" s="51" t="n"/>
      <c r="I463" s="51" t="n"/>
      <c r="J463" s="48" t="n"/>
      <c r="K463" s="52" t="n"/>
      <c r="L463" s="48" t="n"/>
      <c r="M463" s="48" t="n"/>
      <c r="N463" s="48" t="n"/>
      <c r="O463" s="48" t="n"/>
      <c r="P463" s="48" t="n"/>
      <c r="Q463" s="48" t="n"/>
      <c r="R463" s="48" t="n"/>
      <c r="S463" s="48" t="n"/>
      <c r="T463" s="48" t="n"/>
      <c r="U463" s="48" t="n"/>
      <c r="V463" s="48" t="n"/>
      <c r="W463" s="48" t="n"/>
      <c r="X463" s="48" t="n"/>
      <c r="Y463" s="48" t="n"/>
      <c r="Z463" s="48" t="n"/>
      <c r="AA463" s="48" t="n"/>
      <c r="AB463" s="48" t="n"/>
      <c r="AC463" s="48" t="n"/>
      <c r="AD463" s="48" t="n"/>
      <c r="AE463" s="48" t="n"/>
      <c r="AF463" s="48" t="n"/>
      <c r="AG463" s="48" t="n"/>
      <c r="AH463" s="48" t="n"/>
      <c r="AI463" s="48" t="n"/>
      <c r="AJ463" s="48" t="n"/>
      <c r="AK463" s="48" t="n"/>
      <c r="AL463" s="53" t="n"/>
      <c r="AM463" s="52" t="n"/>
      <c r="AN463" s="48" t="n"/>
      <c r="AO463" s="48" t="n"/>
      <c r="AP463" s="48" t="n"/>
      <c r="AQ463" s="48" t="n"/>
      <c r="AR463" s="48" t="n"/>
      <c r="AS463" s="48" t="n"/>
      <c r="AT463" s="48" t="n"/>
      <c r="AU463" s="48" t="n"/>
      <c r="AV463" s="48" t="n"/>
      <c r="AW463" s="48" t="n"/>
      <c r="AX463" s="48" t="n"/>
      <c r="AY463" s="48" t="n"/>
      <c r="AZ463" s="48" t="n"/>
      <c r="BA463" s="48" t="n"/>
      <c r="BB463" s="48" t="n"/>
      <c r="BC463" s="48" t="n"/>
      <c r="BD463" s="48" t="n"/>
      <c r="BE463" s="48" t="n"/>
      <c r="BF463" s="48" t="n"/>
      <c r="BG463" s="48" t="n"/>
      <c r="BH463" s="48" t="n"/>
      <c r="BI463" s="48" t="n"/>
      <c r="BJ463" s="48" t="n"/>
      <c r="BK463" s="48" t="n"/>
      <c r="BL463" s="48" t="n"/>
      <c r="BM463" s="48" t="n"/>
      <c r="BN463" s="48" t="n"/>
    </row>
    <row r="464">
      <c r="A464" s="47" t="n"/>
      <c r="B464" s="48" t="n"/>
      <c r="C464" s="48" t="n"/>
      <c r="D464" s="49" t="n"/>
      <c r="E464" s="48" t="n"/>
      <c r="F464" s="48" t="n"/>
      <c r="G464" s="50" t="n"/>
      <c r="H464" s="51" t="n"/>
      <c r="I464" s="51" t="n"/>
      <c r="J464" s="48" t="n"/>
      <c r="K464" s="52" t="n"/>
      <c r="L464" s="48" t="n"/>
      <c r="M464" s="48" t="n"/>
      <c r="N464" s="48" t="n"/>
      <c r="O464" s="48" t="n"/>
      <c r="P464" s="48" t="n"/>
      <c r="Q464" s="48" t="n"/>
      <c r="R464" s="48" t="n"/>
      <c r="S464" s="48" t="n"/>
      <c r="T464" s="48" t="n"/>
      <c r="U464" s="48" t="n"/>
      <c r="V464" s="48" t="n"/>
      <c r="W464" s="48" t="n"/>
      <c r="X464" s="48" t="n"/>
      <c r="Y464" s="48" t="n"/>
      <c r="Z464" s="48" t="n"/>
      <c r="AA464" s="48" t="n"/>
      <c r="AB464" s="48" t="n"/>
      <c r="AC464" s="48" t="n"/>
      <c r="AD464" s="48" t="n"/>
      <c r="AE464" s="48" t="n"/>
      <c r="AF464" s="48" t="n"/>
      <c r="AG464" s="48" t="n"/>
      <c r="AH464" s="48" t="n"/>
      <c r="AI464" s="48" t="n"/>
      <c r="AJ464" s="48" t="n"/>
      <c r="AK464" s="48" t="n"/>
      <c r="AL464" s="53" t="n"/>
      <c r="AM464" s="52" t="n"/>
      <c r="AN464" s="48" t="n"/>
      <c r="AO464" s="48" t="n"/>
      <c r="AP464" s="48" t="n"/>
      <c r="AQ464" s="48" t="n"/>
      <c r="AR464" s="48" t="n"/>
      <c r="AS464" s="48" t="n"/>
      <c r="AT464" s="48" t="n"/>
      <c r="AU464" s="48" t="n"/>
      <c r="AV464" s="48" t="n"/>
      <c r="AW464" s="48" t="n"/>
      <c r="AX464" s="48" t="n"/>
      <c r="AY464" s="48" t="n"/>
      <c r="AZ464" s="48" t="n"/>
      <c r="BA464" s="48" t="n"/>
      <c r="BB464" s="48" t="n"/>
      <c r="BC464" s="48" t="n"/>
      <c r="BD464" s="48" t="n"/>
      <c r="BE464" s="48" t="n"/>
      <c r="BF464" s="48" t="n"/>
      <c r="BG464" s="48" t="n"/>
      <c r="BH464" s="48" t="n"/>
      <c r="BI464" s="48" t="n"/>
      <c r="BJ464" s="48" t="n"/>
      <c r="BK464" s="48" t="n"/>
      <c r="BL464" s="48" t="n"/>
      <c r="BM464" s="48" t="n"/>
      <c r="BN464" s="48" t="n"/>
    </row>
    <row r="465">
      <c r="A465" s="47" t="n"/>
      <c r="B465" s="48" t="n"/>
      <c r="C465" s="48" t="n"/>
      <c r="D465" s="49" t="n"/>
      <c r="E465" s="48" t="n"/>
      <c r="F465" s="48" t="n"/>
      <c r="G465" s="50" t="n"/>
      <c r="H465" s="51" t="n"/>
      <c r="I465" s="51" t="n"/>
      <c r="J465" s="48" t="n"/>
      <c r="K465" s="52" t="n"/>
      <c r="L465" s="48" t="n"/>
      <c r="M465" s="48" t="n"/>
      <c r="N465" s="48" t="n"/>
      <c r="O465" s="48" t="n"/>
      <c r="P465" s="48" t="n"/>
      <c r="Q465" s="48" t="n"/>
      <c r="R465" s="48" t="n"/>
      <c r="S465" s="48" t="n"/>
      <c r="T465" s="48" t="n"/>
      <c r="U465" s="48" t="n"/>
      <c r="V465" s="48" t="n"/>
      <c r="W465" s="48" t="n"/>
      <c r="X465" s="48" t="n"/>
      <c r="Y465" s="48" t="n"/>
      <c r="Z465" s="48" t="n"/>
      <c r="AA465" s="48" t="n"/>
      <c r="AB465" s="48" t="n"/>
      <c r="AC465" s="48" t="n"/>
      <c r="AD465" s="48" t="n"/>
      <c r="AE465" s="48" t="n"/>
      <c r="AF465" s="48" t="n"/>
      <c r="AG465" s="48" t="n"/>
      <c r="AH465" s="48" t="n"/>
      <c r="AI465" s="48" t="n"/>
      <c r="AJ465" s="48" t="n"/>
      <c r="AK465" s="48" t="n"/>
      <c r="AL465" s="53" t="n"/>
      <c r="AM465" s="52" t="n"/>
      <c r="AN465" s="48" t="n"/>
      <c r="AO465" s="48" t="n"/>
      <c r="AP465" s="48" t="n"/>
      <c r="AQ465" s="48" t="n"/>
      <c r="AR465" s="48" t="n"/>
      <c r="AS465" s="48" t="n"/>
      <c r="AT465" s="48" t="n"/>
      <c r="AU465" s="48" t="n"/>
      <c r="AV465" s="48" t="n"/>
      <c r="AW465" s="48" t="n"/>
      <c r="AX465" s="48" t="n"/>
      <c r="AY465" s="48" t="n"/>
      <c r="AZ465" s="48" t="n"/>
      <c r="BA465" s="48" t="n"/>
      <c r="BB465" s="48" t="n"/>
      <c r="BC465" s="48" t="n"/>
      <c r="BD465" s="48" t="n"/>
      <c r="BE465" s="48" t="n"/>
      <c r="BF465" s="48" t="n"/>
      <c r="BG465" s="48" t="n"/>
      <c r="BH465" s="48" t="n"/>
      <c r="BI465" s="48" t="n"/>
      <c r="BJ465" s="48" t="n"/>
      <c r="BK465" s="48" t="n"/>
      <c r="BL465" s="48" t="n"/>
      <c r="BM465" s="48" t="n"/>
      <c r="BN465" s="48" t="n"/>
    </row>
    <row r="466">
      <c r="A466" s="47" t="n"/>
      <c r="B466" s="48" t="n"/>
      <c r="C466" s="48" t="n"/>
      <c r="D466" s="49" t="n"/>
      <c r="E466" s="48" t="n"/>
      <c r="F466" s="48" t="n"/>
      <c r="G466" s="50" t="n"/>
      <c r="H466" s="51" t="n"/>
      <c r="I466" s="51" t="n"/>
      <c r="J466" s="48" t="n"/>
      <c r="K466" s="52" t="n"/>
      <c r="L466" s="48" t="n"/>
      <c r="M466" s="48" t="n"/>
      <c r="N466" s="48" t="n"/>
      <c r="O466" s="48" t="n"/>
      <c r="P466" s="48" t="n"/>
      <c r="Q466" s="48" t="n"/>
      <c r="R466" s="48" t="n"/>
      <c r="S466" s="48" t="n"/>
      <c r="T466" s="48" t="n"/>
      <c r="U466" s="48" t="n"/>
      <c r="V466" s="48" t="n"/>
      <c r="W466" s="48" t="n"/>
      <c r="X466" s="48" t="n"/>
      <c r="Y466" s="48" t="n"/>
      <c r="Z466" s="48" t="n"/>
      <c r="AA466" s="48" t="n"/>
      <c r="AB466" s="48" t="n"/>
      <c r="AC466" s="48" t="n"/>
      <c r="AD466" s="48" t="n"/>
      <c r="AE466" s="48" t="n"/>
      <c r="AF466" s="48" t="n"/>
      <c r="AG466" s="48" t="n"/>
      <c r="AH466" s="48" t="n"/>
      <c r="AI466" s="48" t="n"/>
      <c r="AJ466" s="48" t="n"/>
      <c r="AK466" s="48" t="n"/>
      <c r="AL466" s="53" t="n"/>
      <c r="AM466" s="52" t="n"/>
      <c r="AN466" s="48" t="n"/>
      <c r="AO466" s="48" t="n"/>
      <c r="AP466" s="48" t="n"/>
      <c r="AQ466" s="48" t="n"/>
      <c r="AR466" s="48" t="n"/>
      <c r="AS466" s="48" t="n"/>
      <c r="AT466" s="48" t="n"/>
      <c r="AU466" s="48" t="n"/>
      <c r="AV466" s="48" t="n"/>
      <c r="AW466" s="48" t="n"/>
      <c r="AX466" s="48" t="n"/>
      <c r="AY466" s="48" t="n"/>
      <c r="AZ466" s="48" t="n"/>
      <c r="BA466" s="48" t="n"/>
      <c r="BB466" s="48" t="n"/>
      <c r="BC466" s="48" t="n"/>
      <c r="BD466" s="48" t="n"/>
      <c r="BE466" s="48" t="n"/>
      <c r="BF466" s="48" t="n"/>
      <c r="BG466" s="48" t="n"/>
      <c r="BH466" s="48" t="n"/>
      <c r="BI466" s="48" t="n"/>
      <c r="BJ466" s="48" t="n"/>
      <c r="BK466" s="48" t="n"/>
      <c r="BL466" s="48" t="n"/>
      <c r="BM466" s="48" t="n"/>
      <c r="BN466" s="48" t="n"/>
    </row>
    <row r="467">
      <c r="A467" s="47" t="n"/>
      <c r="B467" s="48" t="n"/>
      <c r="C467" s="48" t="n"/>
      <c r="D467" s="49" t="n"/>
      <c r="E467" s="48" t="n"/>
      <c r="F467" s="48" t="n"/>
      <c r="G467" s="50" t="n"/>
      <c r="H467" s="51" t="n"/>
      <c r="I467" s="51" t="n"/>
      <c r="J467" s="48" t="n"/>
      <c r="K467" s="52" t="n"/>
      <c r="L467" s="48" t="n"/>
      <c r="M467" s="48" t="n"/>
      <c r="N467" s="48" t="n"/>
      <c r="O467" s="48" t="n"/>
      <c r="P467" s="48" t="n"/>
      <c r="Q467" s="48" t="n"/>
      <c r="R467" s="48" t="n"/>
      <c r="S467" s="48" t="n"/>
      <c r="T467" s="48" t="n"/>
      <c r="U467" s="48" t="n"/>
      <c r="V467" s="48" t="n"/>
      <c r="W467" s="48" t="n"/>
      <c r="X467" s="48" t="n"/>
      <c r="Y467" s="48" t="n"/>
      <c r="Z467" s="48" t="n"/>
      <c r="AA467" s="48" t="n"/>
      <c r="AB467" s="48" t="n"/>
      <c r="AC467" s="48" t="n"/>
      <c r="AD467" s="48" t="n"/>
      <c r="AE467" s="48" t="n"/>
      <c r="AF467" s="48" t="n"/>
      <c r="AG467" s="48" t="n"/>
      <c r="AH467" s="48" t="n"/>
      <c r="AI467" s="48" t="n"/>
      <c r="AJ467" s="48" t="n"/>
      <c r="AK467" s="48" t="n"/>
      <c r="AL467" s="53" t="n"/>
      <c r="AM467" s="52" t="n"/>
      <c r="AN467" s="48" t="n"/>
      <c r="AO467" s="48" t="n"/>
      <c r="AP467" s="48" t="n"/>
      <c r="AQ467" s="48" t="n"/>
      <c r="AR467" s="48" t="n"/>
      <c r="AS467" s="48" t="n"/>
      <c r="AT467" s="48" t="n"/>
      <c r="AU467" s="48" t="n"/>
      <c r="AV467" s="48" t="n"/>
      <c r="AW467" s="48" t="n"/>
      <c r="AX467" s="48" t="n"/>
      <c r="AY467" s="48" t="n"/>
      <c r="AZ467" s="48" t="n"/>
      <c r="BA467" s="48" t="n"/>
      <c r="BB467" s="48" t="n"/>
      <c r="BC467" s="48" t="n"/>
      <c r="BD467" s="48" t="n"/>
      <c r="BE467" s="48" t="n"/>
      <c r="BF467" s="48" t="n"/>
      <c r="BG467" s="48" t="n"/>
      <c r="BH467" s="48" t="n"/>
      <c r="BI467" s="48" t="n"/>
      <c r="BJ467" s="48" t="n"/>
      <c r="BK467" s="48" t="n"/>
      <c r="BL467" s="48" t="n"/>
      <c r="BM467" s="48" t="n"/>
      <c r="BN467" s="48" t="n"/>
    </row>
    <row r="468">
      <c r="A468" s="47" t="n"/>
      <c r="B468" s="48" t="n"/>
      <c r="C468" s="48" t="n"/>
      <c r="D468" s="49" t="n"/>
      <c r="E468" s="48" t="n"/>
      <c r="F468" s="48" t="n"/>
      <c r="G468" s="50" t="n"/>
      <c r="H468" s="51" t="n"/>
      <c r="I468" s="51" t="n"/>
      <c r="J468" s="48" t="n"/>
      <c r="K468" s="52" t="n"/>
      <c r="L468" s="48" t="n"/>
      <c r="M468" s="48" t="n"/>
      <c r="N468" s="48" t="n"/>
      <c r="O468" s="48" t="n"/>
      <c r="P468" s="48" t="n"/>
      <c r="Q468" s="48" t="n"/>
      <c r="R468" s="48" t="n"/>
      <c r="S468" s="48" t="n"/>
      <c r="T468" s="48" t="n"/>
      <c r="U468" s="48" t="n"/>
      <c r="V468" s="48" t="n"/>
      <c r="W468" s="48" t="n"/>
      <c r="X468" s="48" t="n"/>
      <c r="Y468" s="48" t="n"/>
      <c r="Z468" s="48" t="n"/>
      <c r="AA468" s="48" t="n"/>
      <c r="AB468" s="48" t="n"/>
      <c r="AC468" s="48" t="n"/>
      <c r="AD468" s="48" t="n"/>
      <c r="AE468" s="48" t="n"/>
      <c r="AF468" s="48" t="n"/>
      <c r="AG468" s="48" t="n"/>
      <c r="AH468" s="48" t="n"/>
      <c r="AI468" s="48" t="n"/>
      <c r="AJ468" s="48" t="n"/>
      <c r="AK468" s="48" t="n"/>
      <c r="AL468" s="53" t="n"/>
      <c r="AM468" s="52" t="n"/>
      <c r="AN468" s="48" t="n"/>
      <c r="AO468" s="48" t="n"/>
      <c r="AP468" s="48" t="n"/>
      <c r="AQ468" s="48" t="n"/>
      <c r="AR468" s="48" t="n"/>
      <c r="AS468" s="48" t="n"/>
      <c r="AT468" s="48" t="n"/>
      <c r="AU468" s="48" t="n"/>
      <c r="AV468" s="48" t="n"/>
      <c r="AW468" s="48" t="n"/>
      <c r="AX468" s="48" t="n"/>
      <c r="AY468" s="48" t="n"/>
      <c r="AZ468" s="48" t="n"/>
      <c r="BA468" s="48" t="n"/>
      <c r="BB468" s="48" t="n"/>
      <c r="BC468" s="48" t="n"/>
      <c r="BD468" s="48" t="n"/>
      <c r="BE468" s="48" t="n"/>
      <c r="BF468" s="48" t="n"/>
      <c r="BG468" s="48" t="n"/>
      <c r="BH468" s="48" t="n"/>
      <c r="BI468" s="48" t="n"/>
      <c r="BJ468" s="48" t="n"/>
      <c r="BK468" s="48" t="n"/>
      <c r="BL468" s="48" t="n"/>
      <c r="BM468" s="48" t="n"/>
      <c r="BN468" s="48" t="n"/>
    </row>
    <row r="469">
      <c r="A469" s="47" t="n"/>
      <c r="B469" s="48" t="n"/>
      <c r="C469" s="48" t="n"/>
      <c r="D469" s="49" t="n"/>
      <c r="E469" s="48" t="n"/>
      <c r="F469" s="48" t="n"/>
      <c r="G469" s="50" t="n"/>
      <c r="H469" s="51" t="n"/>
      <c r="I469" s="51" t="n"/>
      <c r="J469" s="48" t="n"/>
      <c r="K469" s="52" t="n"/>
      <c r="L469" s="48" t="n"/>
      <c r="M469" s="48" t="n"/>
      <c r="N469" s="48" t="n"/>
      <c r="O469" s="48" t="n"/>
      <c r="P469" s="48" t="n"/>
      <c r="Q469" s="48" t="n"/>
      <c r="R469" s="48" t="n"/>
      <c r="S469" s="48" t="n"/>
      <c r="T469" s="48" t="n"/>
      <c r="U469" s="48" t="n"/>
      <c r="V469" s="48" t="n"/>
      <c r="W469" s="48" t="n"/>
      <c r="X469" s="48" t="n"/>
      <c r="Y469" s="48" t="n"/>
      <c r="Z469" s="48" t="n"/>
      <c r="AA469" s="48" t="n"/>
      <c r="AB469" s="48" t="n"/>
      <c r="AC469" s="48" t="n"/>
      <c r="AD469" s="48" t="n"/>
      <c r="AE469" s="48" t="n"/>
      <c r="AF469" s="48" t="n"/>
      <c r="AG469" s="48" t="n"/>
      <c r="AH469" s="48" t="n"/>
      <c r="AI469" s="48" t="n"/>
      <c r="AJ469" s="48" t="n"/>
      <c r="AK469" s="48" t="n"/>
      <c r="AL469" s="53" t="n"/>
      <c r="AM469" s="52" t="n"/>
      <c r="AN469" s="48" t="n"/>
      <c r="AO469" s="48" t="n"/>
      <c r="AP469" s="48" t="n"/>
      <c r="AQ469" s="48" t="n"/>
      <c r="AR469" s="48" t="n"/>
      <c r="AS469" s="48" t="n"/>
      <c r="AT469" s="48" t="n"/>
      <c r="AU469" s="48" t="n"/>
      <c r="AV469" s="48" t="n"/>
      <c r="AW469" s="48" t="n"/>
      <c r="AX469" s="48" t="n"/>
      <c r="AY469" s="48" t="n"/>
      <c r="AZ469" s="48" t="n"/>
      <c r="BA469" s="48" t="n"/>
      <c r="BB469" s="48" t="n"/>
      <c r="BC469" s="48" t="n"/>
      <c r="BD469" s="48" t="n"/>
      <c r="BE469" s="48" t="n"/>
      <c r="BF469" s="48" t="n"/>
      <c r="BG469" s="48" t="n"/>
      <c r="BH469" s="48" t="n"/>
      <c r="BI469" s="48" t="n"/>
      <c r="BJ469" s="48" t="n"/>
      <c r="BK469" s="48" t="n"/>
      <c r="BL469" s="48" t="n"/>
      <c r="BM469" s="48" t="n"/>
      <c r="BN469" s="48" t="n"/>
    </row>
    <row r="470">
      <c r="A470" s="47" t="n"/>
      <c r="B470" s="48" t="n"/>
      <c r="C470" s="48" t="n"/>
      <c r="D470" s="49" t="n"/>
      <c r="E470" s="48" t="n"/>
      <c r="F470" s="48" t="n"/>
      <c r="G470" s="50" t="n"/>
      <c r="H470" s="51" t="n"/>
      <c r="I470" s="51" t="n"/>
      <c r="J470" s="48" t="n"/>
      <c r="K470" s="52" t="n"/>
      <c r="L470" s="48" t="n"/>
      <c r="M470" s="48" t="n"/>
      <c r="N470" s="48" t="n"/>
      <c r="O470" s="48" t="n"/>
      <c r="P470" s="48" t="n"/>
      <c r="Q470" s="48" t="n"/>
      <c r="R470" s="48" t="n"/>
      <c r="S470" s="48" t="n"/>
      <c r="T470" s="48" t="n"/>
      <c r="U470" s="48" t="n"/>
      <c r="V470" s="48" t="n"/>
      <c r="W470" s="48" t="n"/>
      <c r="X470" s="48" t="n"/>
      <c r="Y470" s="48" t="n"/>
      <c r="Z470" s="48" t="n"/>
      <c r="AA470" s="48" t="n"/>
      <c r="AB470" s="48" t="n"/>
      <c r="AC470" s="48" t="n"/>
      <c r="AD470" s="48" t="n"/>
      <c r="AE470" s="48" t="n"/>
      <c r="AF470" s="48" t="n"/>
      <c r="AG470" s="48" t="n"/>
      <c r="AH470" s="48" t="n"/>
      <c r="AI470" s="48" t="n"/>
      <c r="AJ470" s="48" t="n"/>
      <c r="AK470" s="48" t="n"/>
      <c r="AL470" s="53" t="n"/>
      <c r="AM470" s="52" t="n"/>
      <c r="AN470" s="48" t="n"/>
      <c r="AO470" s="48" t="n"/>
      <c r="AP470" s="48" t="n"/>
      <c r="AQ470" s="48" t="n"/>
      <c r="AR470" s="48" t="n"/>
      <c r="AS470" s="48" t="n"/>
      <c r="AT470" s="48" t="n"/>
      <c r="AU470" s="48" t="n"/>
      <c r="AV470" s="48" t="n"/>
      <c r="AW470" s="48" t="n"/>
      <c r="AX470" s="48" t="n"/>
      <c r="AY470" s="48" t="n"/>
      <c r="AZ470" s="48" t="n"/>
      <c r="BA470" s="48" t="n"/>
      <c r="BB470" s="48" t="n"/>
      <c r="BC470" s="48" t="n"/>
      <c r="BD470" s="48" t="n"/>
      <c r="BE470" s="48" t="n"/>
      <c r="BF470" s="48" t="n"/>
      <c r="BG470" s="48" t="n"/>
      <c r="BH470" s="48" t="n"/>
      <c r="BI470" s="48" t="n"/>
      <c r="BJ470" s="48" t="n"/>
      <c r="BK470" s="48" t="n"/>
      <c r="BL470" s="48" t="n"/>
      <c r="BM470" s="48" t="n"/>
      <c r="BN470" s="48" t="n"/>
    </row>
    <row r="471">
      <c r="A471" s="47" t="n"/>
      <c r="B471" s="48" t="n"/>
      <c r="C471" s="48" t="n"/>
      <c r="D471" s="49" t="n"/>
      <c r="E471" s="48" t="n"/>
      <c r="F471" s="48" t="n"/>
      <c r="G471" s="50" t="n"/>
      <c r="H471" s="51" t="n"/>
      <c r="I471" s="51" t="n"/>
      <c r="J471" s="48" t="n"/>
      <c r="K471" s="52" t="n"/>
      <c r="L471" s="48" t="n"/>
      <c r="M471" s="48" t="n"/>
      <c r="N471" s="48" t="n"/>
      <c r="O471" s="48" t="n"/>
      <c r="P471" s="48" t="n"/>
      <c r="Q471" s="48" t="n"/>
      <c r="R471" s="48" t="n"/>
      <c r="S471" s="48" t="n"/>
      <c r="T471" s="48" t="n"/>
      <c r="U471" s="48" t="n"/>
      <c r="V471" s="48" t="n"/>
      <c r="W471" s="48" t="n"/>
      <c r="X471" s="48" t="n"/>
      <c r="Y471" s="48" t="n"/>
      <c r="Z471" s="48" t="n"/>
      <c r="AA471" s="48" t="n"/>
      <c r="AB471" s="48" t="n"/>
      <c r="AC471" s="48" t="n"/>
      <c r="AD471" s="48" t="n"/>
      <c r="AE471" s="48" t="n"/>
      <c r="AF471" s="48" t="n"/>
      <c r="AG471" s="48" t="n"/>
      <c r="AH471" s="48" t="n"/>
      <c r="AI471" s="48" t="n"/>
      <c r="AJ471" s="48" t="n"/>
      <c r="AK471" s="48" t="n"/>
      <c r="AL471" s="53" t="n"/>
      <c r="AM471" s="52" t="n"/>
      <c r="AN471" s="48" t="n"/>
      <c r="AO471" s="48" t="n"/>
      <c r="AP471" s="48" t="n"/>
      <c r="AQ471" s="48" t="n"/>
      <c r="AR471" s="48" t="n"/>
      <c r="AS471" s="48" t="n"/>
      <c r="AT471" s="48" t="n"/>
      <c r="AU471" s="48" t="n"/>
      <c r="AV471" s="48" t="n"/>
      <c r="AW471" s="48" t="n"/>
      <c r="AX471" s="48" t="n"/>
      <c r="AY471" s="48" t="n"/>
      <c r="AZ471" s="48" t="n"/>
      <c r="BA471" s="48" t="n"/>
      <c r="BB471" s="48" t="n"/>
      <c r="BC471" s="48" t="n"/>
      <c r="BD471" s="48" t="n"/>
      <c r="BE471" s="48" t="n"/>
      <c r="BF471" s="48" t="n"/>
      <c r="BG471" s="48" t="n"/>
      <c r="BH471" s="48" t="n"/>
      <c r="BI471" s="48" t="n"/>
      <c r="BJ471" s="48" t="n"/>
      <c r="BK471" s="48" t="n"/>
      <c r="BL471" s="48" t="n"/>
      <c r="BM471" s="48" t="n"/>
      <c r="BN471" s="48" t="n"/>
    </row>
    <row r="472">
      <c r="A472" s="47" t="n"/>
      <c r="B472" s="48" t="n"/>
      <c r="C472" s="48" t="n"/>
      <c r="D472" s="49" t="n"/>
      <c r="E472" s="48" t="n"/>
      <c r="F472" s="48" t="n"/>
      <c r="G472" s="50" t="n"/>
      <c r="H472" s="51" t="n"/>
      <c r="I472" s="51" t="n"/>
      <c r="J472" s="48" t="n"/>
      <c r="K472" s="52" t="n"/>
      <c r="L472" s="48" t="n"/>
      <c r="M472" s="48" t="n"/>
      <c r="N472" s="48" t="n"/>
      <c r="O472" s="48" t="n"/>
      <c r="P472" s="48" t="n"/>
      <c r="Q472" s="48" t="n"/>
      <c r="R472" s="48" t="n"/>
      <c r="S472" s="48" t="n"/>
      <c r="T472" s="48" t="n"/>
      <c r="U472" s="48" t="n"/>
      <c r="V472" s="48" t="n"/>
      <c r="W472" s="48" t="n"/>
      <c r="X472" s="48" t="n"/>
      <c r="Y472" s="48" t="n"/>
      <c r="Z472" s="48" t="n"/>
      <c r="AA472" s="48" t="n"/>
      <c r="AB472" s="48" t="n"/>
      <c r="AC472" s="48" t="n"/>
      <c r="AD472" s="48" t="n"/>
      <c r="AE472" s="48" t="n"/>
      <c r="AF472" s="48" t="n"/>
      <c r="AG472" s="48" t="n"/>
      <c r="AH472" s="48" t="n"/>
      <c r="AI472" s="48" t="n"/>
      <c r="AJ472" s="48" t="n"/>
      <c r="AK472" s="48" t="n"/>
      <c r="AL472" s="53" t="n"/>
      <c r="AM472" s="52" t="n"/>
      <c r="AN472" s="48" t="n"/>
      <c r="AO472" s="48" t="n"/>
      <c r="AP472" s="48" t="n"/>
      <c r="AQ472" s="48" t="n"/>
      <c r="AR472" s="48" t="n"/>
      <c r="AS472" s="48" t="n"/>
      <c r="AT472" s="48" t="n"/>
      <c r="AU472" s="48" t="n"/>
      <c r="AV472" s="48" t="n"/>
      <c r="AW472" s="48" t="n"/>
      <c r="AX472" s="48" t="n"/>
      <c r="AY472" s="48" t="n"/>
      <c r="AZ472" s="48" t="n"/>
      <c r="BA472" s="48" t="n"/>
      <c r="BB472" s="48" t="n"/>
      <c r="BC472" s="48" t="n"/>
      <c r="BD472" s="48" t="n"/>
      <c r="BE472" s="48" t="n"/>
      <c r="BF472" s="48" t="n"/>
      <c r="BG472" s="48" t="n"/>
      <c r="BH472" s="48" t="n"/>
      <c r="BI472" s="48" t="n"/>
      <c r="BJ472" s="48" t="n"/>
      <c r="BK472" s="48" t="n"/>
      <c r="BL472" s="48" t="n"/>
      <c r="BM472" s="48" t="n"/>
      <c r="BN472" s="48" t="n"/>
    </row>
    <row r="473">
      <c r="A473" s="47" t="n"/>
      <c r="B473" s="48" t="n"/>
      <c r="C473" s="48" t="n"/>
      <c r="D473" s="49" t="n"/>
      <c r="E473" s="48" t="n"/>
      <c r="F473" s="48" t="n"/>
      <c r="G473" s="50" t="n"/>
      <c r="H473" s="51" t="n"/>
      <c r="I473" s="51" t="n"/>
      <c r="J473" s="48" t="n"/>
      <c r="K473" s="52" t="n"/>
      <c r="L473" s="48" t="n"/>
      <c r="M473" s="48" t="n"/>
      <c r="N473" s="48" t="n"/>
      <c r="O473" s="48" t="n"/>
      <c r="P473" s="48" t="n"/>
      <c r="Q473" s="48" t="n"/>
      <c r="R473" s="48" t="n"/>
      <c r="S473" s="48" t="n"/>
      <c r="T473" s="48" t="n"/>
      <c r="U473" s="48" t="n"/>
      <c r="V473" s="48" t="n"/>
      <c r="W473" s="48" t="n"/>
      <c r="X473" s="48" t="n"/>
      <c r="Y473" s="48" t="n"/>
      <c r="Z473" s="48" t="n"/>
      <c r="AA473" s="48" t="n"/>
      <c r="AB473" s="48" t="n"/>
      <c r="AC473" s="48" t="n"/>
      <c r="AD473" s="48" t="n"/>
      <c r="AE473" s="48" t="n"/>
      <c r="AF473" s="48" t="n"/>
      <c r="AG473" s="48" t="n"/>
      <c r="AH473" s="48" t="n"/>
      <c r="AI473" s="48" t="n"/>
      <c r="AJ473" s="48" t="n"/>
      <c r="AK473" s="48" t="n"/>
      <c r="AL473" s="53" t="n"/>
      <c r="AM473" s="52" t="n"/>
      <c r="AN473" s="48" t="n"/>
      <c r="AO473" s="48" t="n"/>
      <c r="AP473" s="48" t="n"/>
      <c r="AQ473" s="48" t="n"/>
      <c r="AR473" s="48" t="n"/>
      <c r="AS473" s="48" t="n"/>
      <c r="AT473" s="48" t="n"/>
      <c r="AU473" s="48" t="n"/>
      <c r="AV473" s="48" t="n"/>
      <c r="AW473" s="48" t="n"/>
      <c r="AX473" s="48" t="n"/>
      <c r="AY473" s="48" t="n"/>
      <c r="AZ473" s="48" t="n"/>
      <c r="BA473" s="48" t="n"/>
      <c r="BB473" s="48" t="n"/>
      <c r="BC473" s="48" t="n"/>
      <c r="BD473" s="48" t="n"/>
      <c r="BE473" s="48" t="n"/>
      <c r="BF473" s="48" t="n"/>
      <c r="BG473" s="48" t="n"/>
      <c r="BH473" s="48" t="n"/>
      <c r="BI473" s="48" t="n"/>
      <c r="BJ473" s="48" t="n"/>
      <c r="BK473" s="48" t="n"/>
      <c r="BL473" s="48" t="n"/>
      <c r="BM473" s="48" t="n"/>
      <c r="BN473" s="48" t="n"/>
    </row>
    <row r="474">
      <c r="A474" s="47" t="n"/>
      <c r="B474" s="48" t="n"/>
      <c r="C474" s="48" t="n"/>
      <c r="D474" s="49" t="n"/>
      <c r="E474" s="48" t="n"/>
      <c r="F474" s="48" t="n"/>
      <c r="G474" s="50" t="n"/>
      <c r="H474" s="51" t="n"/>
      <c r="I474" s="51" t="n"/>
      <c r="J474" s="48" t="n"/>
      <c r="K474" s="52" t="n"/>
      <c r="L474" s="48" t="n"/>
      <c r="M474" s="48" t="n"/>
      <c r="N474" s="48" t="n"/>
      <c r="O474" s="48" t="n"/>
      <c r="P474" s="48" t="n"/>
      <c r="Q474" s="48" t="n"/>
      <c r="R474" s="48" t="n"/>
      <c r="S474" s="48" t="n"/>
      <c r="T474" s="48" t="n"/>
      <c r="U474" s="48" t="n"/>
      <c r="V474" s="48" t="n"/>
      <c r="W474" s="48" t="n"/>
      <c r="X474" s="48" t="n"/>
      <c r="Y474" s="48" t="n"/>
      <c r="Z474" s="48" t="n"/>
      <c r="AA474" s="48" t="n"/>
      <c r="AB474" s="48" t="n"/>
      <c r="AC474" s="48" t="n"/>
      <c r="AD474" s="48" t="n"/>
      <c r="AE474" s="48" t="n"/>
      <c r="AF474" s="48" t="n"/>
      <c r="AG474" s="48" t="n"/>
      <c r="AH474" s="48" t="n"/>
      <c r="AI474" s="48" t="n"/>
      <c r="AJ474" s="48" t="n"/>
      <c r="AK474" s="48" t="n"/>
      <c r="AL474" s="53" t="n"/>
      <c r="AM474" s="52" t="n"/>
      <c r="AN474" s="48" t="n"/>
      <c r="AO474" s="48" t="n"/>
      <c r="AP474" s="48" t="n"/>
      <c r="AQ474" s="48" t="n"/>
      <c r="AR474" s="48" t="n"/>
      <c r="AS474" s="48" t="n"/>
      <c r="AT474" s="48" t="n"/>
      <c r="AU474" s="48" t="n"/>
      <c r="AV474" s="48" t="n"/>
      <c r="AW474" s="48" t="n"/>
      <c r="AX474" s="48" t="n"/>
      <c r="AY474" s="48" t="n"/>
      <c r="AZ474" s="48" t="n"/>
      <c r="BA474" s="48" t="n"/>
      <c r="BB474" s="48" t="n"/>
      <c r="BC474" s="48" t="n"/>
      <c r="BD474" s="48" t="n"/>
      <c r="BE474" s="48" t="n"/>
      <c r="BF474" s="48" t="n"/>
      <c r="BG474" s="48" t="n"/>
      <c r="BH474" s="48" t="n"/>
      <c r="BI474" s="48" t="n"/>
      <c r="BJ474" s="48" t="n"/>
      <c r="BK474" s="48" t="n"/>
      <c r="BL474" s="48" t="n"/>
      <c r="BM474" s="48" t="n"/>
      <c r="BN474" s="48" t="n"/>
    </row>
    <row r="475">
      <c r="A475" s="47" t="n"/>
      <c r="B475" s="48" t="n"/>
      <c r="C475" s="48" t="n"/>
      <c r="D475" s="49" t="n"/>
      <c r="E475" s="48" t="n"/>
      <c r="F475" s="48" t="n"/>
      <c r="G475" s="50" t="n"/>
      <c r="H475" s="51" t="n"/>
      <c r="I475" s="51" t="n"/>
      <c r="J475" s="48" t="n"/>
      <c r="K475" s="52" t="n"/>
      <c r="L475" s="48" t="n"/>
      <c r="M475" s="48" t="n"/>
      <c r="N475" s="48" t="n"/>
      <c r="O475" s="48" t="n"/>
      <c r="P475" s="48" t="n"/>
      <c r="Q475" s="48" t="n"/>
      <c r="R475" s="48" t="n"/>
      <c r="S475" s="48" t="n"/>
      <c r="T475" s="48" t="n"/>
      <c r="U475" s="48" t="n"/>
      <c r="V475" s="48" t="n"/>
      <c r="W475" s="48" t="n"/>
      <c r="X475" s="48" t="n"/>
      <c r="Y475" s="48" t="n"/>
      <c r="Z475" s="48" t="n"/>
      <c r="AA475" s="48" t="n"/>
      <c r="AB475" s="48" t="n"/>
      <c r="AC475" s="48" t="n"/>
      <c r="AD475" s="48" t="n"/>
      <c r="AE475" s="48" t="n"/>
      <c r="AF475" s="48" t="n"/>
      <c r="AG475" s="48" t="n"/>
      <c r="AH475" s="48" t="n"/>
      <c r="AI475" s="48" t="n"/>
      <c r="AJ475" s="48" t="n"/>
      <c r="AK475" s="48" t="n"/>
      <c r="AL475" s="53" t="n"/>
      <c r="AM475" s="52" t="n"/>
      <c r="AN475" s="48" t="n"/>
      <c r="AO475" s="48" t="n"/>
      <c r="AP475" s="48" t="n"/>
      <c r="AQ475" s="48" t="n"/>
      <c r="AR475" s="48" t="n"/>
      <c r="AS475" s="48" t="n"/>
      <c r="AT475" s="48" t="n"/>
      <c r="AU475" s="48" t="n"/>
      <c r="AV475" s="48" t="n"/>
      <c r="AW475" s="48" t="n"/>
      <c r="AX475" s="48" t="n"/>
      <c r="AY475" s="48" t="n"/>
      <c r="AZ475" s="48" t="n"/>
      <c r="BA475" s="48" t="n"/>
      <c r="BB475" s="48" t="n"/>
      <c r="BC475" s="48" t="n"/>
      <c r="BD475" s="48" t="n"/>
      <c r="BE475" s="48" t="n"/>
      <c r="BF475" s="48" t="n"/>
      <c r="BG475" s="48" t="n"/>
      <c r="BH475" s="48" t="n"/>
      <c r="BI475" s="48" t="n"/>
      <c r="BJ475" s="48" t="n"/>
      <c r="BK475" s="48" t="n"/>
      <c r="BL475" s="48" t="n"/>
      <c r="BM475" s="48" t="n"/>
      <c r="BN475" s="48" t="n"/>
    </row>
    <row r="476">
      <c r="A476" s="47" t="n"/>
      <c r="B476" s="48" t="n"/>
      <c r="C476" s="48" t="n"/>
      <c r="D476" s="49" t="n"/>
      <c r="E476" s="48" t="n"/>
      <c r="F476" s="48" t="n"/>
      <c r="G476" s="50" t="n"/>
      <c r="H476" s="51" t="n"/>
      <c r="I476" s="51" t="n"/>
      <c r="J476" s="48" t="n"/>
      <c r="K476" s="52" t="n"/>
      <c r="L476" s="48" t="n"/>
      <c r="M476" s="48" t="n"/>
      <c r="N476" s="48" t="n"/>
      <c r="O476" s="48" t="n"/>
      <c r="P476" s="48" t="n"/>
      <c r="Q476" s="48" t="n"/>
      <c r="R476" s="48" t="n"/>
      <c r="S476" s="48" t="n"/>
      <c r="T476" s="48" t="n"/>
      <c r="U476" s="48" t="n"/>
      <c r="V476" s="48" t="n"/>
      <c r="W476" s="48" t="n"/>
      <c r="X476" s="48" t="n"/>
      <c r="Y476" s="48" t="n"/>
      <c r="Z476" s="48" t="n"/>
      <c r="AA476" s="48" t="n"/>
      <c r="AB476" s="48" t="n"/>
      <c r="AC476" s="48" t="n"/>
      <c r="AD476" s="48" t="n"/>
      <c r="AE476" s="48" t="n"/>
      <c r="AF476" s="48" t="n"/>
      <c r="AG476" s="48" t="n"/>
      <c r="AH476" s="48" t="n"/>
      <c r="AI476" s="48" t="n"/>
      <c r="AJ476" s="48" t="n"/>
      <c r="AK476" s="48" t="n"/>
      <c r="AL476" s="53" t="n"/>
      <c r="AM476" s="52" t="n"/>
      <c r="AN476" s="48" t="n"/>
      <c r="AO476" s="48" t="n"/>
      <c r="AP476" s="48" t="n"/>
      <c r="AQ476" s="48" t="n"/>
      <c r="AR476" s="48" t="n"/>
      <c r="AS476" s="48" t="n"/>
      <c r="AT476" s="48" t="n"/>
      <c r="AU476" s="48" t="n"/>
      <c r="AV476" s="48" t="n"/>
      <c r="AW476" s="48" t="n"/>
      <c r="AX476" s="48" t="n"/>
      <c r="AY476" s="48" t="n"/>
      <c r="AZ476" s="48" t="n"/>
      <c r="BA476" s="48" t="n"/>
      <c r="BB476" s="48" t="n"/>
      <c r="BC476" s="48" t="n"/>
      <c r="BD476" s="48" t="n"/>
      <c r="BE476" s="48" t="n"/>
      <c r="BF476" s="48" t="n"/>
      <c r="BG476" s="48" t="n"/>
      <c r="BH476" s="48" t="n"/>
      <c r="BI476" s="48" t="n"/>
      <c r="BJ476" s="48" t="n"/>
      <c r="BK476" s="48" t="n"/>
      <c r="BL476" s="48" t="n"/>
      <c r="BM476" s="48" t="n"/>
      <c r="BN476" s="48" t="n"/>
    </row>
    <row r="477">
      <c r="A477" s="47" t="n"/>
      <c r="B477" s="48" t="n"/>
      <c r="C477" s="48" t="n"/>
      <c r="D477" s="49" t="n"/>
      <c r="E477" s="48" t="n"/>
      <c r="F477" s="48" t="n"/>
      <c r="G477" s="50" t="n"/>
      <c r="H477" s="51" t="n"/>
      <c r="I477" s="51" t="n"/>
      <c r="J477" s="48" t="n"/>
      <c r="K477" s="52" t="n"/>
      <c r="L477" s="48" t="n"/>
      <c r="M477" s="48" t="n"/>
      <c r="N477" s="48" t="n"/>
      <c r="O477" s="48" t="n"/>
      <c r="P477" s="48" t="n"/>
      <c r="Q477" s="48" t="n"/>
      <c r="R477" s="48" t="n"/>
      <c r="S477" s="48" t="n"/>
      <c r="T477" s="48" t="n"/>
      <c r="U477" s="48" t="n"/>
      <c r="V477" s="48" t="n"/>
      <c r="W477" s="48" t="n"/>
      <c r="X477" s="48" t="n"/>
      <c r="Y477" s="48" t="n"/>
      <c r="Z477" s="48" t="n"/>
      <c r="AA477" s="48" t="n"/>
      <c r="AB477" s="48" t="n"/>
      <c r="AC477" s="48" t="n"/>
      <c r="AD477" s="48" t="n"/>
      <c r="AE477" s="48" t="n"/>
      <c r="AF477" s="48" t="n"/>
      <c r="AG477" s="48" t="n"/>
      <c r="AH477" s="48" t="n"/>
      <c r="AI477" s="48" t="n"/>
      <c r="AJ477" s="48" t="n"/>
      <c r="AK477" s="48" t="n"/>
      <c r="AL477" s="53" t="n"/>
      <c r="AM477" s="52" t="n"/>
      <c r="AN477" s="48" t="n"/>
      <c r="AO477" s="48" t="n"/>
      <c r="AP477" s="48" t="n"/>
      <c r="AQ477" s="48" t="n"/>
      <c r="AR477" s="48" t="n"/>
      <c r="AS477" s="48" t="n"/>
      <c r="AT477" s="48" t="n"/>
      <c r="AU477" s="48" t="n"/>
      <c r="AV477" s="48" t="n"/>
      <c r="AW477" s="48" t="n"/>
      <c r="AX477" s="48" t="n"/>
      <c r="AY477" s="48" t="n"/>
      <c r="AZ477" s="48" t="n"/>
      <c r="BA477" s="48" t="n"/>
      <c r="BB477" s="48" t="n"/>
      <c r="BC477" s="48" t="n"/>
      <c r="BD477" s="48" t="n"/>
      <c r="BE477" s="48" t="n"/>
      <c r="BF477" s="48" t="n"/>
      <c r="BG477" s="48" t="n"/>
      <c r="BH477" s="48" t="n"/>
      <c r="BI477" s="48" t="n"/>
      <c r="BJ477" s="48" t="n"/>
      <c r="BK477" s="48" t="n"/>
      <c r="BL477" s="48" t="n"/>
      <c r="BM477" s="48" t="n"/>
      <c r="BN477" s="48" t="n"/>
    </row>
    <row r="478">
      <c r="A478" s="47" t="n"/>
      <c r="B478" s="48" t="n"/>
      <c r="C478" s="48" t="n"/>
      <c r="D478" s="49" t="n"/>
      <c r="E478" s="48" t="n"/>
      <c r="F478" s="48" t="n"/>
      <c r="G478" s="50" t="n"/>
      <c r="H478" s="51" t="n"/>
      <c r="I478" s="51" t="n"/>
      <c r="J478" s="48" t="n"/>
      <c r="K478" s="52" t="n"/>
      <c r="L478" s="48" t="n"/>
      <c r="M478" s="48" t="n"/>
      <c r="N478" s="48" t="n"/>
      <c r="O478" s="48" t="n"/>
      <c r="P478" s="48" t="n"/>
      <c r="Q478" s="48" t="n"/>
      <c r="R478" s="48" t="n"/>
      <c r="S478" s="48" t="n"/>
      <c r="T478" s="48" t="n"/>
      <c r="U478" s="48" t="n"/>
      <c r="V478" s="48" t="n"/>
      <c r="W478" s="48" t="n"/>
      <c r="X478" s="48" t="n"/>
      <c r="Y478" s="48" t="n"/>
      <c r="Z478" s="48" t="n"/>
      <c r="AA478" s="48" t="n"/>
      <c r="AB478" s="48" t="n"/>
      <c r="AC478" s="48" t="n"/>
      <c r="AD478" s="48" t="n"/>
      <c r="AE478" s="48" t="n"/>
      <c r="AF478" s="48" t="n"/>
      <c r="AG478" s="48" t="n"/>
      <c r="AH478" s="48" t="n"/>
      <c r="AI478" s="48" t="n"/>
      <c r="AJ478" s="48" t="n"/>
      <c r="AK478" s="48" t="n"/>
      <c r="AL478" s="53" t="n"/>
      <c r="AM478" s="52" t="n"/>
      <c r="AN478" s="48" t="n"/>
      <c r="AO478" s="48" t="n"/>
      <c r="AP478" s="48" t="n"/>
      <c r="AQ478" s="48" t="n"/>
      <c r="AR478" s="48" t="n"/>
      <c r="AS478" s="48" t="n"/>
      <c r="AT478" s="48" t="n"/>
      <c r="AU478" s="48" t="n"/>
      <c r="AV478" s="48" t="n"/>
      <c r="AW478" s="48" t="n"/>
      <c r="AX478" s="48" t="n"/>
      <c r="AY478" s="48" t="n"/>
      <c r="AZ478" s="48" t="n"/>
      <c r="BA478" s="48" t="n"/>
      <c r="BB478" s="48" t="n"/>
      <c r="BC478" s="48" t="n"/>
      <c r="BD478" s="48" t="n"/>
      <c r="BE478" s="48" t="n"/>
      <c r="BF478" s="48" t="n"/>
      <c r="BG478" s="48" t="n"/>
      <c r="BH478" s="48" t="n"/>
      <c r="BI478" s="48" t="n"/>
      <c r="BJ478" s="48" t="n"/>
      <c r="BK478" s="48" t="n"/>
      <c r="BL478" s="48" t="n"/>
      <c r="BM478" s="48" t="n"/>
      <c r="BN478" s="48" t="n"/>
    </row>
    <row r="479">
      <c r="A479" s="47" t="n"/>
      <c r="B479" s="48" t="n"/>
      <c r="C479" s="48" t="n"/>
      <c r="D479" s="49" t="n"/>
      <c r="E479" s="48" t="n"/>
      <c r="F479" s="48" t="n"/>
      <c r="G479" s="50" t="n"/>
      <c r="H479" s="51" t="n"/>
      <c r="I479" s="51" t="n"/>
      <c r="J479" s="48" t="n"/>
      <c r="K479" s="52" t="n"/>
      <c r="L479" s="48" t="n"/>
      <c r="M479" s="48" t="n"/>
      <c r="N479" s="48" t="n"/>
      <c r="O479" s="48" t="n"/>
      <c r="P479" s="48" t="n"/>
      <c r="Q479" s="48" t="n"/>
      <c r="R479" s="48" t="n"/>
      <c r="S479" s="48" t="n"/>
      <c r="T479" s="48" t="n"/>
      <c r="U479" s="48" t="n"/>
      <c r="V479" s="48" t="n"/>
      <c r="W479" s="48" t="n"/>
      <c r="X479" s="48" t="n"/>
      <c r="Y479" s="48" t="n"/>
      <c r="Z479" s="48" t="n"/>
      <c r="AA479" s="48" t="n"/>
      <c r="AB479" s="48" t="n"/>
      <c r="AC479" s="48" t="n"/>
      <c r="AD479" s="48" t="n"/>
      <c r="AE479" s="48" t="n"/>
      <c r="AF479" s="48" t="n"/>
      <c r="AG479" s="48" t="n"/>
      <c r="AH479" s="48" t="n"/>
      <c r="AI479" s="48" t="n"/>
      <c r="AJ479" s="48" t="n"/>
      <c r="AK479" s="48" t="n"/>
      <c r="AL479" s="53" t="n"/>
      <c r="AM479" s="52" t="n"/>
      <c r="AN479" s="48" t="n"/>
      <c r="AO479" s="48" t="n"/>
      <c r="AP479" s="48" t="n"/>
      <c r="AQ479" s="48" t="n"/>
      <c r="AR479" s="48" t="n"/>
      <c r="AS479" s="48" t="n"/>
      <c r="AT479" s="48" t="n"/>
      <c r="AU479" s="48" t="n"/>
      <c r="AV479" s="48" t="n"/>
      <c r="AW479" s="48" t="n"/>
      <c r="AX479" s="48" t="n"/>
      <c r="AY479" s="48" t="n"/>
      <c r="AZ479" s="48" t="n"/>
      <c r="BA479" s="48" t="n"/>
      <c r="BB479" s="48" t="n"/>
      <c r="BC479" s="48" t="n"/>
      <c r="BD479" s="48" t="n"/>
      <c r="BE479" s="48" t="n"/>
      <c r="BF479" s="48" t="n"/>
      <c r="BG479" s="48" t="n"/>
      <c r="BH479" s="48" t="n"/>
      <c r="BI479" s="48" t="n"/>
      <c r="BJ479" s="48" t="n"/>
      <c r="BK479" s="48" t="n"/>
      <c r="BL479" s="48" t="n"/>
      <c r="BM479" s="48" t="n"/>
      <c r="BN479" s="48" t="n"/>
    </row>
    <row r="480">
      <c r="A480" s="47" t="n"/>
      <c r="B480" s="48" t="n"/>
      <c r="C480" s="48" t="n"/>
      <c r="D480" s="49" t="n"/>
      <c r="E480" s="48" t="n"/>
      <c r="F480" s="48" t="n"/>
      <c r="G480" s="50" t="n"/>
      <c r="H480" s="51" t="n"/>
      <c r="I480" s="51" t="n"/>
      <c r="J480" s="48" t="n"/>
      <c r="K480" s="52" t="n"/>
      <c r="L480" s="48" t="n"/>
      <c r="M480" s="48" t="n"/>
      <c r="N480" s="48" t="n"/>
      <c r="O480" s="48" t="n"/>
      <c r="P480" s="48" t="n"/>
      <c r="Q480" s="48" t="n"/>
      <c r="R480" s="48" t="n"/>
      <c r="S480" s="48" t="n"/>
      <c r="T480" s="48" t="n"/>
      <c r="U480" s="48" t="n"/>
      <c r="V480" s="48" t="n"/>
      <c r="W480" s="48" t="n"/>
      <c r="X480" s="48" t="n"/>
      <c r="Y480" s="48" t="n"/>
      <c r="Z480" s="48" t="n"/>
      <c r="AA480" s="48" t="n"/>
      <c r="AB480" s="48" t="n"/>
      <c r="AC480" s="48" t="n"/>
      <c r="AD480" s="48" t="n"/>
      <c r="AE480" s="48" t="n"/>
      <c r="AF480" s="48" t="n"/>
      <c r="AG480" s="48" t="n"/>
      <c r="AH480" s="48" t="n"/>
      <c r="AI480" s="48" t="n"/>
      <c r="AJ480" s="48" t="n"/>
      <c r="AK480" s="48" t="n"/>
      <c r="AL480" s="53" t="n"/>
      <c r="AM480" s="52" t="n"/>
      <c r="AN480" s="48" t="n"/>
      <c r="AO480" s="48" t="n"/>
      <c r="AP480" s="48" t="n"/>
      <c r="AQ480" s="48" t="n"/>
      <c r="AR480" s="48" t="n"/>
      <c r="AS480" s="48" t="n"/>
      <c r="AT480" s="48" t="n"/>
      <c r="AU480" s="48" t="n"/>
      <c r="AV480" s="48" t="n"/>
      <c r="AW480" s="48" t="n"/>
      <c r="AX480" s="48" t="n"/>
      <c r="AY480" s="48" t="n"/>
      <c r="AZ480" s="48" t="n"/>
      <c r="BA480" s="48" t="n"/>
      <c r="BB480" s="48" t="n"/>
      <c r="BC480" s="48" t="n"/>
      <c r="BD480" s="48" t="n"/>
      <c r="BE480" s="48" t="n"/>
      <c r="BF480" s="48" t="n"/>
      <c r="BG480" s="48" t="n"/>
      <c r="BH480" s="48" t="n"/>
      <c r="BI480" s="48" t="n"/>
      <c r="BJ480" s="48" t="n"/>
      <c r="BK480" s="48" t="n"/>
      <c r="BL480" s="48" t="n"/>
      <c r="BM480" s="48" t="n"/>
      <c r="BN480" s="48" t="n"/>
    </row>
    <row r="481">
      <c r="A481" s="47" t="n"/>
      <c r="B481" s="48" t="n"/>
      <c r="C481" s="48" t="n"/>
      <c r="D481" s="49" t="n"/>
      <c r="E481" s="48" t="n"/>
      <c r="F481" s="48" t="n"/>
      <c r="G481" s="50" t="n"/>
      <c r="H481" s="51" t="n"/>
      <c r="I481" s="51" t="n"/>
      <c r="J481" s="48" t="n"/>
      <c r="K481" s="52" t="n"/>
      <c r="L481" s="48" t="n"/>
      <c r="M481" s="48" t="n"/>
      <c r="N481" s="48" t="n"/>
      <c r="O481" s="48" t="n"/>
      <c r="P481" s="48" t="n"/>
      <c r="Q481" s="48" t="n"/>
      <c r="R481" s="48" t="n"/>
      <c r="S481" s="48" t="n"/>
      <c r="T481" s="48" t="n"/>
      <c r="U481" s="48" t="n"/>
      <c r="V481" s="48" t="n"/>
      <c r="W481" s="48" t="n"/>
      <c r="X481" s="48" t="n"/>
      <c r="Y481" s="48" t="n"/>
      <c r="Z481" s="48" t="n"/>
      <c r="AA481" s="48" t="n"/>
      <c r="AB481" s="48" t="n"/>
      <c r="AC481" s="48" t="n"/>
      <c r="AD481" s="48" t="n"/>
      <c r="AE481" s="48" t="n"/>
      <c r="AF481" s="48" t="n"/>
      <c r="AG481" s="48" t="n"/>
      <c r="AH481" s="48" t="n"/>
      <c r="AI481" s="48" t="n"/>
      <c r="AJ481" s="48" t="n"/>
      <c r="AK481" s="48" t="n"/>
      <c r="AL481" s="53" t="n"/>
      <c r="AM481" s="52" t="n"/>
      <c r="AN481" s="48" t="n"/>
      <c r="AO481" s="48" t="n"/>
      <c r="AP481" s="48" t="n"/>
      <c r="AQ481" s="48" t="n"/>
      <c r="AR481" s="48" t="n"/>
      <c r="AS481" s="48" t="n"/>
      <c r="AT481" s="48" t="n"/>
      <c r="AU481" s="48" t="n"/>
      <c r="AV481" s="48" t="n"/>
      <c r="AW481" s="48" t="n"/>
      <c r="AX481" s="48" t="n"/>
      <c r="AY481" s="48" t="n"/>
      <c r="AZ481" s="48" t="n"/>
      <c r="BA481" s="48" t="n"/>
      <c r="BB481" s="48" t="n"/>
      <c r="BC481" s="48" t="n"/>
      <c r="BD481" s="48" t="n"/>
      <c r="BE481" s="48" t="n"/>
      <c r="BF481" s="48" t="n"/>
      <c r="BG481" s="48" t="n"/>
      <c r="BH481" s="48" t="n"/>
      <c r="BI481" s="48" t="n"/>
      <c r="BJ481" s="48" t="n"/>
      <c r="BK481" s="48" t="n"/>
      <c r="BL481" s="48" t="n"/>
      <c r="BM481" s="48" t="n"/>
      <c r="BN481" s="48" t="n"/>
    </row>
    <row r="482">
      <c r="A482" s="47" t="n"/>
      <c r="B482" s="48" t="n"/>
      <c r="C482" s="48" t="n"/>
      <c r="D482" s="49" t="n"/>
      <c r="E482" s="48" t="n"/>
      <c r="F482" s="48" t="n"/>
      <c r="G482" s="50" t="n"/>
      <c r="H482" s="51" t="n"/>
      <c r="I482" s="51" t="n"/>
      <c r="J482" s="48" t="n"/>
      <c r="K482" s="52" t="n"/>
      <c r="L482" s="48" t="n"/>
      <c r="M482" s="48" t="n"/>
      <c r="N482" s="48" t="n"/>
      <c r="O482" s="48" t="n"/>
      <c r="P482" s="48" t="n"/>
      <c r="Q482" s="48" t="n"/>
      <c r="R482" s="48" t="n"/>
      <c r="S482" s="48" t="n"/>
      <c r="T482" s="48" t="n"/>
      <c r="U482" s="48" t="n"/>
      <c r="V482" s="48" t="n"/>
      <c r="W482" s="48" t="n"/>
      <c r="X482" s="48" t="n"/>
      <c r="Y482" s="48" t="n"/>
      <c r="Z482" s="48" t="n"/>
      <c r="AA482" s="48" t="n"/>
      <c r="AB482" s="48" t="n"/>
      <c r="AC482" s="48" t="n"/>
      <c r="AD482" s="48" t="n"/>
      <c r="AE482" s="48" t="n"/>
      <c r="AF482" s="48" t="n"/>
      <c r="AG482" s="48" t="n"/>
      <c r="AH482" s="48" t="n"/>
      <c r="AI482" s="48" t="n"/>
      <c r="AJ482" s="48" t="n"/>
      <c r="AK482" s="48" t="n"/>
      <c r="AL482" s="53" t="n"/>
      <c r="AM482" s="52" t="n"/>
      <c r="AN482" s="48" t="n"/>
      <c r="AO482" s="48" t="n"/>
      <c r="AP482" s="48" t="n"/>
      <c r="AQ482" s="48" t="n"/>
      <c r="AR482" s="48" t="n"/>
      <c r="AS482" s="48" t="n"/>
      <c r="AT482" s="48" t="n"/>
      <c r="AU482" s="48" t="n"/>
      <c r="AV482" s="48" t="n"/>
      <c r="AW482" s="48" t="n"/>
      <c r="AX482" s="48" t="n"/>
      <c r="AY482" s="48" t="n"/>
      <c r="AZ482" s="48" t="n"/>
      <c r="BA482" s="48" t="n"/>
      <c r="BB482" s="48" t="n"/>
      <c r="BC482" s="48" t="n"/>
      <c r="BD482" s="48" t="n"/>
      <c r="BE482" s="48" t="n"/>
      <c r="BF482" s="48" t="n"/>
      <c r="BG482" s="48" t="n"/>
      <c r="BH482" s="48" t="n"/>
      <c r="BI482" s="48" t="n"/>
      <c r="BJ482" s="48" t="n"/>
      <c r="BK482" s="48" t="n"/>
      <c r="BL482" s="48" t="n"/>
      <c r="BM482" s="48" t="n"/>
      <c r="BN482" s="48" t="n"/>
    </row>
    <row r="483">
      <c r="A483" s="47" t="n"/>
      <c r="B483" s="48" t="n"/>
      <c r="C483" s="48" t="n"/>
      <c r="D483" s="49" t="n"/>
      <c r="E483" s="48" t="n"/>
      <c r="F483" s="48" t="n"/>
      <c r="G483" s="50" t="n"/>
      <c r="H483" s="51" t="n"/>
      <c r="I483" s="51" t="n"/>
      <c r="J483" s="48" t="n"/>
      <c r="K483" s="52" t="n"/>
      <c r="L483" s="48" t="n"/>
      <c r="M483" s="48" t="n"/>
      <c r="N483" s="48" t="n"/>
      <c r="O483" s="48" t="n"/>
      <c r="P483" s="48" t="n"/>
      <c r="Q483" s="48" t="n"/>
      <c r="R483" s="48" t="n"/>
      <c r="S483" s="48" t="n"/>
      <c r="T483" s="48" t="n"/>
      <c r="U483" s="48" t="n"/>
      <c r="V483" s="48" t="n"/>
      <c r="W483" s="48" t="n"/>
      <c r="X483" s="48" t="n"/>
      <c r="Y483" s="48" t="n"/>
      <c r="Z483" s="48" t="n"/>
      <c r="AA483" s="48" t="n"/>
      <c r="AB483" s="48" t="n"/>
      <c r="AC483" s="48" t="n"/>
      <c r="AD483" s="48" t="n"/>
      <c r="AE483" s="48" t="n"/>
      <c r="AF483" s="48" t="n"/>
      <c r="AG483" s="48" t="n"/>
      <c r="AH483" s="48" t="n"/>
      <c r="AI483" s="48" t="n"/>
      <c r="AJ483" s="48" t="n"/>
      <c r="AK483" s="48" t="n"/>
      <c r="AL483" s="53" t="n"/>
      <c r="AM483" s="52" t="n"/>
      <c r="AN483" s="48" t="n"/>
      <c r="AO483" s="48" t="n"/>
      <c r="AP483" s="48" t="n"/>
      <c r="AQ483" s="48" t="n"/>
      <c r="AR483" s="48" t="n"/>
      <c r="AS483" s="48" t="n"/>
      <c r="AT483" s="48" t="n"/>
      <c r="AU483" s="48" t="n"/>
      <c r="AV483" s="48" t="n"/>
      <c r="AW483" s="48" t="n"/>
      <c r="AX483" s="48" t="n"/>
      <c r="AY483" s="48" t="n"/>
      <c r="AZ483" s="48" t="n"/>
      <c r="BA483" s="48" t="n"/>
      <c r="BB483" s="48" t="n"/>
      <c r="BC483" s="48" t="n"/>
      <c r="BD483" s="48" t="n"/>
      <c r="BE483" s="48" t="n"/>
      <c r="BF483" s="48" t="n"/>
      <c r="BG483" s="48" t="n"/>
      <c r="BH483" s="48" t="n"/>
      <c r="BI483" s="48" t="n"/>
      <c r="BJ483" s="48" t="n"/>
      <c r="BK483" s="48" t="n"/>
      <c r="BL483" s="48" t="n"/>
      <c r="BM483" s="48" t="n"/>
      <c r="BN483" s="48" t="n"/>
    </row>
    <row r="484">
      <c r="A484" s="47" t="n"/>
      <c r="B484" s="48" t="n"/>
      <c r="C484" s="48" t="n"/>
      <c r="D484" s="49" t="n"/>
      <c r="E484" s="48" t="n"/>
      <c r="F484" s="48" t="n"/>
      <c r="G484" s="50" t="n"/>
      <c r="H484" s="51" t="n"/>
      <c r="I484" s="51" t="n"/>
      <c r="J484" s="48" t="n"/>
      <c r="K484" s="52" t="n"/>
      <c r="L484" s="48" t="n"/>
      <c r="M484" s="48" t="n"/>
      <c r="N484" s="48" t="n"/>
      <c r="O484" s="48" t="n"/>
      <c r="P484" s="48" t="n"/>
      <c r="Q484" s="48" t="n"/>
      <c r="R484" s="48" t="n"/>
      <c r="S484" s="48" t="n"/>
      <c r="T484" s="48" t="n"/>
      <c r="U484" s="48" t="n"/>
      <c r="V484" s="48" t="n"/>
      <c r="W484" s="48" t="n"/>
      <c r="X484" s="48" t="n"/>
      <c r="Y484" s="48" t="n"/>
      <c r="Z484" s="48" t="n"/>
      <c r="AA484" s="48" t="n"/>
      <c r="AB484" s="48" t="n"/>
      <c r="AC484" s="48" t="n"/>
      <c r="AD484" s="48" t="n"/>
      <c r="AE484" s="48" t="n"/>
      <c r="AF484" s="48" t="n"/>
      <c r="AG484" s="48" t="n"/>
      <c r="AH484" s="48" t="n"/>
      <c r="AI484" s="48" t="n"/>
      <c r="AJ484" s="48" t="n"/>
      <c r="AK484" s="48" t="n"/>
      <c r="AL484" s="53" t="n"/>
      <c r="AM484" s="52" t="n"/>
      <c r="AN484" s="48" t="n"/>
      <c r="AO484" s="48" t="n"/>
      <c r="AP484" s="48" t="n"/>
      <c r="AQ484" s="48" t="n"/>
      <c r="AR484" s="48" t="n"/>
      <c r="AS484" s="48" t="n"/>
      <c r="AT484" s="48" t="n"/>
      <c r="AU484" s="48" t="n"/>
      <c r="AV484" s="48" t="n"/>
      <c r="AW484" s="48" t="n"/>
      <c r="AX484" s="48" t="n"/>
      <c r="AY484" s="48" t="n"/>
      <c r="AZ484" s="48" t="n"/>
      <c r="BA484" s="48" t="n"/>
      <c r="BB484" s="48" t="n"/>
      <c r="BC484" s="48" t="n"/>
      <c r="BD484" s="48" t="n"/>
      <c r="BE484" s="48" t="n"/>
      <c r="BF484" s="48" t="n"/>
      <c r="BG484" s="48" t="n"/>
      <c r="BH484" s="48" t="n"/>
      <c r="BI484" s="48" t="n"/>
      <c r="BJ484" s="48" t="n"/>
      <c r="BK484" s="48" t="n"/>
      <c r="BL484" s="48" t="n"/>
      <c r="BM484" s="48" t="n"/>
      <c r="BN484" s="48" t="n"/>
    </row>
    <row r="485">
      <c r="A485" s="47" t="n"/>
      <c r="B485" s="48" t="n"/>
      <c r="C485" s="48" t="n"/>
      <c r="D485" s="49" t="n"/>
      <c r="E485" s="48" t="n"/>
      <c r="F485" s="48" t="n"/>
      <c r="G485" s="50" t="n"/>
      <c r="H485" s="51" t="n"/>
      <c r="I485" s="51" t="n"/>
      <c r="J485" s="48" t="n"/>
      <c r="K485" s="52" t="n"/>
      <c r="L485" s="48" t="n"/>
      <c r="M485" s="48" t="n"/>
      <c r="N485" s="48" t="n"/>
      <c r="O485" s="48" t="n"/>
      <c r="P485" s="48" t="n"/>
      <c r="Q485" s="48" t="n"/>
      <c r="R485" s="48" t="n"/>
      <c r="S485" s="48" t="n"/>
      <c r="T485" s="48" t="n"/>
      <c r="U485" s="48" t="n"/>
      <c r="V485" s="48" t="n"/>
      <c r="W485" s="48" t="n"/>
      <c r="X485" s="48" t="n"/>
      <c r="Y485" s="48" t="n"/>
      <c r="Z485" s="48" t="n"/>
      <c r="AA485" s="48" t="n"/>
      <c r="AB485" s="48" t="n"/>
      <c r="AC485" s="48" t="n"/>
      <c r="AD485" s="48" t="n"/>
      <c r="AE485" s="48" t="n"/>
      <c r="AF485" s="48" t="n"/>
      <c r="AG485" s="48" t="n"/>
      <c r="AH485" s="48" t="n"/>
      <c r="AI485" s="48" t="n"/>
      <c r="AJ485" s="48" t="n"/>
      <c r="AK485" s="48" t="n"/>
      <c r="AL485" s="53" t="n"/>
      <c r="AM485" s="52" t="n"/>
      <c r="AN485" s="48" t="n"/>
      <c r="AO485" s="48" t="n"/>
      <c r="AP485" s="48" t="n"/>
      <c r="AQ485" s="48" t="n"/>
      <c r="AR485" s="48" t="n"/>
      <c r="AS485" s="48" t="n"/>
      <c r="AT485" s="48" t="n"/>
      <c r="AU485" s="48" t="n"/>
      <c r="AV485" s="48" t="n"/>
      <c r="AW485" s="48" t="n"/>
      <c r="AX485" s="48" t="n"/>
      <c r="AY485" s="48" t="n"/>
      <c r="AZ485" s="48" t="n"/>
      <c r="BA485" s="48" t="n"/>
      <c r="BB485" s="48" t="n"/>
      <c r="BC485" s="48" t="n"/>
      <c r="BD485" s="48" t="n"/>
      <c r="BE485" s="48" t="n"/>
      <c r="BF485" s="48" t="n"/>
      <c r="BG485" s="48" t="n"/>
      <c r="BH485" s="48" t="n"/>
      <c r="BI485" s="48" t="n"/>
      <c r="BJ485" s="48" t="n"/>
      <c r="BK485" s="48" t="n"/>
      <c r="BL485" s="48" t="n"/>
      <c r="BM485" s="48" t="n"/>
      <c r="BN485" s="48" t="n"/>
    </row>
    <row r="486">
      <c r="A486" s="47" t="n"/>
      <c r="B486" s="48" t="n"/>
      <c r="C486" s="48" t="n"/>
      <c r="D486" s="49" t="n"/>
      <c r="E486" s="48" t="n"/>
      <c r="F486" s="48" t="n"/>
      <c r="G486" s="50" t="n"/>
      <c r="H486" s="51" t="n"/>
      <c r="I486" s="51" t="n"/>
      <c r="J486" s="48" t="n"/>
      <c r="K486" s="52" t="n"/>
      <c r="L486" s="48" t="n"/>
      <c r="M486" s="48" t="n"/>
      <c r="N486" s="48" t="n"/>
      <c r="O486" s="48" t="n"/>
      <c r="P486" s="48" t="n"/>
      <c r="Q486" s="48" t="n"/>
      <c r="R486" s="48" t="n"/>
      <c r="S486" s="48" t="n"/>
      <c r="T486" s="48" t="n"/>
      <c r="U486" s="48" t="n"/>
      <c r="V486" s="48" t="n"/>
      <c r="W486" s="48" t="n"/>
      <c r="X486" s="48" t="n"/>
      <c r="Y486" s="48" t="n"/>
      <c r="Z486" s="48" t="n"/>
      <c r="AA486" s="48" t="n"/>
      <c r="AB486" s="48" t="n"/>
      <c r="AC486" s="48" t="n"/>
      <c r="AD486" s="48" t="n"/>
      <c r="AE486" s="48" t="n"/>
      <c r="AF486" s="48" t="n"/>
      <c r="AG486" s="48" t="n"/>
      <c r="AH486" s="48" t="n"/>
      <c r="AI486" s="48" t="n"/>
      <c r="AJ486" s="48" t="n"/>
      <c r="AK486" s="48" t="n"/>
      <c r="AL486" s="53" t="n"/>
      <c r="AM486" s="52" t="n"/>
      <c r="AN486" s="48" t="n"/>
      <c r="AO486" s="48" t="n"/>
      <c r="AP486" s="48" t="n"/>
      <c r="AQ486" s="48" t="n"/>
      <c r="AR486" s="48" t="n"/>
      <c r="AS486" s="48" t="n"/>
      <c r="AT486" s="48" t="n"/>
      <c r="AU486" s="48" t="n"/>
      <c r="AV486" s="48" t="n"/>
      <c r="AW486" s="48" t="n"/>
      <c r="AX486" s="48" t="n"/>
      <c r="AY486" s="48" t="n"/>
      <c r="AZ486" s="48" t="n"/>
      <c r="BA486" s="48" t="n"/>
      <c r="BB486" s="48" t="n"/>
      <c r="BC486" s="48" t="n"/>
      <c r="BD486" s="48" t="n"/>
      <c r="BE486" s="48" t="n"/>
      <c r="BF486" s="48" t="n"/>
      <c r="BG486" s="48" t="n"/>
      <c r="BH486" s="48" t="n"/>
      <c r="BI486" s="48" t="n"/>
      <c r="BJ486" s="48" t="n"/>
      <c r="BK486" s="48" t="n"/>
      <c r="BL486" s="48" t="n"/>
      <c r="BM486" s="48" t="n"/>
      <c r="BN486" s="48" t="n"/>
    </row>
    <row r="487">
      <c r="A487" s="47" t="n"/>
      <c r="B487" s="48" t="n"/>
      <c r="C487" s="48" t="n"/>
      <c r="D487" s="49" t="n"/>
      <c r="E487" s="48" t="n"/>
      <c r="F487" s="48" t="n"/>
      <c r="G487" s="50" t="n"/>
      <c r="H487" s="51" t="n"/>
      <c r="I487" s="51" t="n"/>
      <c r="J487" s="48" t="n"/>
      <c r="K487" s="52" t="n"/>
      <c r="L487" s="48" t="n"/>
      <c r="M487" s="48" t="n"/>
      <c r="N487" s="48" t="n"/>
      <c r="O487" s="48" t="n"/>
      <c r="P487" s="48" t="n"/>
      <c r="Q487" s="48" t="n"/>
      <c r="R487" s="48" t="n"/>
      <c r="S487" s="48" t="n"/>
      <c r="T487" s="48" t="n"/>
      <c r="U487" s="48" t="n"/>
      <c r="V487" s="48" t="n"/>
      <c r="W487" s="48" t="n"/>
      <c r="X487" s="48" t="n"/>
      <c r="Y487" s="48" t="n"/>
      <c r="Z487" s="48" t="n"/>
      <c r="AA487" s="48" t="n"/>
      <c r="AB487" s="48" t="n"/>
      <c r="AC487" s="48" t="n"/>
      <c r="AD487" s="48" t="n"/>
      <c r="AE487" s="48" t="n"/>
      <c r="AF487" s="48" t="n"/>
      <c r="AG487" s="48" t="n"/>
      <c r="AH487" s="48" t="n"/>
      <c r="AI487" s="48" t="n"/>
      <c r="AJ487" s="48" t="n"/>
      <c r="AK487" s="48" t="n"/>
      <c r="AL487" s="53" t="n"/>
      <c r="AM487" s="52" t="n"/>
      <c r="AN487" s="48" t="n"/>
      <c r="AO487" s="48" t="n"/>
      <c r="AP487" s="48" t="n"/>
      <c r="AQ487" s="48" t="n"/>
      <c r="AR487" s="48" t="n"/>
      <c r="AS487" s="48" t="n"/>
      <c r="AT487" s="48" t="n"/>
      <c r="AU487" s="48" t="n"/>
      <c r="AV487" s="48" t="n"/>
      <c r="AW487" s="48" t="n"/>
      <c r="AX487" s="48" t="n"/>
      <c r="AY487" s="48" t="n"/>
      <c r="AZ487" s="48" t="n"/>
      <c r="BA487" s="48" t="n"/>
      <c r="BB487" s="48" t="n"/>
      <c r="BC487" s="48" t="n"/>
      <c r="BD487" s="48" t="n"/>
      <c r="BE487" s="48" t="n"/>
      <c r="BF487" s="48" t="n"/>
      <c r="BG487" s="48" t="n"/>
      <c r="BH487" s="48" t="n"/>
      <c r="BI487" s="48" t="n"/>
      <c r="BJ487" s="48" t="n"/>
      <c r="BK487" s="48" t="n"/>
      <c r="BL487" s="48" t="n"/>
      <c r="BM487" s="48" t="n"/>
      <c r="BN487" s="48" t="n"/>
    </row>
    <row r="488">
      <c r="A488" s="47" t="n"/>
      <c r="B488" s="48" t="n"/>
      <c r="C488" s="48" t="n"/>
      <c r="D488" s="49" t="n"/>
      <c r="E488" s="48" t="n"/>
      <c r="F488" s="48" t="n"/>
      <c r="G488" s="50" t="n"/>
      <c r="H488" s="51" t="n"/>
      <c r="I488" s="51" t="n"/>
      <c r="J488" s="48" t="n"/>
      <c r="K488" s="52" t="n"/>
      <c r="L488" s="48" t="n"/>
      <c r="M488" s="48" t="n"/>
      <c r="N488" s="48" t="n"/>
      <c r="O488" s="48" t="n"/>
      <c r="P488" s="48" t="n"/>
      <c r="Q488" s="48" t="n"/>
      <c r="R488" s="48" t="n"/>
      <c r="S488" s="48" t="n"/>
      <c r="T488" s="48" t="n"/>
      <c r="U488" s="48" t="n"/>
      <c r="V488" s="48" t="n"/>
      <c r="W488" s="48" t="n"/>
      <c r="X488" s="48" t="n"/>
      <c r="Y488" s="48" t="n"/>
      <c r="Z488" s="48" t="n"/>
      <c r="AA488" s="48" t="n"/>
      <c r="AB488" s="48" t="n"/>
      <c r="AC488" s="48" t="n"/>
      <c r="AD488" s="48" t="n"/>
      <c r="AE488" s="48" t="n"/>
      <c r="AF488" s="48" t="n"/>
      <c r="AG488" s="48" t="n"/>
      <c r="AH488" s="48" t="n"/>
      <c r="AI488" s="48" t="n"/>
      <c r="AJ488" s="48" t="n"/>
      <c r="AK488" s="48" t="n"/>
      <c r="AL488" s="53" t="n"/>
      <c r="AM488" s="52" t="n"/>
      <c r="AN488" s="48" t="n"/>
      <c r="AO488" s="48" t="n"/>
      <c r="AP488" s="48" t="n"/>
      <c r="AQ488" s="48" t="n"/>
      <c r="AR488" s="48" t="n"/>
      <c r="AS488" s="48" t="n"/>
      <c r="AT488" s="48" t="n"/>
      <c r="AU488" s="48" t="n"/>
      <c r="AV488" s="48" t="n"/>
      <c r="AW488" s="48" t="n"/>
      <c r="AX488" s="48" t="n"/>
      <c r="AY488" s="48" t="n"/>
      <c r="AZ488" s="48" t="n"/>
      <c r="BA488" s="48" t="n"/>
      <c r="BB488" s="48" t="n"/>
      <c r="BC488" s="48" t="n"/>
      <c r="BD488" s="48" t="n"/>
      <c r="BE488" s="48" t="n"/>
      <c r="BF488" s="48" t="n"/>
      <c r="BG488" s="48" t="n"/>
      <c r="BH488" s="48" t="n"/>
      <c r="BI488" s="48" t="n"/>
      <c r="BJ488" s="48" t="n"/>
      <c r="BK488" s="48" t="n"/>
      <c r="BL488" s="48" t="n"/>
      <c r="BM488" s="48" t="n"/>
      <c r="BN488" s="48" t="n"/>
    </row>
    <row r="489">
      <c r="A489" s="47" t="n"/>
      <c r="B489" s="48" t="n"/>
      <c r="C489" s="48" t="n"/>
      <c r="D489" s="49" t="n"/>
      <c r="E489" s="48" t="n"/>
      <c r="F489" s="48" t="n"/>
      <c r="G489" s="50" t="n"/>
      <c r="H489" s="51" t="n"/>
      <c r="I489" s="51" t="n"/>
      <c r="J489" s="48" t="n"/>
      <c r="K489" s="52" t="n"/>
      <c r="L489" s="48" t="n"/>
      <c r="M489" s="48" t="n"/>
      <c r="N489" s="48" t="n"/>
      <c r="O489" s="48" t="n"/>
      <c r="P489" s="48" t="n"/>
      <c r="Q489" s="48" t="n"/>
      <c r="R489" s="48" t="n"/>
      <c r="S489" s="48" t="n"/>
      <c r="T489" s="48" t="n"/>
      <c r="U489" s="48" t="n"/>
      <c r="V489" s="48" t="n"/>
      <c r="W489" s="48" t="n"/>
      <c r="X489" s="48" t="n"/>
      <c r="Y489" s="48" t="n"/>
      <c r="Z489" s="48" t="n"/>
      <c r="AA489" s="48" t="n"/>
      <c r="AB489" s="48" t="n"/>
      <c r="AC489" s="48" t="n"/>
      <c r="AD489" s="48" t="n"/>
      <c r="AE489" s="48" t="n"/>
      <c r="AF489" s="48" t="n"/>
      <c r="AG489" s="48" t="n"/>
      <c r="AH489" s="48" t="n"/>
      <c r="AI489" s="48" t="n"/>
      <c r="AJ489" s="48" t="n"/>
      <c r="AK489" s="48" t="n"/>
      <c r="AL489" s="53" t="n"/>
      <c r="AM489" s="52" t="n"/>
      <c r="AN489" s="48" t="n"/>
      <c r="AO489" s="48" t="n"/>
      <c r="AP489" s="48" t="n"/>
      <c r="AQ489" s="48" t="n"/>
      <c r="AR489" s="48" t="n"/>
      <c r="AS489" s="48" t="n"/>
      <c r="AT489" s="48" t="n"/>
      <c r="AU489" s="48" t="n"/>
      <c r="AV489" s="48" t="n"/>
      <c r="AW489" s="48" t="n"/>
      <c r="AX489" s="48" t="n"/>
      <c r="AY489" s="48" t="n"/>
      <c r="AZ489" s="48" t="n"/>
      <c r="BA489" s="48" t="n"/>
      <c r="BB489" s="48" t="n"/>
      <c r="BC489" s="48" t="n"/>
      <c r="BD489" s="48" t="n"/>
      <c r="BE489" s="48" t="n"/>
      <c r="BF489" s="48" t="n"/>
      <c r="BG489" s="48" t="n"/>
      <c r="BH489" s="48" t="n"/>
      <c r="BI489" s="48" t="n"/>
      <c r="BJ489" s="48" t="n"/>
      <c r="BK489" s="48" t="n"/>
      <c r="BL489" s="48" t="n"/>
      <c r="BM489" s="48" t="n"/>
      <c r="BN489" s="48" t="n"/>
    </row>
    <row r="490">
      <c r="A490" s="47" t="n"/>
      <c r="B490" s="48" t="n"/>
      <c r="C490" s="48" t="n"/>
      <c r="D490" s="49" t="n"/>
      <c r="E490" s="48" t="n"/>
      <c r="F490" s="48" t="n"/>
      <c r="G490" s="50" t="n"/>
      <c r="H490" s="51" t="n"/>
      <c r="I490" s="51" t="n"/>
      <c r="J490" s="48" t="n"/>
      <c r="K490" s="52" t="n"/>
      <c r="L490" s="48" t="n"/>
      <c r="M490" s="48" t="n"/>
      <c r="N490" s="48" t="n"/>
      <c r="O490" s="48" t="n"/>
      <c r="P490" s="48" t="n"/>
      <c r="Q490" s="48" t="n"/>
      <c r="R490" s="48" t="n"/>
      <c r="S490" s="48" t="n"/>
      <c r="T490" s="48" t="n"/>
      <c r="U490" s="48" t="n"/>
      <c r="V490" s="48" t="n"/>
      <c r="W490" s="48" t="n"/>
      <c r="X490" s="48" t="n"/>
      <c r="Y490" s="48" t="n"/>
      <c r="Z490" s="48" t="n"/>
      <c r="AA490" s="48" t="n"/>
      <c r="AB490" s="48" t="n"/>
      <c r="AC490" s="48" t="n"/>
      <c r="AD490" s="48" t="n"/>
      <c r="AE490" s="48" t="n"/>
      <c r="AF490" s="48" t="n"/>
      <c r="AG490" s="48" t="n"/>
      <c r="AH490" s="48" t="n"/>
      <c r="AI490" s="48" t="n"/>
      <c r="AJ490" s="48" t="n"/>
      <c r="AK490" s="48" t="n"/>
      <c r="AL490" s="53" t="n"/>
      <c r="AM490" s="52" t="n"/>
      <c r="AN490" s="48" t="n"/>
      <c r="AO490" s="48" t="n"/>
      <c r="AP490" s="48" t="n"/>
      <c r="AQ490" s="48" t="n"/>
      <c r="AR490" s="48" t="n"/>
      <c r="AS490" s="48" t="n"/>
      <c r="AT490" s="48" t="n"/>
      <c r="AU490" s="48" t="n"/>
      <c r="AV490" s="48" t="n"/>
      <c r="AW490" s="48" t="n"/>
      <c r="AX490" s="48" t="n"/>
      <c r="AY490" s="48" t="n"/>
      <c r="AZ490" s="48" t="n"/>
      <c r="BA490" s="48" t="n"/>
      <c r="BB490" s="48" t="n"/>
      <c r="BC490" s="48" t="n"/>
      <c r="BD490" s="48" t="n"/>
      <c r="BE490" s="48" t="n"/>
      <c r="BF490" s="48" t="n"/>
      <c r="BG490" s="48" t="n"/>
      <c r="BH490" s="48" t="n"/>
      <c r="BI490" s="48" t="n"/>
      <c r="BJ490" s="48" t="n"/>
      <c r="BK490" s="48" t="n"/>
      <c r="BL490" s="48" t="n"/>
      <c r="BM490" s="48" t="n"/>
      <c r="BN490" s="48" t="n"/>
    </row>
    <row r="491">
      <c r="A491" s="47" t="n"/>
      <c r="B491" s="48" t="n"/>
      <c r="C491" s="48" t="n"/>
      <c r="D491" s="49" t="n"/>
      <c r="E491" s="48" t="n"/>
      <c r="F491" s="48" t="n"/>
      <c r="G491" s="50" t="n"/>
      <c r="H491" s="51" t="n"/>
      <c r="I491" s="51" t="n"/>
      <c r="J491" s="48" t="n"/>
      <c r="K491" s="52" t="n"/>
      <c r="L491" s="48" t="n"/>
      <c r="M491" s="48" t="n"/>
      <c r="N491" s="48" t="n"/>
      <c r="O491" s="48" t="n"/>
      <c r="P491" s="48" t="n"/>
      <c r="Q491" s="48" t="n"/>
      <c r="R491" s="48" t="n"/>
      <c r="S491" s="48" t="n"/>
      <c r="T491" s="48" t="n"/>
      <c r="U491" s="48" t="n"/>
      <c r="V491" s="48" t="n"/>
      <c r="W491" s="48" t="n"/>
      <c r="X491" s="48" t="n"/>
      <c r="Y491" s="48" t="n"/>
      <c r="Z491" s="48" t="n"/>
      <c r="AA491" s="48" t="n"/>
      <c r="AB491" s="48" t="n"/>
      <c r="AC491" s="48" t="n"/>
      <c r="AD491" s="48" t="n"/>
      <c r="AE491" s="48" t="n"/>
      <c r="AF491" s="48" t="n"/>
      <c r="AG491" s="48" t="n"/>
      <c r="AH491" s="48" t="n"/>
      <c r="AI491" s="48" t="n"/>
      <c r="AJ491" s="48" t="n"/>
      <c r="AK491" s="48" t="n"/>
      <c r="AL491" s="53" t="n"/>
      <c r="AM491" s="52" t="n"/>
      <c r="AN491" s="48" t="n"/>
      <c r="AO491" s="48" t="n"/>
      <c r="AP491" s="48" t="n"/>
      <c r="AQ491" s="48" t="n"/>
      <c r="AR491" s="48" t="n"/>
      <c r="AS491" s="48" t="n"/>
      <c r="AT491" s="48" t="n"/>
      <c r="AU491" s="48" t="n"/>
      <c r="AV491" s="48" t="n"/>
      <c r="AW491" s="48" t="n"/>
      <c r="AX491" s="48" t="n"/>
      <c r="AY491" s="48" t="n"/>
      <c r="AZ491" s="48" t="n"/>
      <c r="BA491" s="48" t="n"/>
      <c r="BB491" s="48" t="n"/>
      <c r="BC491" s="48" t="n"/>
      <c r="BD491" s="48" t="n"/>
      <c r="BE491" s="48" t="n"/>
      <c r="BF491" s="48" t="n"/>
      <c r="BG491" s="48" t="n"/>
      <c r="BH491" s="48" t="n"/>
      <c r="BI491" s="48" t="n"/>
      <c r="BJ491" s="48" t="n"/>
      <c r="BK491" s="48" t="n"/>
      <c r="BL491" s="48" t="n"/>
      <c r="BM491" s="48" t="n"/>
      <c r="BN491" s="48" t="n"/>
    </row>
    <row r="492">
      <c r="A492" s="47" t="n"/>
      <c r="B492" s="48" t="n"/>
      <c r="C492" s="48" t="n"/>
      <c r="D492" s="49" t="n"/>
      <c r="E492" s="48" t="n"/>
      <c r="F492" s="48" t="n"/>
      <c r="G492" s="50" t="n"/>
      <c r="H492" s="51" t="n"/>
      <c r="I492" s="51" t="n"/>
      <c r="J492" s="48" t="n"/>
      <c r="K492" s="52" t="n"/>
      <c r="L492" s="48" t="n"/>
      <c r="M492" s="48" t="n"/>
      <c r="N492" s="48" t="n"/>
      <c r="O492" s="48" t="n"/>
      <c r="P492" s="48" t="n"/>
      <c r="Q492" s="48" t="n"/>
      <c r="R492" s="48" t="n"/>
      <c r="S492" s="48" t="n"/>
      <c r="T492" s="48" t="n"/>
      <c r="U492" s="48" t="n"/>
      <c r="V492" s="48" t="n"/>
      <c r="W492" s="48" t="n"/>
      <c r="X492" s="48" t="n"/>
      <c r="Y492" s="48" t="n"/>
      <c r="Z492" s="48" t="n"/>
      <c r="AA492" s="48" t="n"/>
      <c r="AB492" s="48" t="n"/>
      <c r="AC492" s="48" t="n"/>
      <c r="AD492" s="48" t="n"/>
      <c r="AE492" s="48" t="n"/>
      <c r="AF492" s="48" t="n"/>
      <c r="AG492" s="48" t="n"/>
      <c r="AH492" s="48" t="n"/>
      <c r="AI492" s="48" t="n"/>
      <c r="AJ492" s="48" t="n"/>
      <c r="AK492" s="48" t="n"/>
      <c r="AL492" s="53" t="n"/>
      <c r="AM492" s="52" t="n"/>
      <c r="AN492" s="48" t="n"/>
      <c r="AO492" s="48" t="n"/>
      <c r="AP492" s="48" t="n"/>
      <c r="AQ492" s="48" t="n"/>
      <c r="AR492" s="48" t="n"/>
      <c r="AS492" s="48" t="n"/>
      <c r="AT492" s="48" t="n"/>
      <c r="AU492" s="48" t="n"/>
      <c r="AV492" s="48" t="n"/>
      <c r="AW492" s="48" t="n"/>
      <c r="AX492" s="48" t="n"/>
      <c r="AY492" s="48" t="n"/>
      <c r="AZ492" s="48" t="n"/>
      <c r="BA492" s="48" t="n"/>
      <c r="BB492" s="48" t="n"/>
      <c r="BC492" s="48" t="n"/>
      <c r="BD492" s="48" t="n"/>
      <c r="BE492" s="48" t="n"/>
      <c r="BF492" s="48" t="n"/>
      <c r="BG492" s="48" t="n"/>
      <c r="BH492" s="48" t="n"/>
      <c r="BI492" s="48" t="n"/>
      <c r="BJ492" s="48" t="n"/>
      <c r="BK492" s="48" t="n"/>
      <c r="BL492" s="48" t="n"/>
      <c r="BM492" s="48" t="n"/>
      <c r="BN492" s="48" t="n"/>
    </row>
    <row r="493">
      <c r="A493" s="47" t="n"/>
      <c r="B493" s="48" t="n"/>
      <c r="C493" s="48" t="n"/>
      <c r="D493" s="49" t="n"/>
      <c r="E493" s="48" t="n"/>
      <c r="F493" s="48" t="n"/>
      <c r="G493" s="50" t="n"/>
      <c r="H493" s="51" t="n"/>
      <c r="I493" s="51" t="n"/>
      <c r="J493" s="48" t="n"/>
      <c r="K493" s="52" t="n"/>
      <c r="L493" s="48" t="n"/>
      <c r="M493" s="48" t="n"/>
      <c r="N493" s="48" t="n"/>
      <c r="O493" s="48" t="n"/>
      <c r="P493" s="48" t="n"/>
      <c r="Q493" s="48" t="n"/>
      <c r="R493" s="48" t="n"/>
      <c r="S493" s="48" t="n"/>
      <c r="T493" s="48" t="n"/>
      <c r="U493" s="48" t="n"/>
      <c r="V493" s="48" t="n"/>
      <c r="W493" s="48" t="n"/>
      <c r="X493" s="48" t="n"/>
      <c r="Y493" s="48" t="n"/>
      <c r="Z493" s="48" t="n"/>
      <c r="AA493" s="48" t="n"/>
      <c r="AB493" s="48" t="n"/>
      <c r="AC493" s="48" t="n"/>
      <c r="AD493" s="48" t="n"/>
      <c r="AE493" s="48" t="n"/>
      <c r="AF493" s="48" t="n"/>
      <c r="AG493" s="48" t="n"/>
      <c r="AH493" s="48" t="n"/>
      <c r="AI493" s="48" t="n"/>
      <c r="AJ493" s="48" t="n"/>
      <c r="AK493" s="48" t="n"/>
      <c r="AL493" s="53" t="n"/>
      <c r="AM493" s="52" t="n"/>
      <c r="AN493" s="48" t="n"/>
      <c r="AO493" s="48" t="n"/>
      <c r="AP493" s="48" t="n"/>
      <c r="AQ493" s="48" t="n"/>
      <c r="AR493" s="48" t="n"/>
      <c r="AS493" s="48" t="n"/>
      <c r="AT493" s="48" t="n"/>
      <c r="AU493" s="48" t="n"/>
      <c r="AV493" s="48" t="n"/>
      <c r="AW493" s="48" t="n"/>
      <c r="AX493" s="48" t="n"/>
      <c r="AY493" s="48" t="n"/>
      <c r="AZ493" s="48" t="n"/>
      <c r="BA493" s="48" t="n"/>
      <c r="BB493" s="48" t="n"/>
      <c r="BC493" s="48" t="n"/>
      <c r="BD493" s="48" t="n"/>
      <c r="BE493" s="48" t="n"/>
      <c r="BF493" s="48" t="n"/>
      <c r="BG493" s="48" t="n"/>
      <c r="BH493" s="48" t="n"/>
      <c r="BI493" s="48" t="n"/>
      <c r="BJ493" s="48" t="n"/>
      <c r="BK493" s="48" t="n"/>
      <c r="BL493" s="48" t="n"/>
      <c r="BM493" s="48" t="n"/>
      <c r="BN493" s="48" t="n"/>
    </row>
    <row r="494">
      <c r="A494" s="47" t="n"/>
      <c r="B494" s="48" t="n"/>
      <c r="C494" s="48" t="n"/>
      <c r="D494" s="49" t="n"/>
      <c r="E494" s="48" t="n"/>
      <c r="F494" s="48" t="n"/>
      <c r="G494" s="50" t="n"/>
      <c r="H494" s="51" t="n"/>
      <c r="I494" s="51" t="n"/>
      <c r="J494" s="48" t="n"/>
      <c r="K494" s="52" t="n"/>
      <c r="L494" s="48" t="n"/>
      <c r="M494" s="48" t="n"/>
      <c r="N494" s="48" t="n"/>
      <c r="O494" s="48" t="n"/>
      <c r="P494" s="48" t="n"/>
      <c r="Q494" s="48" t="n"/>
      <c r="R494" s="48" t="n"/>
      <c r="S494" s="48" t="n"/>
      <c r="T494" s="48" t="n"/>
      <c r="U494" s="48" t="n"/>
      <c r="V494" s="48" t="n"/>
      <c r="W494" s="48" t="n"/>
      <c r="X494" s="48" t="n"/>
      <c r="Y494" s="48" t="n"/>
      <c r="Z494" s="48" t="n"/>
      <c r="AA494" s="48" t="n"/>
      <c r="AB494" s="48" t="n"/>
      <c r="AC494" s="48" t="n"/>
      <c r="AD494" s="48" t="n"/>
      <c r="AE494" s="48" t="n"/>
      <c r="AF494" s="48" t="n"/>
      <c r="AG494" s="48" t="n"/>
      <c r="AH494" s="48" t="n"/>
      <c r="AI494" s="48" t="n"/>
      <c r="AJ494" s="48" t="n"/>
      <c r="AK494" s="48" t="n"/>
      <c r="AL494" s="53" t="n"/>
      <c r="AM494" s="52" t="n"/>
      <c r="AN494" s="48" t="n"/>
      <c r="AO494" s="48" t="n"/>
      <c r="AP494" s="48" t="n"/>
      <c r="AQ494" s="48" t="n"/>
      <c r="AR494" s="48" t="n"/>
      <c r="AS494" s="48" t="n"/>
      <c r="AT494" s="48" t="n"/>
      <c r="AU494" s="48" t="n"/>
      <c r="AV494" s="48" t="n"/>
      <c r="AW494" s="48" t="n"/>
      <c r="AX494" s="48" t="n"/>
      <c r="AY494" s="48" t="n"/>
      <c r="AZ494" s="48" t="n"/>
      <c r="BA494" s="48" t="n"/>
      <c r="BB494" s="48" t="n"/>
      <c r="BC494" s="48" t="n"/>
      <c r="BD494" s="48" t="n"/>
      <c r="BE494" s="48" t="n"/>
      <c r="BF494" s="48" t="n"/>
      <c r="BG494" s="48" t="n"/>
      <c r="BH494" s="48" t="n"/>
      <c r="BI494" s="48" t="n"/>
      <c r="BJ494" s="48" t="n"/>
      <c r="BK494" s="48" t="n"/>
      <c r="BL494" s="48" t="n"/>
      <c r="BM494" s="48" t="n"/>
      <c r="BN494" s="48" t="n"/>
    </row>
    <row r="495">
      <c r="A495" s="47" t="n"/>
      <c r="B495" s="48" t="n"/>
      <c r="C495" s="48" t="n"/>
      <c r="D495" s="49" t="n"/>
      <c r="E495" s="48" t="n"/>
      <c r="F495" s="48" t="n"/>
      <c r="G495" s="50" t="n"/>
      <c r="H495" s="51" t="n"/>
      <c r="I495" s="51" t="n"/>
      <c r="J495" s="48" t="n"/>
      <c r="K495" s="52" t="n"/>
      <c r="L495" s="48" t="n"/>
      <c r="M495" s="48" t="n"/>
      <c r="N495" s="48" t="n"/>
      <c r="O495" s="48" t="n"/>
      <c r="P495" s="48" t="n"/>
      <c r="Q495" s="48" t="n"/>
      <c r="R495" s="48" t="n"/>
      <c r="S495" s="48" t="n"/>
      <c r="T495" s="48" t="n"/>
      <c r="U495" s="48" t="n"/>
      <c r="V495" s="48" t="n"/>
      <c r="W495" s="48" t="n"/>
      <c r="X495" s="48" t="n"/>
      <c r="Y495" s="48" t="n"/>
      <c r="Z495" s="48" t="n"/>
      <c r="AA495" s="48" t="n"/>
      <c r="AB495" s="48" t="n"/>
      <c r="AC495" s="48" t="n"/>
      <c r="AD495" s="48" t="n"/>
      <c r="AE495" s="48" t="n"/>
      <c r="AF495" s="48" t="n"/>
      <c r="AG495" s="48" t="n"/>
      <c r="AH495" s="48" t="n"/>
      <c r="AI495" s="48" t="n"/>
      <c r="AJ495" s="48" t="n"/>
      <c r="AK495" s="48" t="n"/>
      <c r="AL495" s="53" t="n"/>
      <c r="AM495" s="52" t="n"/>
      <c r="AN495" s="48" t="n"/>
      <c r="AO495" s="48" t="n"/>
      <c r="AP495" s="48" t="n"/>
      <c r="AQ495" s="48" t="n"/>
      <c r="AR495" s="48" t="n"/>
      <c r="AS495" s="48" t="n"/>
      <c r="AT495" s="48" t="n"/>
      <c r="AU495" s="48" t="n"/>
      <c r="AV495" s="48" t="n"/>
      <c r="AW495" s="48" t="n"/>
      <c r="AX495" s="48" t="n"/>
      <c r="AY495" s="48" t="n"/>
      <c r="AZ495" s="48" t="n"/>
      <c r="BA495" s="48" t="n"/>
      <c r="BB495" s="48" t="n"/>
      <c r="BC495" s="48" t="n"/>
      <c r="BD495" s="48" t="n"/>
      <c r="BE495" s="48" t="n"/>
      <c r="BF495" s="48" t="n"/>
      <c r="BG495" s="48" t="n"/>
      <c r="BH495" s="48" t="n"/>
      <c r="BI495" s="48" t="n"/>
      <c r="BJ495" s="48" t="n"/>
      <c r="BK495" s="48" t="n"/>
      <c r="BL495" s="48" t="n"/>
      <c r="BM495" s="48" t="n"/>
      <c r="BN495" s="48" t="n"/>
    </row>
    <row r="496">
      <c r="A496" s="47" t="n"/>
      <c r="B496" s="48" t="n"/>
      <c r="C496" s="48" t="n"/>
      <c r="D496" s="49" t="n"/>
      <c r="E496" s="48" t="n"/>
      <c r="F496" s="48" t="n"/>
      <c r="G496" s="50" t="n"/>
      <c r="H496" s="51" t="n"/>
      <c r="I496" s="51" t="n"/>
      <c r="J496" s="48" t="n"/>
      <c r="K496" s="52" t="n"/>
      <c r="L496" s="48" t="n"/>
      <c r="M496" s="48" t="n"/>
      <c r="N496" s="48" t="n"/>
      <c r="O496" s="48" t="n"/>
      <c r="P496" s="48" t="n"/>
      <c r="Q496" s="48" t="n"/>
      <c r="R496" s="48" t="n"/>
      <c r="S496" s="48" t="n"/>
      <c r="T496" s="48" t="n"/>
      <c r="U496" s="48" t="n"/>
      <c r="V496" s="48" t="n"/>
      <c r="W496" s="48" t="n"/>
      <c r="X496" s="48" t="n"/>
      <c r="Y496" s="48" t="n"/>
      <c r="Z496" s="48" t="n"/>
      <c r="AA496" s="48" t="n"/>
      <c r="AB496" s="48" t="n"/>
      <c r="AC496" s="48" t="n"/>
      <c r="AD496" s="48" t="n"/>
      <c r="AE496" s="48" t="n"/>
      <c r="AF496" s="48" t="n"/>
      <c r="AG496" s="48" t="n"/>
      <c r="AH496" s="48" t="n"/>
      <c r="AI496" s="48" t="n"/>
      <c r="AJ496" s="48" t="n"/>
      <c r="AK496" s="48" t="n"/>
      <c r="AL496" s="53" t="n"/>
      <c r="AM496" s="52" t="n"/>
      <c r="AN496" s="48" t="n"/>
      <c r="AO496" s="48" t="n"/>
      <c r="AP496" s="48" t="n"/>
      <c r="AQ496" s="48" t="n"/>
      <c r="AR496" s="48" t="n"/>
      <c r="AS496" s="48" t="n"/>
      <c r="AT496" s="48" t="n"/>
      <c r="AU496" s="48" t="n"/>
      <c r="AV496" s="48" t="n"/>
      <c r="AW496" s="48" t="n"/>
      <c r="AX496" s="48" t="n"/>
      <c r="AY496" s="48" t="n"/>
      <c r="AZ496" s="48" t="n"/>
      <c r="BA496" s="48" t="n"/>
      <c r="BB496" s="48" t="n"/>
      <c r="BC496" s="48" t="n"/>
      <c r="BD496" s="48" t="n"/>
      <c r="BE496" s="48" t="n"/>
      <c r="BF496" s="48" t="n"/>
      <c r="BG496" s="48" t="n"/>
      <c r="BH496" s="48" t="n"/>
      <c r="BI496" s="48" t="n"/>
      <c r="BJ496" s="48" t="n"/>
      <c r="BK496" s="48" t="n"/>
      <c r="BL496" s="48" t="n"/>
      <c r="BM496" s="48" t="n"/>
      <c r="BN496" s="48" t="n"/>
    </row>
    <row r="497">
      <c r="A497" s="47" t="n"/>
      <c r="B497" s="48" t="n"/>
      <c r="C497" s="48" t="n"/>
      <c r="D497" s="49" t="n"/>
      <c r="E497" s="48" t="n"/>
      <c r="F497" s="48" t="n"/>
      <c r="G497" s="50" t="n"/>
      <c r="H497" s="51" t="n"/>
      <c r="I497" s="51" t="n"/>
      <c r="J497" s="48" t="n"/>
      <c r="K497" s="52" t="n"/>
      <c r="L497" s="48" t="n"/>
      <c r="M497" s="48" t="n"/>
      <c r="N497" s="48" t="n"/>
      <c r="O497" s="48" t="n"/>
      <c r="P497" s="48" t="n"/>
      <c r="Q497" s="48" t="n"/>
      <c r="R497" s="48" t="n"/>
      <c r="S497" s="48" t="n"/>
      <c r="T497" s="48" t="n"/>
      <c r="U497" s="48" t="n"/>
      <c r="V497" s="48" t="n"/>
      <c r="W497" s="48" t="n"/>
      <c r="X497" s="48" t="n"/>
      <c r="Y497" s="48" t="n"/>
      <c r="Z497" s="48" t="n"/>
      <c r="AA497" s="48" t="n"/>
      <c r="AB497" s="48" t="n"/>
      <c r="AC497" s="48" t="n"/>
      <c r="AD497" s="48" t="n"/>
      <c r="AE497" s="48" t="n"/>
      <c r="AF497" s="48" t="n"/>
      <c r="AG497" s="48" t="n"/>
      <c r="AH497" s="48" t="n"/>
      <c r="AI497" s="48" t="n"/>
      <c r="AJ497" s="48" t="n"/>
      <c r="AK497" s="48" t="n"/>
      <c r="AL497" s="53" t="n"/>
      <c r="AM497" s="52" t="n"/>
      <c r="AN497" s="48" t="n"/>
      <c r="AO497" s="48" t="n"/>
      <c r="AP497" s="48" t="n"/>
      <c r="AQ497" s="48" t="n"/>
      <c r="AR497" s="48" t="n"/>
      <c r="AS497" s="48" t="n"/>
      <c r="AT497" s="48" t="n"/>
      <c r="AU497" s="48" t="n"/>
      <c r="AV497" s="48" t="n"/>
      <c r="AW497" s="48" t="n"/>
      <c r="AX497" s="48" t="n"/>
      <c r="AY497" s="48" t="n"/>
      <c r="AZ497" s="48" t="n"/>
      <c r="BA497" s="48" t="n"/>
      <c r="BB497" s="48" t="n"/>
      <c r="BC497" s="48" t="n"/>
      <c r="BD497" s="48" t="n"/>
      <c r="BE497" s="48" t="n"/>
      <c r="BF497" s="48" t="n"/>
      <c r="BG497" s="48" t="n"/>
      <c r="BH497" s="48" t="n"/>
      <c r="BI497" s="48" t="n"/>
      <c r="BJ497" s="48" t="n"/>
      <c r="BK497" s="48" t="n"/>
      <c r="BL497" s="48" t="n"/>
      <c r="BM497" s="48" t="n"/>
      <c r="BN497" s="48" t="n"/>
    </row>
    <row r="498">
      <c r="A498" s="47" t="n"/>
      <c r="B498" s="48" t="n"/>
      <c r="C498" s="48" t="n"/>
      <c r="D498" s="49" t="n"/>
      <c r="E498" s="48" t="n"/>
      <c r="F498" s="48" t="n"/>
      <c r="G498" s="50" t="n"/>
      <c r="H498" s="51" t="n"/>
      <c r="I498" s="51" t="n"/>
      <c r="J498" s="48" t="n"/>
      <c r="K498" s="52" t="n"/>
      <c r="L498" s="48" t="n"/>
      <c r="M498" s="48" t="n"/>
      <c r="N498" s="48" t="n"/>
      <c r="O498" s="48" t="n"/>
      <c r="P498" s="48" t="n"/>
      <c r="Q498" s="48" t="n"/>
      <c r="R498" s="48" t="n"/>
      <c r="S498" s="48" t="n"/>
      <c r="T498" s="48" t="n"/>
      <c r="U498" s="48" t="n"/>
      <c r="V498" s="48" t="n"/>
      <c r="W498" s="48" t="n"/>
      <c r="X498" s="48" t="n"/>
      <c r="Y498" s="48" t="n"/>
      <c r="Z498" s="48" t="n"/>
      <c r="AA498" s="48" t="n"/>
      <c r="AB498" s="48" t="n"/>
      <c r="AC498" s="48" t="n"/>
      <c r="AD498" s="48" t="n"/>
      <c r="AE498" s="48" t="n"/>
      <c r="AF498" s="48" t="n"/>
      <c r="AG498" s="48" t="n"/>
      <c r="AH498" s="48" t="n"/>
      <c r="AI498" s="48" t="n"/>
      <c r="AJ498" s="48" t="n"/>
      <c r="AK498" s="48" t="n"/>
      <c r="AL498" s="53" t="n"/>
      <c r="AM498" s="52" t="n"/>
      <c r="AN498" s="48" t="n"/>
      <c r="AO498" s="48" t="n"/>
      <c r="AP498" s="48" t="n"/>
      <c r="AQ498" s="48" t="n"/>
      <c r="AR498" s="48" t="n"/>
      <c r="AS498" s="48" t="n"/>
      <c r="AT498" s="48" t="n"/>
      <c r="AU498" s="48" t="n"/>
      <c r="AV498" s="48" t="n"/>
      <c r="AW498" s="48" t="n"/>
      <c r="AX498" s="48" t="n"/>
      <c r="AY498" s="48" t="n"/>
      <c r="AZ498" s="48" t="n"/>
      <c r="BA498" s="48" t="n"/>
      <c r="BB498" s="48" t="n"/>
      <c r="BC498" s="48" t="n"/>
      <c r="BD498" s="48" t="n"/>
      <c r="BE498" s="48" t="n"/>
      <c r="BF498" s="48" t="n"/>
      <c r="BG498" s="48" t="n"/>
      <c r="BH498" s="48" t="n"/>
      <c r="BI498" s="48" t="n"/>
      <c r="BJ498" s="48" t="n"/>
      <c r="BK498" s="48" t="n"/>
      <c r="BL498" s="48" t="n"/>
      <c r="BM498" s="48" t="n"/>
      <c r="BN498" s="48" t="n"/>
    </row>
    <row r="499">
      <c r="A499" s="47" t="n"/>
      <c r="B499" s="48" t="n"/>
      <c r="C499" s="48" t="n"/>
      <c r="D499" s="49" t="n"/>
      <c r="E499" s="48" t="n"/>
      <c r="F499" s="48" t="n"/>
      <c r="G499" s="50" t="n"/>
      <c r="H499" s="51" t="n"/>
      <c r="I499" s="51" t="n"/>
      <c r="J499" s="48" t="n"/>
      <c r="K499" s="52" t="n"/>
      <c r="L499" s="48" t="n"/>
      <c r="M499" s="48" t="n"/>
      <c r="N499" s="48" t="n"/>
      <c r="O499" s="48" t="n"/>
      <c r="P499" s="48" t="n"/>
      <c r="Q499" s="48" t="n"/>
      <c r="R499" s="48" t="n"/>
      <c r="S499" s="48" t="n"/>
      <c r="T499" s="48" t="n"/>
      <c r="U499" s="48" t="n"/>
      <c r="V499" s="48" t="n"/>
      <c r="W499" s="48" t="n"/>
      <c r="X499" s="48" t="n"/>
      <c r="Y499" s="48" t="n"/>
      <c r="Z499" s="48" t="n"/>
      <c r="AA499" s="48" t="n"/>
      <c r="AB499" s="48" t="n"/>
      <c r="AC499" s="48" t="n"/>
      <c r="AD499" s="48" t="n"/>
      <c r="AE499" s="48" t="n"/>
      <c r="AF499" s="48" t="n"/>
      <c r="AG499" s="48" t="n"/>
      <c r="AH499" s="48" t="n"/>
      <c r="AI499" s="48" t="n"/>
      <c r="AJ499" s="48" t="n"/>
      <c r="AK499" s="48" t="n"/>
      <c r="AL499" s="53" t="n"/>
      <c r="AM499" s="52" t="n"/>
      <c r="AN499" s="48" t="n"/>
      <c r="AO499" s="48" t="n"/>
      <c r="AP499" s="48" t="n"/>
      <c r="AQ499" s="48" t="n"/>
      <c r="AR499" s="48" t="n"/>
      <c r="AS499" s="48" t="n"/>
      <c r="AT499" s="48" t="n"/>
      <c r="AU499" s="48" t="n"/>
      <c r="AV499" s="48" t="n"/>
      <c r="AW499" s="48" t="n"/>
      <c r="AX499" s="48" t="n"/>
      <c r="AY499" s="48" t="n"/>
      <c r="AZ499" s="48" t="n"/>
      <c r="BA499" s="48" t="n"/>
      <c r="BB499" s="48" t="n"/>
      <c r="BC499" s="48" t="n"/>
      <c r="BD499" s="48" t="n"/>
      <c r="BE499" s="48" t="n"/>
      <c r="BF499" s="48" t="n"/>
      <c r="BG499" s="48" t="n"/>
      <c r="BH499" s="48" t="n"/>
      <c r="BI499" s="48" t="n"/>
      <c r="BJ499" s="48" t="n"/>
      <c r="BK499" s="48" t="n"/>
      <c r="BL499" s="48" t="n"/>
      <c r="BM499" s="48" t="n"/>
      <c r="BN499" s="48" t="n"/>
    </row>
    <row r="500">
      <c r="A500" s="47" t="n"/>
      <c r="B500" s="48" t="n"/>
      <c r="C500" s="48" t="n"/>
      <c r="D500" s="49" t="n"/>
      <c r="E500" s="48" t="n"/>
      <c r="F500" s="48" t="n"/>
      <c r="G500" s="50" t="n"/>
      <c r="H500" s="51" t="n"/>
      <c r="I500" s="51" t="n"/>
      <c r="J500" s="48" t="n"/>
      <c r="K500" s="52" t="n"/>
      <c r="L500" s="48" t="n"/>
      <c r="M500" s="48" t="n"/>
      <c r="N500" s="48" t="n"/>
      <c r="O500" s="48" t="n"/>
      <c r="P500" s="48" t="n"/>
      <c r="Q500" s="48" t="n"/>
      <c r="R500" s="48" t="n"/>
      <c r="S500" s="48" t="n"/>
      <c r="T500" s="48" t="n"/>
      <c r="U500" s="48" t="n"/>
      <c r="V500" s="48" t="n"/>
      <c r="W500" s="48" t="n"/>
      <c r="X500" s="48" t="n"/>
      <c r="Y500" s="48" t="n"/>
      <c r="Z500" s="48" t="n"/>
      <c r="AA500" s="48" t="n"/>
      <c r="AB500" s="48" t="n"/>
      <c r="AC500" s="48" t="n"/>
      <c r="AD500" s="48" t="n"/>
      <c r="AE500" s="48" t="n"/>
      <c r="AF500" s="48" t="n"/>
      <c r="AG500" s="48" t="n"/>
      <c r="AH500" s="48" t="n"/>
      <c r="AI500" s="48" t="n"/>
      <c r="AJ500" s="48" t="n"/>
      <c r="AK500" s="48" t="n"/>
      <c r="AL500" s="53" t="n"/>
      <c r="AM500" s="52" t="n"/>
      <c r="AN500" s="48" t="n"/>
      <c r="AO500" s="48" t="n"/>
      <c r="AP500" s="48" t="n"/>
      <c r="AQ500" s="48" t="n"/>
      <c r="AR500" s="48" t="n"/>
      <c r="AS500" s="48" t="n"/>
      <c r="AT500" s="48" t="n"/>
      <c r="AU500" s="48" t="n"/>
      <c r="AV500" s="48" t="n"/>
      <c r="AW500" s="48" t="n"/>
      <c r="AX500" s="48" t="n"/>
      <c r="AY500" s="48" t="n"/>
      <c r="AZ500" s="48" t="n"/>
      <c r="BA500" s="48" t="n"/>
      <c r="BB500" s="48" t="n"/>
      <c r="BC500" s="48" t="n"/>
      <c r="BD500" s="48" t="n"/>
      <c r="BE500" s="48" t="n"/>
      <c r="BF500" s="48" t="n"/>
      <c r="BG500" s="48" t="n"/>
      <c r="BH500" s="48" t="n"/>
      <c r="BI500" s="48" t="n"/>
      <c r="BJ500" s="48" t="n"/>
      <c r="BK500" s="48" t="n"/>
      <c r="BL500" s="48" t="n"/>
      <c r="BM500" s="48" t="n"/>
      <c r="BN500" s="48" t="n"/>
    </row>
    <row r="501">
      <c r="A501" s="47" t="n"/>
      <c r="B501" s="48" t="n"/>
      <c r="C501" s="48" t="n"/>
      <c r="D501" s="49" t="n"/>
      <c r="E501" s="48" t="n"/>
      <c r="F501" s="48" t="n"/>
      <c r="G501" s="50" t="n"/>
      <c r="H501" s="51" t="n"/>
      <c r="I501" s="51" t="n"/>
      <c r="J501" s="48" t="n"/>
      <c r="K501" s="52" t="n"/>
      <c r="L501" s="48" t="n"/>
      <c r="M501" s="48" t="n"/>
      <c r="N501" s="48" t="n"/>
      <c r="O501" s="48" t="n"/>
      <c r="P501" s="48" t="n"/>
      <c r="Q501" s="48" t="n"/>
      <c r="R501" s="48" t="n"/>
      <c r="S501" s="48" t="n"/>
      <c r="T501" s="48" t="n"/>
      <c r="U501" s="48" t="n"/>
      <c r="V501" s="48" t="n"/>
      <c r="W501" s="48" t="n"/>
      <c r="X501" s="48" t="n"/>
      <c r="Y501" s="48" t="n"/>
      <c r="Z501" s="48" t="n"/>
      <c r="AA501" s="48" t="n"/>
      <c r="AB501" s="48" t="n"/>
      <c r="AC501" s="48" t="n"/>
      <c r="AD501" s="48" t="n"/>
      <c r="AE501" s="48" t="n"/>
      <c r="AF501" s="48" t="n"/>
      <c r="AG501" s="48" t="n"/>
      <c r="AH501" s="48" t="n"/>
      <c r="AI501" s="48" t="n"/>
      <c r="AJ501" s="48" t="n"/>
      <c r="AK501" s="48" t="n"/>
      <c r="AL501" s="53" t="n"/>
      <c r="AM501" s="52" t="n"/>
      <c r="AN501" s="48" t="n"/>
      <c r="AO501" s="48" t="n"/>
      <c r="AP501" s="48" t="n"/>
      <c r="AQ501" s="48" t="n"/>
      <c r="AR501" s="48" t="n"/>
      <c r="AS501" s="48" t="n"/>
      <c r="AT501" s="48" t="n"/>
      <c r="AU501" s="48" t="n"/>
      <c r="AV501" s="48" t="n"/>
      <c r="AW501" s="48" t="n"/>
      <c r="AX501" s="48" t="n"/>
      <c r="AY501" s="48" t="n"/>
      <c r="AZ501" s="48" t="n"/>
      <c r="BA501" s="48" t="n"/>
      <c r="BB501" s="48" t="n"/>
      <c r="BC501" s="48" t="n"/>
      <c r="BD501" s="48" t="n"/>
      <c r="BE501" s="48" t="n"/>
      <c r="BF501" s="48" t="n"/>
      <c r="BG501" s="48" t="n"/>
      <c r="BH501" s="48" t="n"/>
      <c r="BI501" s="48" t="n"/>
      <c r="BJ501" s="48" t="n"/>
      <c r="BK501" s="48" t="n"/>
      <c r="BL501" s="48" t="n"/>
      <c r="BM501" s="48" t="n"/>
      <c r="BN501" s="48" t="n"/>
    </row>
    <row r="502">
      <c r="A502" s="47" t="n"/>
      <c r="B502" s="48" t="n"/>
      <c r="C502" s="48" t="n"/>
      <c r="D502" s="49" t="n"/>
      <c r="E502" s="48" t="n"/>
      <c r="F502" s="48" t="n"/>
      <c r="G502" s="50" t="n"/>
      <c r="H502" s="51" t="n"/>
      <c r="I502" s="51" t="n"/>
      <c r="J502" s="48" t="n"/>
      <c r="K502" s="52" t="n"/>
      <c r="L502" s="48" t="n"/>
      <c r="M502" s="48" t="n"/>
      <c r="N502" s="48" t="n"/>
      <c r="O502" s="48" t="n"/>
      <c r="P502" s="48" t="n"/>
      <c r="Q502" s="48" t="n"/>
      <c r="R502" s="48" t="n"/>
      <c r="S502" s="48" t="n"/>
      <c r="T502" s="48" t="n"/>
      <c r="U502" s="48" t="n"/>
      <c r="V502" s="48" t="n"/>
      <c r="W502" s="48" t="n"/>
      <c r="X502" s="48" t="n"/>
      <c r="Y502" s="48" t="n"/>
      <c r="Z502" s="48" t="n"/>
      <c r="AA502" s="48" t="n"/>
      <c r="AB502" s="48" t="n"/>
      <c r="AC502" s="48" t="n"/>
      <c r="AD502" s="48" t="n"/>
      <c r="AE502" s="48" t="n"/>
      <c r="AF502" s="48" t="n"/>
      <c r="AG502" s="48" t="n"/>
      <c r="AH502" s="48" t="n"/>
      <c r="AI502" s="48" t="n"/>
      <c r="AJ502" s="48" t="n"/>
      <c r="AK502" s="48" t="n"/>
      <c r="AL502" s="53" t="n"/>
      <c r="AM502" s="52" t="n"/>
      <c r="AN502" s="48" t="n"/>
      <c r="AO502" s="48" t="n"/>
      <c r="AP502" s="48" t="n"/>
      <c r="AQ502" s="48" t="n"/>
      <c r="AR502" s="48" t="n"/>
      <c r="AS502" s="48" t="n"/>
      <c r="AT502" s="48" t="n"/>
      <c r="AU502" s="48" t="n"/>
      <c r="AV502" s="48" t="n"/>
      <c r="AW502" s="48" t="n"/>
      <c r="AX502" s="48" t="n"/>
      <c r="AY502" s="48" t="n"/>
      <c r="AZ502" s="48" t="n"/>
      <c r="BA502" s="48" t="n"/>
      <c r="BB502" s="48" t="n"/>
      <c r="BC502" s="48" t="n"/>
      <c r="BD502" s="48" t="n"/>
      <c r="BE502" s="48" t="n"/>
      <c r="BF502" s="48" t="n"/>
      <c r="BG502" s="48" t="n"/>
      <c r="BH502" s="48" t="n"/>
      <c r="BI502" s="48" t="n"/>
      <c r="BJ502" s="48" t="n"/>
      <c r="BK502" s="48" t="n"/>
      <c r="BL502" s="48" t="n"/>
      <c r="BM502" s="48" t="n"/>
      <c r="BN502" s="48" t="n"/>
    </row>
    <row r="503">
      <c r="A503" s="47" t="n"/>
      <c r="B503" s="48" t="n"/>
      <c r="C503" s="48" t="n"/>
      <c r="D503" s="49" t="n"/>
      <c r="E503" s="48" t="n"/>
      <c r="F503" s="48" t="n"/>
      <c r="G503" s="50" t="n"/>
      <c r="H503" s="51" t="n"/>
      <c r="I503" s="51" t="n"/>
      <c r="J503" s="48" t="n"/>
      <c r="K503" s="52" t="n"/>
      <c r="L503" s="48" t="n"/>
      <c r="M503" s="48" t="n"/>
      <c r="N503" s="48" t="n"/>
      <c r="O503" s="48" t="n"/>
      <c r="P503" s="48" t="n"/>
      <c r="Q503" s="48" t="n"/>
      <c r="R503" s="48" t="n"/>
      <c r="S503" s="48" t="n"/>
      <c r="T503" s="48" t="n"/>
      <c r="U503" s="48" t="n"/>
      <c r="V503" s="48" t="n"/>
      <c r="W503" s="48" t="n"/>
      <c r="X503" s="48" t="n"/>
      <c r="Y503" s="48" t="n"/>
      <c r="Z503" s="48" t="n"/>
      <c r="AA503" s="48" t="n"/>
      <c r="AB503" s="48" t="n"/>
      <c r="AC503" s="48" t="n"/>
      <c r="AD503" s="48" t="n"/>
      <c r="AE503" s="48" t="n"/>
      <c r="AF503" s="48" t="n"/>
      <c r="AG503" s="48" t="n"/>
      <c r="AH503" s="48" t="n"/>
      <c r="AI503" s="48" t="n"/>
      <c r="AJ503" s="48" t="n"/>
      <c r="AK503" s="48" t="n"/>
      <c r="AL503" s="53" t="n"/>
      <c r="AM503" s="52" t="n"/>
      <c r="AN503" s="48" t="n"/>
      <c r="AO503" s="48" t="n"/>
      <c r="AP503" s="48" t="n"/>
      <c r="AQ503" s="48" t="n"/>
      <c r="AR503" s="48" t="n"/>
      <c r="AS503" s="48" t="n"/>
      <c r="AT503" s="48" t="n"/>
      <c r="AU503" s="48" t="n"/>
      <c r="AV503" s="48" t="n"/>
      <c r="AW503" s="48" t="n"/>
      <c r="AX503" s="48" t="n"/>
      <c r="AY503" s="48" t="n"/>
      <c r="AZ503" s="48" t="n"/>
      <c r="BA503" s="48" t="n"/>
      <c r="BB503" s="48" t="n"/>
      <c r="BC503" s="48" t="n"/>
      <c r="BD503" s="48" t="n"/>
      <c r="BE503" s="48" t="n"/>
      <c r="BF503" s="48" t="n"/>
      <c r="BG503" s="48" t="n"/>
      <c r="BH503" s="48" t="n"/>
      <c r="BI503" s="48" t="n"/>
      <c r="BJ503" s="48" t="n"/>
      <c r="BK503" s="48" t="n"/>
      <c r="BL503" s="48" t="n"/>
      <c r="BM503" s="48" t="n"/>
      <c r="BN503" s="48" t="n"/>
    </row>
    <row r="504">
      <c r="A504" s="47" t="n"/>
      <c r="B504" s="48" t="n"/>
      <c r="C504" s="48" t="n"/>
      <c r="D504" s="49" t="n"/>
      <c r="E504" s="48" t="n"/>
      <c r="F504" s="48" t="n"/>
      <c r="G504" s="50" t="n"/>
      <c r="H504" s="51" t="n"/>
      <c r="I504" s="51" t="n"/>
      <c r="J504" s="48" t="n"/>
      <c r="K504" s="52" t="n"/>
      <c r="L504" s="48" t="n"/>
      <c r="M504" s="48" t="n"/>
      <c r="N504" s="48" t="n"/>
      <c r="O504" s="48" t="n"/>
      <c r="P504" s="48" t="n"/>
      <c r="Q504" s="48" t="n"/>
      <c r="R504" s="48" t="n"/>
      <c r="S504" s="48" t="n"/>
      <c r="T504" s="48" t="n"/>
      <c r="U504" s="48" t="n"/>
      <c r="V504" s="48" t="n"/>
      <c r="W504" s="48" t="n"/>
      <c r="X504" s="48" t="n"/>
      <c r="Y504" s="48" t="n"/>
      <c r="Z504" s="48" t="n"/>
      <c r="AA504" s="48" t="n"/>
      <c r="AB504" s="48" t="n"/>
      <c r="AC504" s="48" t="n"/>
      <c r="AD504" s="48" t="n"/>
      <c r="AE504" s="48" t="n"/>
      <c r="AF504" s="48" t="n"/>
      <c r="AG504" s="48" t="n"/>
      <c r="AH504" s="48" t="n"/>
      <c r="AI504" s="48" t="n"/>
      <c r="AJ504" s="48" t="n"/>
      <c r="AK504" s="48" t="n"/>
      <c r="AL504" s="53" t="n"/>
      <c r="AM504" s="52" t="n"/>
      <c r="AN504" s="48" t="n"/>
      <c r="AO504" s="48" t="n"/>
      <c r="AP504" s="48" t="n"/>
      <c r="AQ504" s="48" t="n"/>
      <c r="AR504" s="48" t="n"/>
      <c r="AS504" s="48" t="n"/>
      <c r="AT504" s="48" t="n"/>
      <c r="AU504" s="48" t="n"/>
      <c r="AV504" s="48" t="n"/>
      <c r="AW504" s="48" t="n"/>
      <c r="AX504" s="48" t="n"/>
      <c r="AY504" s="48" t="n"/>
      <c r="AZ504" s="48" t="n"/>
      <c r="BA504" s="48" t="n"/>
      <c r="BB504" s="48" t="n"/>
      <c r="BC504" s="48" t="n"/>
      <c r="BD504" s="48" t="n"/>
      <c r="BE504" s="48" t="n"/>
      <c r="BF504" s="48" t="n"/>
      <c r="BG504" s="48" t="n"/>
      <c r="BH504" s="48" t="n"/>
      <c r="BI504" s="48" t="n"/>
      <c r="BJ504" s="48" t="n"/>
      <c r="BK504" s="48" t="n"/>
      <c r="BL504" s="48" t="n"/>
      <c r="BM504" s="48" t="n"/>
      <c r="BN504" s="48" t="n"/>
    </row>
    <row r="505">
      <c r="A505" s="47" t="n"/>
      <c r="B505" s="48" t="n"/>
      <c r="C505" s="48" t="n"/>
      <c r="D505" s="49" t="n"/>
      <c r="E505" s="48" t="n"/>
      <c r="F505" s="48" t="n"/>
      <c r="G505" s="50" t="n"/>
      <c r="H505" s="51" t="n"/>
      <c r="I505" s="51" t="n"/>
      <c r="J505" s="48" t="n"/>
      <c r="K505" s="52" t="n"/>
      <c r="L505" s="48" t="n"/>
      <c r="M505" s="48" t="n"/>
      <c r="N505" s="48" t="n"/>
      <c r="O505" s="48" t="n"/>
      <c r="P505" s="48" t="n"/>
      <c r="Q505" s="48" t="n"/>
      <c r="R505" s="48" t="n"/>
      <c r="S505" s="48" t="n"/>
      <c r="T505" s="48" t="n"/>
      <c r="U505" s="48" t="n"/>
      <c r="V505" s="48" t="n"/>
      <c r="W505" s="48" t="n"/>
      <c r="X505" s="48" t="n"/>
      <c r="Y505" s="48" t="n"/>
      <c r="Z505" s="48" t="n"/>
      <c r="AA505" s="48" t="n"/>
      <c r="AB505" s="48" t="n"/>
      <c r="AC505" s="48" t="n"/>
      <c r="AD505" s="48" t="n"/>
      <c r="AE505" s="48" t="n"/>
      <c r="AF505" s="48" t="n"/>
      <c r="AG505" s="48" t="n"/>
      <c r="AH505" s="48" t="n"/>
      <c r="AI505" s="48" t="n"/>
      <c r="AJ505" s="48" t="n"/>
      <c r="AK505" s="48" t="n"/>
      <c r="AL505" s="53" t="n"/>
      <c r="AM505" s="52" t="n"/>
      <c r="AN505" s="48" t="n"/>
      <c r="AO505" s="48" t="n"/>
      <c r="AP505" s="48" t="n"/>
      <c r="AQ505" s="48" t="n"/>
      <c r="AR505" s="48" t="n"/>
      <c r="AS505" s="48" t="n"/>
      <c r="AT505" s="48" t="n"/>
      <c r="AU505" s="48" t="n"/>
      <c r="AV505" s="48" t="n"/>
      <c r="AW505" s="48" t="n"/>
      <c r="AX505" s="48" t="n"/>
      <c r="AY505" s="48" t="n"/>
      <c r="AZ505" s="48" t="n"/>
      <c r="BA505" s="48" t="n"/>
      <c r="BB505" s="48" t="n"/>
      <c r="BC505" s="48" t="n"/>
      <c r="BD505" s="48" t="n"/>
      <c r="BE505" s="48" t="n"/>
      <c r="BF505" s="48" t="n"/>
      <c r="BG505" s="48" t="n"/>
      <c r="BH505" s="48" t="n"/>
      <c r="BI505" s="48" t="n"/>
      <c r="BJ505" s="48" t="n"/>
      <c r="BK505" s="48" t="n"/>
      <c r="BL505" s="48" t="n"/>
      <c r="BM505" s="48" t="n"/>
      <c r="BN505" s="48" t="n"/>
    </row>
    <row r="506">
      <c r="A506" s="47" t="n"/>
      <c r="B506" s="48" t="n"/>
      <c r="C506" s="48" t="n"/>
      <c r="D506" s="49" t="n"/>
      <c r="E506" s="48" t="n"/>
      <c r="F506" s="48" t="n"/>
      <c r="G506" s="50" t="n"/>
      <c r="H506" s="51" t="n"/>
      <c r="I506" s="51" t="n"/>
      <c r="J506" s="48" t="n"/>
      <c r="K506" s="52" t="n"/>
      <c r="L506" s="48" t="n"/>
      <c r="M506" s="48" t="n"/>
      <c r="N506" s="48" t="n"/>
      <c r="O506" s="48" t="n"/>
      <c r="P506" s="48" t="n"/>
      <c r="Q506" s="48" t="n"/>
      <c r="R506" s="48" t="n"/>
      <c r="S506" s="48" t="n"/>
      <c r="T506" s="48" t="n"/>
      <c r="U506" s="48" t="n"/>
      <c r="V506" s="48" t="n"/>
      <c r="W506" s="48" t="n"/>
      <c r="X506" s="48" t="n"/>
      <c r="Y506" s="48" t="n"/>
      <c r="Z506" s="48" t="n"/>
      <c r="AA506" s="48" t="n"/>
      <c r="AB506" s="48" t="n"/>
      <c r="AC506" s="48" t="n"/>
      <c r="AD506" s="48" t="n"/>
      <c r="AE506" s="48" t="n"/>
      <c r="AF506" s="48" t="n"/>
      <c r="AG506" s="48" t="n"/>
      <c r="AH506" s="48" t="n"/>
      <c r="AI506" s="48" t="n"/>
      <c r="AJ506" s="48" t="n"/>
      <c r="AK506" s="48" t="n"/>
      <c r="AL506" s="53" t="n"/>
      <c r="AM506" s="52" t="n"/>
      <c r="AN506" s="48" t="n"/>
      <c r="AO506" s="48" t="n"/>
      <c r="AP506" s="48" t="n"/>
      <c r="AQ506" s="48" t="n"/>
      <c r="AR506" s="48" t="n"/>
      <c r="AS506" s="48" t="n"/>
      <c r="AT506" s="48" t="n"/>
      <c r="AU506" s="48" t="n"/>
      <c r="AV506" s="48" t="n"/>
      <c r="AW506" s="48" t="n"/>
      <c r="AX506" s="48" t="n"/>
      <c r="AY506" s="48" t="n"/>
      <c r="AZ506" s="48" t="n"/>
      <c r="BA506" s="48" t="n"/>
      <c r="BB506" s="48" t="n"/>
      <c r="BC506" s="48" t="n"/>
      <c r="BD506" s="48" t="n"/>
      <c r="BE506" s="48" t="n"/>
      <c r="BF506" s="48" t="n"/>
      <c r="BG506" s="48" t="n"/>
      <c r="BH506" s="48" t="n"/>
      <c r="BI506" s="48" t="n"/>
      <c r="BJ506" s="48" t="n"/>
      <c r="BK506" s="48" t="n"/>
      <c r="BL506" s="48" t="n"/>
      <c r="BM506" s="48" t="n"/>
      <c r="BN506" s="48" t="n"/>
    </row>
    <row r="507">
      <c r="A507" s="47" t="n"/>
      <c r="B507" s="48" t="n"/>
      <c r="C507" s="48" t="n"/>
      <c r="D507" s="49" t="n"/>
      <c r="E507" s="48" t="n"/>
      <c r="F507" s="48" t="n"/>
      <c r="G507" s="50" t="n"/>
      <c r="H507" s="51" t="n"/>
      <c r="I507" s="51" t="n"/>
      <c r="J507" s="48" t="n"/>
      <c r="K507" s="52" t="n"/>
      <c r="L507" s="48" t="n"/>
      <c r="M507" s="48" t="n"/>
      <c r="N507" s="48" t="n"/>
      <c r="O507" s="48" t="n"/>
      <c r="P507" s="48" t="n"/>
      <c r="Q507" s="48" t="n"/>
      <c r="R507" s="48" t="n"/>
      <c r="S507" s="48" t="n"/>
      <c r="T507" s="48" t="n"/>
      <c r="U507" s="48" t="n"/>
      <c r="V507" s="48" t="n"/>
      <c r="W507" s="48" t="n"/>
      <c r="X507" s="48" t="n"/>
      <c r="Y507" s="48" t="n"/>
      <c r="Z507" s="48" t="n"/>
      <c r="AA507" s="48" t="n"/>
      <c r="AB507" s="48" t="n"/>
      <c r="AC507" s="48" t="n"/>
      <c r="AD507" s="48" t="n"/>
      <c r="AE507" s="48" t="n"/>
      <c r="AF507" s="48" t="n"/>
      <c r="AG507" s="48" t="n"/>
      <c r="AH507" s="48" t="n"/>
      <c r="AI507" s="48" t="n"/>
      <c r="AJ507" s="48" t="n"/>
      <c r="AK507" s="48" t="n"/>
      <c r="AL507" s="53" t="n"/>
      <c r="AM507" s="52" t="n"/>
      <c r="AN507" s="48" t="n"/>
      <c r="AO507" s="48" t="n"/>
      <c r="AP507" s="48" t="n"/>
      <c r="AQ507" s="48" t="n"/>
      <c r="AR507" s="48" t="n"/>
      <c r="AS507" s="48" t="n"/>
      <c r="AT507" s="48" t="n"/>
      <c r="AU507" s="48" t="n"/>
      <c r="AV507" s="48" t="n"/>
      <c r="AW507" s="48" t="n"/>
      <c r="AX507" s="48" t="n"/>
      <c r="AY507" s="48" t="n"/>
      <c r="AZ507" s="48" t="n"/>
      <c r="BA507" s="48" t="n"/>
      <c r="BB507" s="48" t="n"/>
      <c r="BC507" s="48" t="n"/>
      <c r="BD507" s="48" t="n"/>
      <c r="BE507" s="48" t="n"/>
      <c r="BF507" s="48" t="n"/>
      <c r="BG507" s="48" t="n"/>
      <c r="BH507" s="48" t="n"/>
      <c r="BI507" s="48" t="n"/>
      <c r="BJ507" s="48" t="n"/>
      <c r="BK507" s="48" t="n"/>
      <c r="BL507" s="48" t="n"/>
      <c r="BM507" s="48" t="n"/>
      <c r="BN507" s="48" t="n"/>
    </row>
    <row r="508">
      <c r="A508" s="47" t="n"/>
      <c r="B508" s="48" t="n"/>
      <c r="C508" s="48" t="n"/>
      <c r="D508" s="49" t="n"/>
      <c r="E508" s="48" t="n"/>
      <c r="F508" s="48" t="n"/>
      <c r="G508" s="50" t="n"/>
      <c r="H508" s="51" t="n"/>
      <c r="I508" s="51" t="n"/>
      <c r="J508" s="48" t="n"/>
      <c r="K508" s="52" t="n"/>
      <c r="L508" s="48" t="n"/>
      <c r="M508" s="48" t="n"/>
      <c r="N508" s="48" t="n"/>
      <c r="O508" s="48" t="n"/>
      <c r="P508" s="48" t="n"/>
      <c r="Q508" s="48" t="n"/>
      <c r="R508" s="48" t="n"/>
      <c r="S508" s="48" t="n"/>
      <c r="T508" s="48" t="n"/>
      <c r="U508" s="48" t="n"/>
      <c r="V508" s="48" t="n"/>
      <c r="W508" s="48" t="n"/>
      <c r="X508" s="48" t="n"/>
      <c r="Y508" s="48" t="n"/>
      <c r="Z508" s="48" t="n"/>
      <c r="AA508" s="48" t="n"/>
      <c r="AB508" s="48" t="n"/>
      <c r="AC508" s="48" t="n"/>
      <c r="AD508" s="48" t="n"/>
      <c r="AE508" s="48" t="n"/>
      <c r="AF508" s="48" t="n"/>
      <c r="AG508" s="48" t="n"/>
      <c r="AH508" s="48" t="n"/>
      <c r="AI508" s="48" t="n"/>
      <c r="AJ508" s="48" t="n"/>
      <c r="AK508" s="48" t="n"/>
      <c r="AL508" s="53" t="n"/>
      <c r="AM508" s="52" t="n"/>
      <c r="AN508" s="48" t="n"/>
      <c r="AO508" s="48" t="n"/>
      <c r="AP508" s="48" t="n"/>
      <c r="AQ508" s="48" t="n"/>
      <c r="AR508" s="48" t="n"/>
      <c r="AS508" s="48" t="n"/>
      <c r="AT508" s="48" t="n"/>
      <c r="AU508" s="48" t="n"/>
      <c r="AV508" s="48" t="n"/>
      <c r="AW508" s="48" t="n"/>
      <c r="AX508" s="48" t="n"/>
      <c r="AY508" s="48" t="n"/>
      <c r="AZ508" s="48" t="n"/>
      <c r="BA508" s="48" t="n"/>
      <c r="BB508" s="48" t="n"/>
      <c r="BC508" s="48" t="n"/>
      <c r="BD508" s="48" t="n"/>
      <c r="BE508" s="48" t="n"/>
      <c r="BF508" s="48" t="n"/>
      <c r="BG508" s="48" t="n"/>
      <c r="BH508" s="48" t="n"/>
      <c r="BI508" s="48" t="n"/>
      <c r="BJ508" s="48" t="n"/>
      <c r="BK508" s="48" t="n"/>
      <c r="BL508" s="48" t="n"/>
      <c r="BM508" s="48" t="n"/>
      <c r="BN508" s="48" t="n"/>
    </row>
    <row r="509">
      <c r="A509" s="47" t="n"/>
      <c r="B509" s="48" t="n"/>
      <c r="C509" s="48" t="n"/>
      <c r="D509" s="49" t="n"/>
      <c r="E509" s="48" t="n"/>
      <c r="F509" s="48" t="n"/>
      <c r="G509" s="50" t="n"/>
      <c r="H509" s="51" t="n"/>
      <c r="I509" s="51" t="n"/>
      <c r="J509" s="48" t="n"/>
      <c r="K509" s="52" t="n"/>
      <c r="L509" s="48" t="n"/>
      <c r="M509" s="48" t="n"/>
      <c r="N509" s="48" t="n"/>
      <c r="O509" s="48" t="n"/>
      <c r="P509" s="48" t="n"/>
      <c r="Q509" s="48" t="n"/>
      <c r="R509" s="48" t="n"/>
      <c r="S509" s="48" t="n"/>
      <c r="T509" s="48" t="n"/>
      <c r="U509" s="48" t="n"/>
      <c r="V509" s="48" t="n"/>
      <c r="W509" s="48" t="n"/>
      <c r="X509" s="48" t="n"/>
      <c r="Y509" s="48" t="n"/>
      <c r="Z509" s="48" t="n"/>
      <c r="AA509" s="48" t="n"/>
      <c r="AB509" s="48" t="n"/>
      <c r="AC509" s="48" t="n"/>
      <c r="AD509" s="48" t="n"/>
      <c r="AE509" s="48" t="n"/>
      <c r="AF509" s="48" t="n"/>
      <c r="AG509" s="48" t="n"/>
      <c r="AH509" s="48" t="n"/>
      <c r="AI509" s="48" t="n"/>
      <c r="AJ509" s="48" t="n"/>
      <c r="AK509" s="48" t="n"/>
      <c r="AL509" s="53" t="n"/>
      <c r="AM509" s="52" t="n"/>
      <c r="AN509" s="48" t="n"/>
      <c r="AO509" s="48" t="n"/>
      <c r="AP509" s="48" t="n"/>
      <c r="AQ509" s="48" t="n"/>
      <c r="AR509" s="48" t="n"/>
      <c r="AS509" s="48" t="n"/>
      <c r="AT509" s="48" t="n"/>
      <c r="AU509" s="48" t="n"/>
      <c r="AV509" s="48" t="n"/>
      <c r="AW509" s="48" t="n"/>
      <c r="AX509" s="48" t="n"/>
      <c r="AY509" s="48" t="n"/>
      <c r="AZ509" s="48" t="n"/>
      <c r="BA509" s="48" t="n"/>
      <c r="BB509" s="48" t="n"/>
      <c r="BC509" s="48" t="n"/>
      <c r="BD509" s="48" t="n"/>
      <c r="BE509" s="48" t="n"/>
      <c r="BF509" s="48" t="n"/>
      <c r="BG509" s="48" t="n"/>
      <c r="BH509" s="48" t="n"/>
      <c r="BI509" s="48" t="n"/>
      <c r="BJ509" s="48" t="n"/>
      <c r="BK509" s="48" t="n"/>
      <c r="BL509" s="48" t="n"/>
      <c r="BM509" s="48" t="n"/>
      <c r="BN509" s="48" t="n"/>
    </row>
    <row r="510">
      <c r="A510" s="47" t="n"/>
      <c r="B510" s="48" t="n"/>
      <c r="C510" s="48" t="n"/>
      <c r="D510" s="49" t="n"/>
      <c r="E510" s="48" t="n"/>
      <c r="F510" s="48" t="n"/>
      <c r="G510" s="50" t="n"/>
      <c r="H510" s="51" t="n"/>
      <c r="I510" s="51" t="n"/>
      <c r="J510" s="48" t="n"/>
      <c r="K510" s="52" t="n"/>
      <c r="L510" s="48" t="n"/>
      <c r="M510" s="48" t="n"/>
      <c r="N510" s="48" t="n"/>
      <c r="O510" s="48" t="n"/>
      <c r="P510" s="48" t="n"/>
      <c r="Q510" s="48" t="n"/>
      <c r="R510" s="48" t="n"/>
      <c r="S510" s="48" t="n"/>
      <c r="T510" s="48" t="n"/>
      <c r="U510" s="48" t="n"/>
      <c r="V510" s="48" t="n"/>
      <c r="W510" s="48" t="n"/>
      <c r="X510" s="48" t="n"/>
      <c r="Y510" s="48" t="n"/>
      <c r="Z510" s="48" t="n"/>
      <c r="AA510" s="48" t="n"/>
      <c r="AB510" s="48" t="n"/>
      <c r="AC510" s="48" t="n"/>
      <c r="AD510" s="48" t="n"/>
      <c r="AE510" s="48" t="n"/>
      <c r="AF510" s="48" t="n"/>
      <c r="AG510" s="48" t="n"/>
      <c r="AH510" s="48" t="n"/>
      <c r="AI510" s="48" t="n"/>
      <c r="AJ510" s="48" t="n"/>
      <c r="AK510" s="48" t="n"/>
      <c r="AL510" s="53" t="n"/>
      <c r="AM510" s="52" t="n"/>
      <c r="AN510" s="48" t="n"/>
      <c r="AO510" s="48" t="n"/>
      <c r="AP510" s="48" t="n"/>
      <c r="AQ510" s="48" t="n"/>
      <c r="AR510" s="48" t="n"/>
      <c r="AS510" s="48" t="n"/>
      <c r="AT510" s="48" t="n"/>
      <c r="AU510" s="48" t="n"/>
      <c r="AV510" s="48" t="n"/>
      <c r="AW510" s="48" t="n"/>
      <c r="AX510" s="48" t="n"/>
      <c r="AY510" s="48" t="n"/>
      <c r="AZ510" s="48" t="n"/>
      <c r="BA510" s="48" t="n"/>
      <c r="BB510" s="48" t="n"/>
      <c r="BC510" s="48" t="n"/>
      <c r="BD510" s="48" t="n"/>
      <c r="BE510" s="48" t="n"/>
      <c r="BF510" s="48" t="n"/>
      <c r="BG510" s="48" t="n"/>
      <c r="BH510" s="48" t="n"/>
      <c r="BI510" s="48" t="n"/>
      <c r="BJ510" s="48" t="n"/>
      <c r="BK510" s="48" t="n"/>
      <c r="BL510" s="48" t="n"/>
      <c r="BM510" s="48" t="n"/>
      <c r="BN510" s="48" t="n"/>
    </row>
    <row r="511">
      <c r="A511" s="47" t="n"/>
      <c r="B511" s="48" t="n"/>
      <c r="C511" s="48" t="n"/>
      <c r="D511" s="49" t="n"/>
      <c r="E511" s="48" t="n"/>
      <c r="F511" s="48" t="n"/>
      <c r="G511" s="50" t="n"/>
      <c r="H511" s="51" t="n"/>
      <c r="I511" s="51" t="n"/>
      <c r="J511" s="48" t="n"/>
      <c r="K511" s="52" t="n"/>
      <c r="L511" s="48" t="n"/>
      <c r="M511" s="48" t="n"/>
      <c r="N511" s="48" t="n"/>
      <c r="O511" s="48" t="n"/>
      <c r="P511" s="48" t="n"/>
      <c r="Q511" s="48" t="n"/>
      <c r="R511" s="48" t="n"/>
      <c r="S511" s="48" t="n"/>
      <c r="T511" s="48" t="n"/>
      <c r="U511" s="48" t="n"/>
      <c r="V511" s="48" t="n"/>
      <c r="W511" s="48" t="n"/>
      <c r="X511" s="48" t="n"/>
      <c r="Y511" s="48" t="n"/>
      <c r="Z511" s="48" t="n"/>
      <c r="AA511" s="48" t="n"/>
      <c r="AB511" s="48" t="n"/>
      <c r="AC511" s="48" t="n"/>
      <c r="AD511" s="48" t="n"/>
      <c r="AE511" s="48" t="n"/>
      <c r="AF511" s="48" t="n"/>
      <c r="AG511" s="48" t="n"/>
      <c r="AH511" s="48" t="n"/>
      <c r="AI511" s="48" t="n"/>
      <c r="AJ511" s="48" t="n"/>
      <c r="AK511" s="48" t="n"/>
      <c r="AL511" s="53" t="n"/>
      <c r="AM511" s="52" t="n"/>
      <c r="AN511" s="48" t="n"/>
      <c r="AO511" s="48" t="n"/>
      <c r="AP511" s="48" t="n"/>
      <c r="AQ511" s="48" t="n"/>
      <c r="AR511" s="48" t="n"/>
      <c r="AS511" s="48" t="n"/>
      <c r="AT511" s="48" t="n"/>
      <c r="AU511" s="48" t="n"/>
      <c r="AV511" s="48" t="n"/>
      <c r="AW511" s="48" t="n"/>
      <c r="AX511" s="48" t="n"/>
      <c r="AY511" s="48" t="n"/>
      <c r="AZ511" s="48" t="n"/>
      <c r="BA511" s="48" t="n"/>
      <c r="BB511" s="48" t="n"/>
      <c r="BC511" s="48" t="n"/>
      <c r="BD511" s="48" t="n"/>
      <c r="BE511" s="48" t="n"/>
      <c r="BF511" s="48" t="n"/>
      <c r="BG511" s="48" t="n"/>
      <c r="BH511" s="48" t="n"/>
      <c r="BI511" s="48" t="n"/>
      <c r="BJ511" s="48" t="n"/>
      <c r="BK511" s="48" t="n"/>
      <c r="BL511" s="48" t="n"/>
      <c r="BM511" s="48" t="n"/>
      <c r="BN511" s="48" t="n"/>
    </row>
    <row r="512">
      <c r="A512" s="47" t="n"/>
      <c r="B512" s="48" t="n"/>
      <c r="C512" s="48" t="n"/>
      <c r="D512" s="49" t="n"/>
      <c r="E512" s="48" t="n"/>
      <c r="F512" s="48" t="n"/>
      <c r="G512" s="50" t="n"/>
      <c r="H512" s="51" t="n"/>
      <c r="I512" s="51" t="n"/>
      <c r="J512" s="48" t="n"/>
      <c r="K512" s="52" t="n"/>
      <c r="L512" s="48" t="n"/>
      <c r="M512" s="48" t="n"/>
      <c r="N512" s="48" t="n"/>
      <c r="O512" s="48" t="n"/>
      <c r="P512" s="48" t="n"/>
      <c r="Q512" s="48" t="n"/>
      <c r="R512" s="48" t="n"/>
      <c r="S512" s="48" t="n"/>
      <c r="T512" s="48" t="n"/>
      <c r="U512" s="48" t="n"/>
      <c r="V512" s="48" t="n"/>
      <c r="W512" s="48" t="n"/>
      <c r="X512" s="48" t="n"/>
      <c r="Y512" s="48" t="n"/>
      <c r="Z512" s="48" t="n"/>
      <c r="AA512" s="48" t="n"/>
      <c r="AB512" s="48" t="n"/>
      <c r="AC512" s="48" t="n"/>
      <c r="AD512" s="48" t="n"/>
      <c r="AE512" s="48" t="n"/>
      <c r="AF512" s="48" t="n"/>
      <c r="AG512" s="48" t="n"/>
      <c r="AH512" s="48" t="n"/>
      <c r="AI512" s="48" t="n"/>
      <c r="AJ512" s="48" t="n"/>
      <c r="AK512" s="48" t="n"/>
      <c r="AL512" s="53" t="n"/>
      <c r="AM512" s="52" t="n"/>
      <c r="AN512" s="48" t="n"/>
      <c r="AO512" s="48" t="n"/>
      <c r="AP512" s="48" t="n"/>
      <c r="AQ512" s="48" t="n"/>
      <c r="AR512" s="48" t="n"/>
      <c r="AS512" s="48" t="n"/>
      <c r="AT512" s="48" t="n"/>
      <c r="AU512" s="48" t="n"/>
      <c r="AV512" s="48" t="n"/>
      <c r="AW512" s="48" t="n"/>
      <c r="AX512" s="48" t="n"/>
      <c r="AY512" s="48" t="n"/>
      <c r="AZ512" s="48" t="n"/>
      <c r="BA512" s="48" t="n"/>
      <c r="BB512" s="48" t="n"/>
      <c r="BC512" s="48" t="n"/>
      <c r="BD512" s="48" t="n"/>
      <c r="BE512" s="48" t="n"/>
      <c r="BF512" s="48" t="n"/>
      <c r="BG512" s="48" t="n"/>
      <c r="BH512" s="48" t="n"/>
      <c r="BI512" s="48" t="n"/>
      <c r="BJ512" s="48" t="n"/>
      <c r="BK512" s="48" t="n"/>
      <c r="BL512" s="48" t="n"/>
      <c r="BM512" s="48" t="n"/>
      <c r="BN512" s="48" t="n"/>
    </row>
    <row r="513">
      <c r="A513" s="47" t="n"/>
      <c r="B513" s="48" t="n"/>
      <c r="C513" s="48" t="n"/>
      <c r="D513" s="49" t="n"/>
      <c r="E513" s="48" t="n"/>
      <c r="F513" s="48" t="n"/>
      <c r="G513" s="50" t="n"/>
      <c r="H513" s="51" t="n"/>
      <c r="I513" s="51" t="n"/>
      <c r="J513" s="48" t="n"/>
      <c r="K513" s="52" t="n"/>
      <c r="L513" s="48" t="n"/>
      <c r="M513" s="48" t="n"/>
      <c r="N513" s="48" t="n"/>
      <c r="O513" s="48" t="n"/>
      <c r="P513" s="48" t="n"/>
      <c r="Q513" s="48" t="n"/>
      <c r="R513" s="48" t="n"/>
      <c r="S513" s="48" t="n"/>
      <c r="T513" s="48" t="n"/>
      <c r="U513" s="48" t="n"/>
      <c r="V513" s="48" t="n"/>
      <c r="W513" s="48" t="n"/>
      <c r="X513" s="48" t="n"/>
      <c r="Y513" s="48" t="n"/>
      <c r="Z513" s="48" t="n"/>
      <c r="AA513" s="48" t="n"/>
      <c r="AB513" s="48" t="n"/>
      <c r="AC513" s="48" t="n"/>
      <c r="AD513" s="48" t="n"/>
      <c r="AE513" s="48" t="n"/>
      <c r="AF513" s="48" t="n"/>
      <c r="AG513" s="48" t="n"/>
      <c r="AH513" s="48" t="n"/>
      <c r="AI513" s="48" t="n"/>
      <c r="AJ513" s="48" t="n"/>
      <c r="AK513" s="48" t="n"/>
      <c r="AL513" s="53" t="n"/>
      <c r="AM513" s="52" t="n"/>
      <c r="AN513" s="48" t="n"/>
      <c r="AO513" s="48" t="n"/>
      <c r="AP513" s="48" t="n"/>
      <c r="AQ513" s="48" t="n"/>
      <c r="AR513" s="48" t="n"/>
      <c r="AS513" s="48" t="n"/>
      <c r="AT513" s="48" t="n"/>
      <c r="AU513" s="48" t="n"/>
      <c r="AV513" s="48" t="n"/>
      <c r="AW513" s="48" t="n"/>
      <c r="AX513" s="48" t="n"/>
      <c r="AY513" s="48" t="n"/>
      <c r="AZ513" s="48" t="n"/>
      <c r="BA513" s="48" t="n"/>
      <c r="BB513" s="48" t="n"/>
      <c r="BC513" s="48" t="n"/>
      <c r="BD513" s="48" t="n"/>
      <c r="BE513" s="48" t="n"/>
      <c r="BF513" s="48" t="n"/>
      <c r="BG513" s="48" t="n"/>
      <c r="BH513" s="48" t="n"/>
      <c r="BI513" s="48" t="n"/>
      <c r="BJ513" s="48" t="n"/>
      <c r="BK513" s="48" t="n"/>
      <c r="BL513" s="48" t="n"/>
      <c r="BM513" s="48" t="n"/>
      <c r="BN513" s="48" t="n"/>
    </row>
    <row r="514">
      <c r="A514" s="47" t="n"/>
      <c r="B514" s="48" t="n"/>
      <c r="C514" s="48" t="n"/>
      <c r="D514" s="49" t="n"/>
      <c r="E514" s="48" t="n"/>
      <c r="F514" s="48" t="n"/>
      <c r="G514" s="50" t="n"/>
      <c r="H514" s="51" t="n"/>
      <c r="I514" s="51" t="n"/>
      <c r="J514" s="48" t="n"/>
      <c r="K514" s="52" t="n"/>
      <c r="L514" s="48" t="n"/>
      <c r="M514" s="48" t="n"/>
      <c r="N514" s="48" t="n"/>
      <c r="O514" s="48" t="n"/>
      <c r="P514" s="48" t="n"/>
      <c r="Q514" s="48" t="n"/>
      <c r="R514" s="48" t="n"/>
      <c r="S514" s="48" t="n"/>
      <c r="T514" s="48" t="n"/>
      <c r="U514" s="48" t="n"/>
      <c r="V514" s="48" t="n"/>
      <c r="W514" s="48" t="n"/>
      <c r="X514" s="48" t="n"/>
      <c r="Y514" s="48" t="n"/>
      <c r="Z514" s="48" t="n"/>
      <c r="AA514" s="48" t="n"/>
      <c r="AB514" s="48" t="n"/>
      <c r="AC514" s="48" t="n"/>
      <c r="AD514" s="48" t="n"/>
      <c r="AE514" s="48" t="n"/>
      <c r="AF514" s="48" t="n"/>
      <c r="AG514" s="48" t="n"/>
      <c r="AH514" s="48" t="n"/>
      <c r="AI514" s="48" t="n"/>
      <c r="AJ514" s="48" t="n"/>
      <c r="AK514" s="48" t="n"/>
      <c r="AL514" s="53" t="n"/>
      <c r="AM514" s="52" t="n"/>
      <c r="AN514" s="48" t="n"/>
      <c r="AO514" s="48" t="n"/>
      <c r="AP514" s="48" t="n"/>
      <c r="AQ514" s="48" t="n"/>
      <c r="AR514" s="48" t="n"/>
      <c r="AS514" s="48" t="n"/>
      <c r="AT514" s="48" t="n"/>
      <c r="AU514" s="48" t="n"/>
      <c r="AV514" s="48" t="n"/>
      <c r="AW514" s="48" t="n"/>
      <c r="AX514" s="48" t="n"/>
      <c r="AY514" s="48" t="n"/>
      <c r="AZ514" s="48" t="n"/>
      <c r="BA514" s="48" t="n"/>
      <c r="BB514" s="48" t="n"/>
      <c r="BC514" s="48" t="n"/>
      <c r="BD514" s="48" t="n"/>
      <c r="BE514" s="48" t="n"/>
      <c r="BF514" s="48" t="n"/>
      <c r="BG514" s="48" t="n"/>
      <c r="BH514" s="48" t="n"/>
      <c r="BI514" s="48" t="n"/>
      <c r="BJ514" s="48" t="n"/>
      <c r="BK514" s="48" t="n"/>
      <c r="BL514" s="48" t="n"/>
      <c r="BM514" s="48" t="n"/>
      <c r="BN514" s="48" t="n"/>
    </row>
    <row r="515">
      <c r="A515" s="47" t="n"/>
      <c r="B515" s="48" t="n"/>
      <c r="C515" s="48" t="n"/>
      <c r="D515" s="49" t="n"/>
      <c r="E515" s="48" t="n"/>
      <c r="F515" s="48" t="n"/>
      <c r="G515" s="50" t="n"/>
      <c r="H515" s="51" t="n"/>
      <c r="I515" s="51" t="n"/>
      <c r="J515" s="48" t="n"/>
      <c r="K515" s="52" t="n"/>
      <c r="L515" s="48" t="n"/>
      <c r="M515" s="48" t="n"/>
      <c r="N515" s="48" t="n"/>
      <c r="O515" s="48" t="n"/>
      <c r="P515" s="48" t="n"/>
      <c r="Q515" s="48" t="n"/>
      <c r="R515" s="48" t="n"/>
      <c r="S515" s="48" t="n"/>
      <c r="T515" s="48" t="n"/>
      <c r="U515" s="48" t="n"/>
      <c r="V515" s="48" t="n"/>
      <c r="W515" s="48" t="n"/>
      <c r="X515" s="48" t="n"/>
      <c r="Y515" s="48" t="n"/>
      <c r="Z515" s="48" t="n"/>
      <c r="AA515" s="48" t="n"/>
      <c r="AB515" s="48" t="n"/>
      <c r="AC515" s="48" t="n"/>
      <c r="AD515" s="48" t="n"/>
      <c r="AE515" s="48" t="n"/>
      <c r="AF515" s="48" t="n"/>
      <c r="AG515" s="48" t="n"/>
      <c r="AH515" s="48" t="n"/>
      <c r="AI515" s="48" t="n"/>
      <c r="AJ515" s="48" t="n"/>
      <c r="AK515" s="48" t="n"/>
      <c r="AL515" s="53" t="n"/>
      <c r="AM515" s="52" t="n"/>
      <c r="AN515" s="48" t="n"/>
      <c r="AO515" s="48" t="n"/>
      <c r="AP515" s="48" t="n"/>
      <c r="AQ515" s="48" t="n"/>
      <c r="AR515" s="48" t="n"/>
      <c r="AS515" s="48" t="n"/>
      <c r="AT515" s="48" t="n"/>
      <c r="AU515" s="48" t="n"/>
      <c r="AV515" s="48" t="n"/>
      <c r="AW515" s="48" t="n"/>
      <c r="AX515" s="48" t="n"/>
      <c r="AY515" s="48" t="n"/>
      <c r="AZ515" s="48" t="n"/>
      <c r="BA515" s="48" t="n"/>
      <c r="BB515" s="48" t="n"/>
      <c r="BC515" s="48" t="n"/>
      <c r="BD515" s="48" t="n"/>
      <c r="BE515" s="48" t="n"/>
      <c r="BF515" s="48" t="n"/>
      <c r="BG515" s="48" t="n"/>
      <c r="BH515" s="48" t="n"/>
      <c r="BI515" s="48" t="n"/>
      <c r="BJ515" s="48" t="n"/>
      <c r="BK515" s="48" t="n"/>
      <c r="BL515" s="48" t="n"/>
      <c r="BM515" s="48" t="n"/>
      <c r="BN515" s="48" t="n"/>
    </row>
    <row r="516">
      <c r="A516" s="47" t="n"/>
      <c r="B516" s="48" t="n"/>
      <c r="C516" s="48" t="n"/>
      <c r="D516" s="49" t="n"/>
      <c r="E516" s="48" t="n"/>
      <c r="F516" s="48" t="n"/>
      <c r="G516" s="50" t="n"/>
      <c r="H516" s="51" t="n"/>
      <c r="I516" s="51" t="n"/>
      <c r="J516" s="48" t="n"/>
      <c r="K516" s="52" t="n"/>
      <c r="L516" s="48" t="n"/>
      <c r="M516" s="48" t="n"/>
      <c r="N516" s="48" t="n"/>
      <c r="O516" s="48" t="n"/>
      <c r="P516" s="48" t="n"/>
      <c r="Q516" s="48" t="n"/>
      <c r="R516" s="48" t="n"/>
      <c r="S516" s="48" t="n"/>
      <c r="T516" s="48" t="n"/>
      <c r="U516" s="48" t="n"/>
      <c r="V516" s="48" t="n"/>
      <c r="W516" s="48" t="n"/>
      <c r="X516" s="48" t="n"/>
      <c r="Y516" s="48" t="n"/>
      <c r="Z516" s="48" t="n"/>
      <c r="AA516" s="48" t="n"/>
      <c r="AB516" s="48" t="n"/>
      <c r="AC516" s="48" t="n"/>
      <c r="AD516" s="48" t="n"/>
      <c r="AE516" s="48" t="n"/>
      <c r="AF516" s="48" t="n"/>
      <c r="AG516" s="48" t="n"/>
      <c r="AH516" s="48" t="n"/>
      <c r="AI516" s="48" t="n"/>
      <c r="AJ516" s="48" t="n"/>
      <c r="AK516" s="48" t="n"/>
      <c r="AL516" s="53" t="n"/>
      <c r="AM516" s="52" t="n"/>
      <c r="AN516" s="48" t="n"/>
      <c r="AO516" s="48" t="n"/>
      <c r="AP516" s="48" t="n"/>
      <c r="AQ516" s="48" t="n"/>
      <c r="AR516" s="48" t="n"/>
      <c r="AS516" s="48" t="n"/>
      <c r="AT516" s="48" t="n"/>
      <c r="AU516" s="48" t="n"/>
      <c r="AV516" s="48" t="n"/>
      <c r="AW516" s="48" t="n"/>
      <c r="AX516" s="48" t="n"/>
      <c r="AY516" s="48" t="n"/>
      <c r="AZ516" s="48" t="n"/>
      <c r="BA516" s="48" t="n"/>
      <c r="BB516" s="48" t="n"/>
      <c r="BC516" s="48" t="n"/>
      <c r="BD516" s="48" t="n"/>
      <c r="BE516" s="48" t="n"/>
      <c r="BF516" s="48" t="n"/>
      <c r="BG516" s="48" t="n"/>
      <c r="BH516" s="48" t="n"/>
      <c r="BI516" s="48" t="n"/>
      <c r="BJ516" s="48" t="n"/>
      <c r="BK516" s="48" t="n"/>
      <c r="BL516" s="48" t="n"/>
      <c r="BM516" s="48" t="n"/>
      <c r="BN516" s="48" t="n"/>
    </row>
    <row r="517">
      <c r="A517" s="47" t="n"/>
      <c r="B517" s="48" t="n"/>
      <c r="C517" s="48" t="n"/>
      <c r="D517" s="49" t="n"/>
      <c r="E517" s="48" t="n"/>
      <c r="F517" s="48" t="n"/>
      <c r="G517" s="50" t="n"/>
      <c r="H517" s="51" t="n"/>
      <c r="I517" s="51" t="n"/>
      <c r="J517" s="48" t="n"/>
      <c r="K517" s="52" t="n"/>
      <c r="L517" s="48" t="n"/>
      <c r="M517" s="48" t="n"/>
      <c r="N517" s="48" t="n"/>
      <c r="O517" s="48" t="n"/>
      <c r="P517" s="48" t="n"/>
      <c r="Q517" s="48" t="n"/>
      <c r="R517" s="48" t="n"/>
      <c r="S517" s="48" t="n"/>
      <c r="T517" s="48" t="n"/>
      <c r="U517" s="48" t="n"/>
      <c r="V517" s="48" t="n"/>
      <c r="W517" s="48" t="n"/>
      <c r="X517" s="48" t="n"/>
      <c r="Y517" s="48" t="n"/>
      <c r="Z517" s="48" t="n"/>
      <c r="AA517" s="48" t="n"/>
      <c r="AB517" s="48" t="n"/>
      <c r="AC517" s="48" t="n"/>
      <c r="AD517" s="48" t="n"/>
      <c r="AE517" s="48" t="n"/>
      <c r="AF517" s="48" t="n"/>
      <c r="AG517" s="48" t="n"/>
      <c r="AH517" s="48" t="n"/>
      <c r="AI517" s="48" t="n"/>
      <c r="AJ517" s="48" t="n"/>
      <c r="AK517" s="48" t="n"/>
      <c r="AL517" s="53" t="n"/>
      <c r="AM517" s="52" t="n"/>
      <c r="AN517" s="48" t="n"/>
      <c r="AO517" s="48" t="n"/>
      <c r="AP517" s="48" t="n"/>
      <c r="AQ517" s="48" t="n"/>
      <c r="AR517" s="48" t="n"/>
      <c r="AS517" s="48" t="n"/>
      <c r="AT517" s="48" t="n"/>
      <c r="AU517" s="48" t="n"/>
      <c r="AV517" s="48" t="n"/>
      <c r="AW517" s="48" t="n"/>
      <c r="AX517" s="48" t="n"/>
      <c r="AY517" s="48" t="n"/>
      <c r="AZ517" s="48" t="n"/>
      <c r="BA517" s="48" t="n"/>
      <c r="BB517" s="48" t="n"/>
      <c r="BC517" s="48" t="n"/>
      <c r="BD517" s="48" t="n"/>
      <c r="BE517" s="48" t="n"/>
      <c r="BF517" s="48" t="n"/>
      <c r="BG517" s="48" t="n"/>
      <c r="BH517" s="48" t="n"/>
      <c r="BI517" s="48" t="n"/>
      <c r="BJ517" s="48" t="n"/>
      <c r="BK517" s="48" t="n"/>
      <c r="BL517" s="48" t="n"/>
      <c r="BM517" s="48" t="n"/>
      <c r="BN517" s="48" t="n"/>
    </row>
    <row r="518">
      <c r="A518" s="47" t="n"/>
      <c r="B518" s="48" t="n"/>
      <c r="C518" s="48" t="n"/>
      <c r="D518" s="49" t="n"/>
      <c r="E518" s="48" t="n"/>
      <c r="F518" s="48" t="n"/>
      <c r="G518" s="50" t="n"/>
      <c r="H518" s="51" t="n"/>
      <c r="I518" s="51" t="n"/>
      <c r="J518" s="48" t="n"/>
      <c r="K518" s="52" t="n"/>
      <c r="L518" s="48" t="n"/>
      <c r="M518" s="48" t="n"/>
      <c r="N518" s="48" t="n"/>
      <c r="O518" s="48" t="n"/>
      <c r="P518" s="48" t="n"/>
      <c r="Q518" s="48" t="n"/>
      <c r="R518" s="48" t="n"/>
      <c r="S518" s="48" t="n"/>
      <c r="T518" s="48" t="n"/>
      <c r="U518" s="48" t="n"/>
      <c r="V518" s="48" t="n"/>
      <c r="W518" s="48" t="n"/>
      <c r="X518" s="48" t="n"/>
      <c r="Y518" s="48" t="n"/>
      <c r="Z518" s="48" t="n"/>
      <c r="AA518" s="48" t="n"/>
      <c r="AB518" s="48" t="n"/>
      <c r="AC518" s="48" t="n"/>
      <c r="AD518" s="48" t="n"/>
      <c r="AE518" s="48" t="n"/>
      <c r="AF518" s="48" t="n"/>
      <c r="AG518" s="48" t="n"/>
      <c r="AH518" s="48" t="n"/>
      <c r="AI518" s="48" t="n"/>
      <c r="AJ518" s="48" t="n"/>
      <c r="AK518" s="48" t="n"/>
      <c r="AL518" s="53" t="n"/>
      <c r="AM518" s="52" t="n"/>
      <c r="AN518" s="48" t="n"/>
      <c r="AO518" s="48" t="n"/>
      <c r="AP518" s="48" t="n"/>
      <c r="AQ518" s="48" t="n"/>
      <c r="AR518" s="48" t="n"/>
      <c r="AS518" s="48" t="n"/>
      <c r="AT518" s="48" t="n"/>
      <c r="AU518" s="48" t="n"/>
      <c r="AV518" s="48" t="n"/>
      <c r="AW518" s="48" t="n"/>
      <c r="AX518" s="48" t="n"/>
      <c r="AY518" s="48" t="n"/>
      <c r="AZ518" s="48" t="n"/>
      <c r="BA518" s="48" t="n"/>
      <c r="BB518" s="48" t="n"/>
      <c r="BC518" s="48" t="n"/>
      <c r="BD518" s="48" t="n"/>
      <c r="BE518" s="48" t="n"/>
      <c r="BF518" s="48" t="n"/>
      <c r="BG518" s="48" t="n"/>
      <c r="BH518" s="48" t="n"/>
      <c r="BI518" s="48" t="n"/>
      <c r="BJ518" s="48" t="n"/>
      <c r="BK518" s="48" t="n"/>
      <c r="BL518" s="48" t="n"/>
      <c r="BM518" s="48" t="n"/>
      <c r="BN518" s="48" t="n"/>
    </row>
    <row r="519">
      <c r="A519" s="47" t="n"/>
      <c r="B519" s="48" t="n"/>
      <c r="C519" s="48" t="n"/>
      <c r="D519" s="49" t="n"/>
      <c r="E519" s="48" t="n"/>
      <c r="F519" s="48" t="n"/>
      <c r="G519" s="50" t="n"/>
      <c r="H519" s="51" t="n"/>
      <c r="I519" s="51" t="n"/>
      <c r="J519" s="48" t="n"/>
      <c r="K519" s="52" t="n"/>
      <c r="L519" s="48" t="n"/>
      <c r="M519" s="48" t="n"/>
      <c r="N519" s="48" t="n"/>
      <c r="O519" s="48" t="n"/>
      <c r="P519" s="48" t="n"/>
      <c r="Q519" s="48" t="n"/>
      <c r="R519" s="48" t="n"/>
      <c r="S519" s="48" t="n"/>
      <c r="T519" s="48" t="n"/>
      <c r="U519" s="48" t="n"/>
      <c r="V519" s="48" t="n"/>
      <c r="W519" s="48" t="n"/>
      <c r="X519" s="48" t="n"/>
      <c r="Y519" s="48" t="n"/>
      <c r="Z519" s="48" t="n"/>
      <c r="AA519" s="48" t="n"/>
      <c r="AB519" s="48" t="n"/>
      <c r="AC519" s="48" t="n"/>
      <c r="AD519" s="48" t="n"/>
      <c r="AE519" s="48" t="n"/>
      <c r="AF519" s="48" t="n"/>
      <c r="AG519" s="48" t="n"/>
      <c r="AH519" s="48" t="n"/>
      <c r="AI519" s="48" t="n"/>
      <c r="AJ519" s="48" t="n"/>
      <c r="AK519" s="48" t="n"/>
      <c r="AL519" s="53" t="n"/>
      <c r="AM519" s="52" t="n"/>
      <c r="AN519" s="48" t="n"/>
      <c r="AO519" s="48" t="n"/>
      <c r="AP519" s="48" t="n"/>
      <c r="AQ519" s="48" t="n"/>
      <c r="AR519" s="48" t="n"/>
      <c r="AS519" s="48" t="n"/>
      <c r="AT519" s="48" t="n"/>
      <c r="AU519" s="48" t="n"/>
      <c r="AV519" s="48" t="n"/>
      <c r="AW519" s="48" t="n"/>
      <c r="AX519" s="48" t="n"/>
      <c r="AY519" s="48" t="n"/>
      <c r="AZ519" s="48" t="n"/>
      <c r="BA519" s="48" t="n"/>
      <c r="BB519" s="48" t="n"/>
      <c r="BC519" s="48" t="n"/>
      <c r="BD519" s="48" t="n"/>
      <c r="BE519" s="48" t="n"/>
      <c r="BF519" s="48" t="n"/>
      <c r="BG519" s="48" t="n"/>
      <c r="BH519" s="48" t="n"/>
      <c r="BI519" s="48" t="n"/>
      <c r="BJ519" s="48" t="n"/>
      <c r="BK519" s="48" t="n"/>
      <c r="BL519" s="48" t="n"/>
      <c r="BM519" s="48" t="n"/>
      <c r="BN519" s="48" t="n"/>
    </row>
    <row r="520">
      <c r="A520" s="47" t="n"/>
      <c r="B520" s="48" t="n"/>
      <c r="C520" s="48" t="n"/>
      <c r="D520" s="49" t="n"/>
      <c r="E520" s="48" t="n"/>
      <c r="F520" s="48" t="n"/>
      <c r="G520" s="50" t="n"/>
      <c r="H520" s="51" t="n"/>
      <c r="I520" s="51" t="n"/>
      <c r="J520" s="48" t="n"/>
      <c r="K520" s="52" t="n"/>
      <c r="L520" s="48" t="n"/>
      <c r="M520" s="48" t="n"/>
      <c r="N520" s="48" t="n"/>
      <c r="O520" s="48" t="n"/>
      <c r="P520" s="48" t="n"/>
      <c r="Q520" s="48" t="n"/>
      <c r="R520" s="48" t="n"/>
      <c r="S520" s="48" t="n"/>
      <c r="T520" s="48" t="n"/>
      <c r="U520" s="48" t="n"/>
      <c r="V520" s="48" t="n"/>
      <c r="W520" s="48" t="n"/>
      <c r="X520" s="48" t="n"/>
      <c r="Y520" s="48" t="n"/>
      <c r="Z520" s="48" t="n"/>
      <c r="AA520" s="48" t="n"/>
      <c r="AB520" s="48" t="n"/>
      <c r="AC520" s="48" t="n"/>
      <c r="AD520" s="48" t="n"/>
      <c r="AE520" s="48" t="n"/>
      <c r="AF520" s="48" t="n"/>
      <c r="AG520" s="48" t="n"/>
      <c r="AH520" s="48" t="n"/>
      <c r="AI520" s="48" t="n"/>
      <c r="AJ520" s="48" t="n"/>
      <c r="AK520" s="48" t="n"/>
      <c r="AL520" s="53" t="n"/>
      <c r="AM520" s="52" t="n"/>
      <c r="AN520" s="48" t="n"/>
      <c r="AO520" s="48" t="n"/>
      <c r="AP520" s="48" t="n"/>
      <c r="AQ520" s="48" t="n"/>
      <c r="AR520" s="48" t="n"/>
      <c r="AS520" s="48" t="n"/>
      <c r="AT520" s="48" t="n"/>
      <c r="AU520" s="48" t="n"/>
      <c r="AV520" s="48" t="n"/>
      <c r="AW520" s="48" t="n"/>
      <c r="AX520" s="48" t="n"/>
      <c r="AY520" s="48" t="n"/>
      <c r="AZ520" s="48" t="n"/>
      <c r="BA520" s="48" t="n"/>
      <c r="BB520" s="48" t="n"/>
      <c r="BC520" s="48" t="n"/>
      <c r="BD520" s="48" t="n"/>
      <c r="BE520" s="48" t="n"/>
      <c r="BF520" s="48" t="n"/>
      <c r="BG520" s="48" t="n"/>
      <c r="BH520" s="48" t="n"/>
      <c r="BI520" s="48" t="n"/>
      <c r="BJ520" s="48" t="n"/>
      <c r="BK520" s="48" t="n"/>
      <c r="BL520" s="48" t="n"/>
      <c r="BM520" s="48" t="n"/>
      <c r="BN520" s="48" t="n"/>
    </row>
    <row r="521">
      <c r="A521" s="47" t="n"/>
      <c r="B521" s="48" t="n"/>
      <c r="C521" s="48" t="n"/>
      <c r="D521" s="49" t="n"/>
      <c r="E521" s="48" t="n"/>
      <c r="F521" s="48" t="n"/>
      <c r="G521" s="50" t="n"/>
      <c r="H521" s="51" t="n"/>
      <c r="I521" s="51" t="n"/>
      <c r="J521" s="48" t="n"/>
      <c r="K521" s="52" t="n"/>
      <c r="L521" s="48" t="n"/>
      <c r="M521" s="48" t="n"/>
      <c r="N521" s="48" t="n"/>
      <c r="O521" s="48" t="n"/>
      <c r="P521" s="48" t="n"/>
      <c r="Q521" s="48" t="n"/>
      <c r="R521" s="48" t="n"/>
      <c r="S521" s="48" t="n"/>
      <c r="T521" s="48" t="n"/>
      <c r="U521" s="48" t="n"/>
      <c r="V521" s="48" t="n"/>
      <c r="W521" s="48" t="n"/>
      <c r="X521" s="48" t="n"/>
      <c r="Y521" s="48" t="n"/>
      <c r="Z521" s="48" t="n"/>
      <c r="AA521" s="48" t="n"/>
      <c r="AB521" s="48" t="n"/>
      <c r="AC521" s="48" t="n"/>
      <c r="AD521" s="48" t="n"/>
      <c r="AE521" s="48" t="n"/>
      <c r="AF521" s="48" t="n"/>
      <c r="AG521" s="48" t="n"/>
      <c r="AH521" s="48" t="n"/>
      <c r="AI521" s="48" t="n"/>
      <c r="AJ521" s="48" t="n"/>
      <c r="AK521" s="48" t="n"/>
      <c r="AL521" s="53" t="n"/>
      <c r="AM521" s="52" t="n"/>
      <c r="AN521" s="48" t="n"/>
      <c r="AO521" s="48" t="n"/>
      <c r="AP521" s="48" t="n"/>
      <c r="AQ521" s="48" t="n"/>
      <c r="AR521" s="48" t="n"/>
      <c r="AS521" s="48" t="n"/>
      <c r="AT521" s="48" t="n"/>
      <c r="AU521" s="48" t="n"/>
      <c r="AV521" s="48" t="n"/>
      <c r="AW521" s="48" t="n"/>
      <c r="AX521" s="48" t="n"/>
      <c r="AY521" s="48" t="n"/>
      <c r="AZ521" s="48" t="n"/>
      <c r="BA521" s="48" t="n"/>
      <c r="BB521" s="48" t="n"/>
      <c r="BC521" s="48" t="n"/>
      <c r="BD521" s="48" t="n"/>
      <c r="BE521" s="48" t="n"/>
      <c r="BF521" s="48" t="n"/>
      <c r="BG521" s="48" t="n"/>
      <c r="BH521" s="48" t="n"/>
      <c r="BI521" s="48" t="n"/>
      <c r="BJ521" s="48" t="n"/>
      <c r="BK521" s="48" t="n"/>
      <c r="BL521" s="48" t="n"/>
      <c r="BM521" s="48" t="n"/>
      <c r="BN521" s="48" t="n"/>
    </row>
    <row r="522">
      <c r="A522" s="47" t="n"/>
      <c r="B522" s="48" t="n"/>
      <c r="C522" s="48" t="n"/>
      <c r="D522" s="49" t="n"/>
      <c r="E522" s="48" t="n"/>
      <c r="F522" s="48" t="n"/>
      <c r="G522" s="50" t="n"/>
      <c r="H522" s="51" t="n"/>
      <c r="I522" s="51" t="n"/>
      <c r="J522" s="48" t="n"/>
      <c r="K522" s="52" t="n"/>
      <c r="L522" s="48" t="n"/>
      <c r="M522" s="48" t="n"/>
      <c r="N522" s="48" t="n"/>
      <c r="O522" s="48" t="n"/>
      <c r="P522" s="48" t="n"/>
      <c r="Q522" s="48" t="n"/>
      <c r="R522" s="48" t="n"/>
      <c r="S522" s="48" t="n"/>
      <c r="T522" s="48" t="n"/>
      <c r="U522" s="48" t="n"/>
      <c r="V522" s="48" t="n"/>
      <c r="W522" s="48" t="n"/>
      <c r="X522" s="48" t="n"/>
      <c r="Y522" s="48" t="n"/>
      <c r="Z522" s="48" t="n"/>
      <c r="AA522" s="48" t="n"/>
      <c r="AB522" s="48" t="n"/>
      <c r="AC522" s="48" t="n"/>
      <c r="AD522" s="48" t="n"/>
      <c r="AE522" s="48" t="n"/>
      <c r="AF522" s="48" t="n"/>
      <c r="AG522" s="48" t="n"/>
      <c r="AH522" s="48" t="n"/>
      <c r="AI522" s="48" t="n"/>
      <c r="AJ522" s="48" t="n"/>
      <c r="AK522" s="48" t="n"/>
      <c r="AL522" s="53" t="n"/>
      <c r="AM522" s="52" t="n"/>
      <c r="AN522" s="48" t="n"/>
      <c r="AO522" s="48" t="n"/>
      <c r="AP522" s="48" t="n"/>
      <c r="AQ522" s="48" t="n"/>
      <c r="AR522" s="48" t="n"/>
      <c r="AS522" s="48" t="n"/>
      <c r="AT522" s="48" t="n"/>
      <c r="AU522" s="48" t="n"/>
      <c r="AV522" s="48" t="n"/>
      <c r="AW522" s="48" t="n"/>
      <c r="AX522" s="48" t="n"/>
      <c r="AY522" s="48" t="n"/>
      <c r="AZ522" s="48" t="n"/>
      <c r="BA522" s="48" t="n"/>
      <c r="BB522" s="48" t="n"/>
      <c r="BC522" s="48" t="n"/>
      <c r="BD522" s="48" t="n"/>
      <c r="BE522" s="48" t="n"/>
      <c r="BF522" s="48" t="n"/>
      <c r="BG522" s="48" t="n"/>
      <c r="BH522" s="48" t="n"/>
      <c r="BI522" s="48" t="n"/>
      <c r="BJ522" s="48" t="n"/>
      <c r="BK522" s="48" t="n"/>
      <c r="BL522" s="48" t="n"/>
      <c r="BM522" s="48" t="n"/>
      <c r="BN522" s="48" t="n"/>
    </row>
    <row r="523">
      <c r="A523" s="47" t="n"/>
      <c r="B523" s="48" t="n"/>
      <c r="C523" s="48" t="n"/>
      <c r="D523" s="49" t="n"/>
      <c r="E523" s="48" t="n"/>
      <c r="F523" s="48" t="n"/>
      <c r="G523" s="50" t="n"/>
      <c r="H523" s="51" t="n"/>
      <c r="I523" s="51" t="n"/>
      <c r="J523" s="48" t="n"/>
      <c r="K523" s="52" t="n"/>
      <c r="L523" s="48" t="n"/>
      <c r="M523" s="48" t="n"/>
      <c r="N523" s="48" t="n"/>
      <c r="O523" s="48" t="n"/>
      <c r="P523" s="48" t="n"/>
      <c r="Q523" s="48" t="n"/>
      <c r="R523" s="48" t="n"/>
      <c r="S523" s="48" t="n"/>
      <c r="T523" s="48" t="n"/>
      <c r="U523" s="48" t="n"/>
      <c r="V523" s="48" t="n"/>
      <c r="W523" s="48" t="n"/>
      <c r="X523" s="48" t="n"/>
      <c r="Y523" s="48" t="n"/>
      <c r="Z523" s="48" t="n"/>
      <c r="AA523" s="48" t="n"/>
      <c r="AB523" s="48" t="n"/>
      <c r="AC523" s="48" t="n"/>
      <c r="AD523" s="48" t="n"/>
      <c r="AE523" s="48" t="n"/>
      <c r="AF523" s="48" t="n"/>
      <c r="AG523" s="48" t="n"/>
      <c r="AH523" s="48" t="n"/>
      <c r="AI523" s="48" t="n"/>
      <c r="AJ523" s="48" t="n"/>
      <c r="AK523" s="48" t="n"/>
      <c r="AL523" s="53" t="n"/>
      <c r="AM523" s="52" t="n"/>
      <c r="AN523" s="48" t="n"/>
      <c r="AO523" s="48" t="n"/>
      <c r="AP523" s="48" t="n"/>
      <c r="AQ523" s="48" t="n"/>
      <c r="AR523" s="48" t="n"/>
      <c r="AS523" s="48" t="n"/>
      <c r="AT523" s="48" t="n"/>
      <c r="AU523" s="48" t="n"/>
      <c r="AV523" s="48" t="n"/>
      <c r="AW523" s="48" t="n"/>
      <c r="AX523" s="48" t="n"/>
      <c r="AY523" s="48" t="n"/>
      <c r="AZ523" s="48" t="n"/>
      <c r="BA523" s="48" t="n"/>
      <c r="BB523" s="48" t="n"/>
      <c r="BC523" s="48" t="n"/>
      <c r="BD523" s="48" t="n"/>
      <c r="BE523" s="48" t="n"/>
      <c r="BF523" s="48" t="n"/>
      <c r="BG523" s="48" t="n"/>
      <c r="BH523" s="48" t="n"/>
      <c r="BI523" s="48" t="n"/>
      <c r="BJ523" s="48" t="n"/>
      <c r="BK523" s="48" t="n"/>
      <c r="BL523" s="48" t="n"/>
      <c r="BM523" s="48" t="n"/>
      <c r="BN523" s="48" t="n"/>
    </row>
    <row r="524">
      <c r="A524" s="47" t="n"/>
      <c r="B524" s="48" t="n"/>
      <c r="C524" s="48" t="n"/>
      <c r="D524" s="49" t="n"/>
      <c r="E524" s="48" t="n"/>
      <c r="F524" s="48" t="n"/>
      <c r="G524" s="50" t="n"/>
      <c r="H524" s="51" t="n"/>
      <c r="I524" s="51" t="n"/>
      <c r="J524" s="48" t="n"/>
      <c r="K524" s="52" t="n"/>
      <c r="L524" s="48" t="n"/>
      <c r="M524" s="48" t="n"/>
      <c r="N524" s="48" t="n"/>
      <c r="O524" s="48" t="n"/>
      <c r="P524" s="48" t="n"/>
      <c r="Q524" s="48" t="n"/>
      <c r="R524" s="48" t="n"/>
      <c r="S524" s="48" t="n"/>
      <c r="T524" s="48" t="n"/>
      <c r="U524" s="48" t="n"/>
      <c r="V524" s="48" t="n"/>
      <c r="W524" s="48" t="n"/>
      <c r="X524" s="48" t="n"/>
      <c r="Y524" s="48" t="n"/>
      <c r="Z524" s="48" t="n"/>
      <c r="AA524" s="48" t="n"/>
      <c r="AB524" s="48" t="n"/>
      <c r="AC524" s="48" t="n"/>
      <c r="AD524" s="48" t="n"/>
      <c r="AE524" s="48" t="n"/>
      <c r="AF524" s="48" t="n"/>
      <c r="AG524" s="48" t="n"/>
      <c r="AH524" s="48" t="n"/>
      <c r="AI524" s="48" t="n"/>
      <c r="AJ524" s="48" t="n"/>
      <c r="AK524" s="48" t="n"/>
      <c r="AL524" s="53" t="n"/>
      <c r="AM524" s="52" t="n"/>
      <c r="AN524" s="48" t="n"/>
      <c r="AO524" s="48" t="n"/>
      <c r="AP524" s="48" t="n"/>
      <c r="AQ524" s="48" t="n"/>
      <c r="AR524" s="48" t="n"/>
      <c r="AS524" s="48" t="n"/>
      <c r="AT524" s="48" t="n"/>
      <c r="AU524" s="48" t="n"/>
      <c r="AV524" s="48" t="n"/>
      <c r="AW524" s="48" t="n"/>
      <c r="AX524" s="48" t="n"/>
      <c r="AY524" s="48" t="n"/>
      <c r="AZ524" s="48" t="n"/>
      <c r="BA524" s="48" t="n"/>
      <c r="BB524" s="48" t="n"/>
      <c r="BC524" s="48" t="n"/>
      <c r="BD524" s="48" t="n"/>
      <c r="BE524" s="48" t="n"/>
      <c r="BF524" s="48" t="n"/>
      <c r="BG524" s="48" t="n"/>
      <c r="BH524" s="48" t="n"/>
      <c r="BI524" s="48" t="n"/>
      <c r="BJ524" s="48" t="n"/>
      <c r="BK524" s="48" t="n"/>
      <c r="BL524" s="48" t="n"/>
      <c r="BM524" s="48" t="n"/>
      <c r="BN524" s="48" t="n"/>
    </row>
    <row r="525">
      <c r="A525" s="47" t="n"/>
      <c r="B525" s="48" t="n"/>
      <c r="C525" s="48" t="n"/>
      <c r="D525" s="49" t="n"/>
      <c r="E525" s="48" t="n"/>
      <c r="F525" s="48" t="n"/>
      <c r="G525" s="50" t="n"/>
      <c r="H525" s="51" t="n"/>
      <c r="I525" s="51" t="n"/>
      <c r="J525" s="48" t="n"/>
      <c r="K525" s="52" t="n"/>
      <c r="L525" s="48" t="n"/>
      <c r="M525" s="48" t="n"/>
      <c r="N525" s="48" t="n"/>
      <c r="O525" s="48" t="n"/>
      <c r="P525" s="48" t="n"/>
      <c r="Q525" s="48" t="n"/>
      <c r="R525" s="48" t="n"/>
      <c r="S525" s="48" t="n"/>
      <c r="T525" s="48" t="n"/>
      <c r="U525" s="48" t="n"/>
      <c r="V525" s="48" t="n"/>
      <c r="W525" s="48" t="n"/>
      <c r="X525" s="48" t="n"/>
      <c r="Y525" s="48" t="n"/>
      <c r="Z525" s="48" t="n"/>
      <c r="AA525" s="48" t="n"/>
      <c r="AB525" s="48" t="n"/>
      <c r="AC525" s="48" t="n"/>
      <c r="AD525" s="48" t="n"/>
      <c r="AE525" s="48" t="n"/>
      <c r="AF525" s="48" t="n"/>
      <c r="AG525" s="48" t="n"/>
      <c r="AH525" s="48" t="n"/>
      <c r="AI525" s="48" t="n"/>
      <c r="AJ525" s="48" t="n"/>
      <c r="AK525" s="48" t="n"/>
      <c r="AL525" s="53" t="n"/>
      <c r="AM525" s="52" t="n"/>
      <c r="AN525" s="48" t="n"/>
      <c r="AO525" s="48" t="n"/>
      <c r="AP525" s="48" t="n"/>
      <c r="AQ525" s="48" t="n"/>
      <c r="AR525" s="48" t="n"/>
      <c r="AS525" s="48" t="n"/>
      <c r="AT525" s="48" t="n"/>
      <c r="AU525" s="48" t="n"/>
      <c r="AV525" s="48" t="n"/>
      <c r="AW525" s="48" t="n"/>
      <c r="AX525" s="48" t="n"/>
      <c r="AY525" s="48" t="n"/>
      <c r="AZ525" s="48" t="n"/>
      <c r="BA525" s="48" t="n"/>
      <c r="BB525" s="48" t="n"/>
      <c r="BC525" s="48" t="n"/>
      <c r="BD525" s="48" t="n"/>
      <c r="BE525" s="48" t="n"/>
      <c r="BF525" s="48" t="n"/>
      <c r="BG525" s="48" t="n"/>
      <c r="BH525" s="48" t="n"/>
      <c r="BI525" s="48" t="n"/>
      <c r="BJ525" s="48" t="n"/>
      <c r="BK525" s="48" t="n"/>
      <c r="BL525" s="48" t="n"/>
      <c r="BM525" s="48" t="n"/>
      <c r="BN525" s="48" t="n"/>
    </row>
    <row r="526">
      <c r="A526" s="47" t="n"/>
      <c r="B526" s="48" t="n"/>
      <c r="C526" s="48" t="n"/>
      <c r="D526" s="49" t="n"/>
      <c r="E526" s="48" t="n"/>
      <c r="F526" s="48" t="n"/>
      <c r="G526" s="50" t="n"/>
      <c r="H526" s="51" t="n"/>
      <c r="I526" s="51" t="n"/>
      <c r="J526" s="48" t="n"/>
      <c r="K526" s="52" t="n"/>
      <c r="L526" s="48" t="n"/>
      <c r="M526" s="48" t="n"/>
      <c r="N526" s="48" t="n"/>
      <c r="O526" s="48" t="n"/>
      <c r="P526" s="48" t="n"/>
      <c r="Q526" s="48" t="n"/>
      <c r="R526" s="48" t="n"/>
      <c r="S526" s="48" t="n"/>
      <c r="T526" s="48" t="n"/>
      <c r="U526" s="48" t="n"/>
      <c r="V526" s="48" t="n"/>
      <c r="W526" s="48" t="n"/>
      <c r="X526" s="48" t="n"/>
      <c r="Y526" s="48" t="n"/>
      <c r="Z526" s="48" t="n"/>
      <c r="AA526" s="48" t="n"/>
      <c r="AB526" s="48" t="n"/>
      <c r="AC526" s="48" t="n"/>
      <c r="AD526" s="48" t="n"/>
      <c r="AE526" s="48" t="n"/>
      <c r="AF526" s="48" t="n"/>
      <c r="AG526" s="48" t="n"/>
      <c r="AH526" s="48" t="n"/>
      <c r="AI526" s="48" t="n"/>
      <c r="AJ526" s="48" t="n"/>
      <c r="AK526" s="48" t="n"/>
      <c r="AL526" s="53" t="n"/>
      <c r="AM526" s="52" t="n"/>
      <c r="AN526" s="48" t="n"/>
      <c r="AO526" s="48" t="n"/>
      <c r="AP526" s="48" t="n"/>
      <c r="AQ526" s="48" t="n"/>
      <c r="AR526" s="48" t="n"/>
      <c r="AS526" s="48" t="n"/>
      <c r="AT526" s="48" t="n"/>
      <c r="AU526" s="48" t="n"/>
      <c r="AV526" s="48" t="n"/>
      <c r="AW526" s="48" t="n"/>
      <c r="AX526" s="48" t="n"/>
      <c r="AY526" s="48" t="n"/>
      <c r="AZ526" s="48" t="n"/>
      <c r="BA526" s="48" t="n"/>
      <c r="BB526" s="48" t="n"/>
      <c r="BC526" s="48" t="n"/>
      <c r="BD526" s="48" t="n"/>
      <c r="BE526" s="48" t="n"/>
      <c r="BF526" s="48" t="n"/>
      <c r="BG526" s="48" t="n"/>
      <c r="BH526" s="48" t="n"/>
      <c r="BI526" s="48" t="n"/>
      <c r="BJ526" s="48" t="n"/>
      <c r="BK526" s="48" t="n"/>
      <c r="BL526" s="48" t="n"/>
      <c r="BM526" s="48" t="n"/>
      <c r="BN526" s="48" t="n"/>
    </row>
    <row r="527">
      <c r="A527" s="47" t="n"/>
      <c r="B527" s="48" t="n"/>
      <c r="C527" s="48" t="n"/>
      <c r="D527" s="49" t="n"/>
      <c r="E527" s="48" t="n"/>
      <c r="F527" s="48" t="n"/>
      <c r="G527" s="50" t="n"/>
      <c r="H527" s="51" t="n"/>
      <c r="I527" s="51" t="n"/>
      <c r="J527" s="48" t="n"/>
      <c r="K527" s="52" t="n"/>
      <c r="L527" s="48" t="n"/>
      <c r="M527" s="48" t="n"/>
      <c r="N527" s="48" t="n"/>
      <c r="O527" s="48" t="n"/>
      <c r="P527" s="48" t="n"/>
      <c r="Q527" s="48" t="n"/>
      <c r="R527" s="48" t="n"/>
      <c r="S527" s="48" t="n"/>
      <c r="T527" s="48" t="n"/>
      <c r="U527" s="48" t="n"/>
      <c r="V527" s="48" t="n"/>
      <c r="W527" s="48" t="n"/>
      <c r="X527" s="48" t="n"/>
      <c r="Y527" s="48" t="n"/>
      <c r="Z527" s="48" t="n"/>
      <c r="AA527" s="48" t="n"/>
      <c r="AB527" s="48" t="n"/>
      <c r="AC527" s="48" t="n"/>
      <c r="AD527" s="48" t="n"/>
      <c r="AE527" s="48" t="n"/>
      <c r="AF527" s="48" t="n"/>
      <c r="AG527" s="48" t="n"/>
      <c r="AH527" s="48" t="n"/>
      <c r="AI527" s="48" t="n"/>
      <c r="AJ527" s="48" t="n"/>
      <c r="AK527" s="48" t="n"/>
      <c r="AL527" s="53" t="n"/>
      <c r="AM527" s="52" t="n"/>
      <c r="AN527" s="48" t="n"/>
      <c r="AO527" s="48" t="n"/>
      <c r="AP527" s="48" t="n"/>
      <c r="AQ527" s="48" t="n"/>
      <c r="AR527" s="48" t="n"/>
      <c r="AS527" s="48" t="n"/>
      <c r="AT527" s="48" t="n"/>
      <c r="AU527" s="48" t="n"/>
      <c r="AV527" s="48" t="n"/>
      <c r="AW527" s="48" t="n"/>
      <c r="AX527" s="48" t="n"/>
      <c r="AY527" s="48" t="n"/>
      <c r="AZ527" s="48" t="n"/>
      <c r="BA527" s="48" t="n"/>
      <c r="BB527" s="48" t="n"/>
      <c r="BC527" s="48" t="n"/>
      <c r="BD527" s="48" t="n"/>
      <c r="BE527" s="48" t="n"/>
      <c r="BF527" s="48" t="n"/>
      <c r="BG527" s="48" t="n"/>
      <c r="BH527" s="48" t="n"/>
      <c r="BI527" s="48" t="n"/>
      <c r="BJ527" s="48" t="n"/>
      <c r="BK527" s="48" t="n"/>
      <c r="BL527" s="48" t="n"/>
      <c r="BM527" s="48" t="n"/>
      <c r="BN527" s="48" t="n"/>
    </row>
    <row r="528">
      <c r="A528" s="47" t="n"/>
      <c r="B528" s="48" t="n"/>
      <c r="C528" s="48" t="n"/>
      <c r="D528" s="49" t="n"/>
      <c r="E528" s="48" t="n"/>
      <c r="F528" s="48" t="n"/>
      <c r="G528" s="50" t="n"/>
      <c r="H528" s="51" t="n"/>
      <c r="I528" s="51" t="n"/>
      <c r="J528" s="48" t="n"/>
      <c r="K528" s="52" t="n"/>
      <c r="L528" s="48" t="n"/>
      <c r="M528" s="48" t="n"/>
      <c r="N528" s="48" t="n"/>
      <c r="O528" s="48" t="n"/>
      <c r="P528" s="48" t="n"/>
      <c r="Q528" s="48" t="n"/>
      <c r="R528" s="48" t="n"/>
      <c r="S528" s="48" t="n"/>
      <c r="T528" s="48" t="n"/>
      <c r="U528" s="48" t="n"/>
      <c r="V528" s="48" t="n"/>
      <c r="W528" s="48" t="n"/>
      <c r="X528" s="48" t="n"/>
      <c r="Y528" s="48" t="n"/>
      <c r="Z528" s="48" t="n"/>
      <c r="AA528" s="48" t="n"/>
      <c r="AB528" s="48" t="n"/>
      <c r="AC528" s="48" t="n"/>
      <c r="AD528" s="48" t="n"/>
      <c r="AE528" s="48" t="n"/>
      <c r="AF528" s="48" t="n"/>
      <c r="AG528" s="48" t="n"/>
      <c r="AH528" s="48" t="n"/>
      <c r="AI528" s="48" t="n"/>
      <c r="AJ528" s="48" t="n"/>
      <c r="AK528" s="48" t="n"/>
      <c r="AL528" s="53" t="n"/>
      <c r="AM528" s="52" t="n"/>
      <c r="AN528" s="48" t="n"/>
      <c r="AO528" s="48" t="n"/>
      <c r="AP528" s="48" t="n"/>
      <c r="AQ528" s="48" t="n"/>
      <c r="AR528" s="48" t="n"/>
      <c r="AS528" s="48" t="n"/>
      <c r="AT528" s="48" t="n"/>
      <c r="AU528" s="48" t="n"/>
      <c r="AV528" s="48" t="n"/>
      <c r="AW528" s="48" t="n"/>
      <c r="AX528" s="48" t="n"/>
      <c r="AY528" s="48" t="n"/>
      <c r="AZ528" s="48" t="n"/>
      <c r="BA528" s="48" t="n"/>
      <c r="BB528" s="48" t="n"/>
      <c r="BC528" s="48" t="n"/>
      <c r="BD528" s="48" t="n"/>
      <c r="BE528" s="48" t="n"/>
      <c r="BF528" s="48" t="n"/>
      <c r="BG528" s="48" t="n"/>
      <c r="BH528" s="48" t="n"/>
      <c r="BI528" s="48" t="n"/>
      <c r="BJ528" s="48" t="n"/>
      <c r="BK528" s="48" t="n"/>
      <c r="BL528" s="48" t="n"/>
      <c r="BM528" s="48" t="n"/>
      <c r="BN528" s="48" t="n"/>
    </row>
    <row r="529">
      <c r="A529" s="47" t="n"/>
      <c r="B529" s="48" t="n"/>
      <c r="C529" s="48" t="n"/>
      <c r="D529" s="49" t="n"/>
      <c r="E529" s="48" t="n"/>
      <c r="F529" s="48" t="n"/>
      <c r="G529" s="50" t="n"/>
      <c r="H529" s="51" t="n"/>
      <c r="I529" s="51" t="n"/>
      <c r="J529" s="48" t="n"/>
      <c r="K529" s="52" t="n"/>
      <c r="L529" s="48" t="n"/>
      <c r="M529" s="48" t="n"/>
      <c r="N529" s="48" t="n"/>
      <c r="O529" s="48" t="n"/>
      <c r="P529" s="48" t="n"/>
      <c r="Q529" s="48" t="n"/>
      <c r="R529" s="48" t="n"/>
      <c r="S529" s="48" t="n"/>
      <c r="T529" s="48" t="n"/>
      <c r="U529" s="48" t="n"/>
      <c r="V529" s="48" t="n"/>
      <c r="W529" s="48" t="n"/>
      <c r="X529" s="48" t="n"/>
      <c r="Y529" s="48" t="n"/>
      <c r="Z529" s="48" t="n"/>
      <c r="AA529" s="48" t="n"/>
      <c r="AB529" s="48" t="n"/>
      <c r="AC529" s="48" t="n"/>
      <c r="AD529" s="48" t="n"/>
      <c r="AE529" s="48" t="n"/>
      <c r="AF529" s="48" t="n"/>
      <c r="AG529" s="48" t="n"/>
      <c r="AH529" s="48" t="n"/>
      <c r="AI529" s="48" t="n"/>
      <c r="AJ529" s="48" t="n"/>
      <c r="AK529" s="48" t="n"/>
      <c r="AL529" s="53" t="n"/>
      <c r="AM529" s="52" t="n"/>
      <c r="AN529" s="48" t="n"/>
      <c r="AO529" s="48" t="n"/>
      <c r="AP529" s="48" t="n"/>
      <c r="AQ529" s="48" t="n"/>
      <c r="AR529" s="48" t="n"/>
      <c r="AS529" s="48" t="n"/>
      <c r="AT529" s="48" t="n"/>
      <c r="AU529" s="48" t="n"/>
      <c r="AV529" s="48" t="n"/>
      <c r="AW529" s="48" t="n"/>
      <c r="AX529" s="48" t="n"/>
      <c r="AY529" s="48" t="n"/>
      <c r="AZ529" s="48" t="n"/>
      <c r="BA529" s="48" t="n"/>
      <c r="BB529" s="48" t="n"/>
      <c r="BC529" s="48" t="n"/>
      <c r="BD529" s="48" t="n"/>
      <c r="BE529" s="48" t="n"/>
      <c r="BF529" s="48" t="n"/>
      <c r="BG529" s="48" t="n"/>
      <c r="BH529" s="48" t="n"/>
      <c r="BI529" s="48" t="n"/>
      <c r="BJ529" s="48" t="n"/>
      <c r="BK529" s="48" t="n"/>
      <c r="BL529" s="48" t="n"/>
      <c r="BM529" s="48" t="n"/>
      <c r="BN529" s="48" t="n"/>
    </row>
    <row r="530">
      <c r="A530" s="47" t="n"/>
      <c r="B530" s="48" t="n"/>
      <c r="C530" s="48" t="n"/>
      <c r="D530" s="49" t="n"/>
      <c r="E530" s="48" t="n"/>
      <c r="F530" s="48" t="n"/>
      <c r="G530" s="50" t="n"/>
      <c r="H530" s="51" t="n"/>
      <c r="I530" s="51" t="n"/>
      <c r="J530" s="48" t="n"/>
      <c r="K530" s="52" t="n"/>
      <c r="L530" s="48" t="n"/>
      <c r="M530" s="48" t="n"/>
      <c r="N530" s="48" t="n"/>
      <c r="O530" s="48" t="n"/>
      <c r="P530" s="48" t="n"/>
      <c r="Q530" s="48" t="n"/>
      <c r="R530" s="48" t="n"/>
      <c r="S530" s="48" t="n"/>
      <c r="T530" s="48" t="n"/>
      <c r="U530" s="48" t="n"/>
      <c r="V530" s="48" t="n"/>
      <c r="W530" s="48" t="n"/>
      <c r="X530" s="48" t="n"/>
      <c r="Y530" s="48" t="n"/>
      <c r="Z530" s="48" t="n"/>
      <c r="AA530" s="48" t="n"/>
      <c r="AB530" s="48" t="n"/>
      <c r="AC530" s="48" t="n"/>
      <c r="AD530" s="48" t="n"/>
      <c r="AE530" s="48" t="n"/>
      <c r="AF530" s="48" t="n"/>
      <c r="AG530" s="48" t="n"/>
      <c r="AH530" s="48" t="n"/>
      <c r="AI530" s="48" t="n"/>
      <c r="AJ530" s="48" t="n"/>
      <c r="AK530" s="48" t="n"/>
      <c r="AL530" s="53" t="n"/>
      <c r="AM530" s="52" t="n"/>
      <c r="AN530" s="48" t="n"/>
      <c r="AO530" s="48" t="n"/>
      <c r="AP530" s="48" t="n"/>
      <c r="AQ530" s="48" t="n"/>
      <c r="AR530" s="48" t="n"/>
      <c r="AS530" s="48" t="n"/>
      <c r="AT530" s="48" t="n"/>
      <c r="AU530" s="48" t="n"/>
      <c r="AV530" s="48" t="n"/>
      <c r="AW530" s="48" t="n"/>
      <c r="AX530" s="48" t="n"/>
      <c r="AY530" s="48" t="n"/>
      <c r="AZ530" s="48" t="n"/>
      <c r="BA530" s="48" t="n"/>
      <c r="BB530" s="48" t="n"/>
      <c r="BC530" s="48" t="n"/>
      <c r="BD530" s="48" t="n"/>
      <c r="BE530" s="48" t="n"/>
      <c r="BF530" s="48" t="n"/>
      <c r="BG530" s="48" t="n"/>
      <c r="BH530" s="48" t="n"/>
      <c r="BI530" s="48" t="n"/>
      <c r="BJ530" s="48" t="n"/>
      <c r="BK530" s="48" t="n"/>
      <c r="BL530" s="48" t="n"/>
      <c r="BM530" s="48" t="n"/>
      <c r="BN530" s="48" t="n"/>
    </row>
    <row r="531">
      <c r="A531" s="47" t="n"/>
      <c r="B531" s="48" t="n"/>
      <c r="C531" s="48" t="n"/>
      <c r="D531" s="49" t="n"/>
      <c r="E531" s="48" t="n"/>
      <c r="F531" s="48" t="n"/>
      <c r="G531" s="50" t="n"/>
      <c r="H531" s="51" t="n"/>
      <c r="I531" s="51" t="n"/>
      <c r="J531" s="48" t="n"/>
      <c r="K531" s="52" t="n"/>
      <c r="L531" s="48" t="n"/>
      <c r="M531" s="48" t="n"/>
      <c r="N531" s="48" t="n"/>
      <c r="O531" s="48" t="n"/>
      <c r="P531" s="48" t="n"/>
      <c r="Q531" s="48" t="n"/>
      <c r="R531" s="48" t="n"/>
      <c r="S531" s="48" t="n"/>
      <c r="T531" s="48" t="n"/>
      <c r="U531" s="48" t="n"/>
      <c r="V531" s="48" t="n"/>
      <c r="W531" s="48" t="n"/>
      <c r="X531" s="48" t="n"/>
      <c r="Y531" s="48" t="n"/>
      <c r="Z531" s="48" t="n"/>
      <c r="AA531" s="48" t="n"/>
      <c r="AB531" s="48" t="n"/>
      <c r="AC531" s="48" t="n"/>
      <c r="AD531" s="48" t="n"/>
      <c r="AE531" s="48" t="n"/>
      <c r="AF531" s="48" t="n"/>
      <c r="AG531" s="48" t="n"/>
      <c r="AH531" s="48" t="n"/>
      <c r="AI531" s="48" t="n"/>
      <c r="AJ531" s="48" t="n"/>
      <c r="AK531" s="48" t="n"/>
      <c r="AL531" s="53" t="n"/>
      <c r="AM531" s="52" t="n"/>
      <c r="AN531" s="48" t="n"/>
      <c r="AO531" s="48" t="n"/>
      <c r="AP531" s="48" t="n"/>
      <c r="AQ531" s="48" t="n"/>
      <c r="AR531" s="48" t="n"/>
      <c r="AS531" s="48" t="n"/>
      <c r="AT531" s="48" t="n"/>
      <c r="AU531" s="48" t="n"/>
      <c r="AV531" s="48" t="n"/>
      <c r="AW531" s="48" t="n"/>
      <c r="AX531" s="48" t="n"/>
      <c r="AY531" s="48" t="n"/>
      <c r="AZ531" s="48" t="n"/>
      <c r="BA531" s="48" t="n"/>
      <c r="BB531" s="48" t="n"/>
      <c r="BC531" s="48" t="n"/>
      <c r="BD531" s="48" t="n"/>
      <c r="BE531" s="48" t="n"/>
      <c r="BF531" s="48" t="n"/>
      <c r="BG531" s="48" t="n"/>
      <c r="BH531" s="48" t="n"/>
      <c r="BI531" s="48" t="n"/>
      <c r="BJ531" s="48" t="n"/>
      <c r="BK531" s="48" t="n"/>
      <c r="BL531" s="48" t="n"/>
      <c r="BM531" s="48" t="n"/>
      <c r="BN531" s="48" t="n"/>
    </row>
    <row r="532">
      <c r="A532" s="47" t="n"/>
      <c r="B532" s="48" t="n"/>
      <c r="C532" s="48" t="n"/>
      <c r="D532" s="49" t="n"/>
      <c r="E532" s="48" t="n"/>
      <c r="F532" s="48" t="n"/>
      <c r="G532" s="50" t="n"/>
      <c r="H532" s="51" t="n"/>
      <c r="I532" s="51" t="n"/>
      <c r="J532" s="48" t="n"/>
      <c r="K532" s="52" t="n"/>
      <c r="L532" s="48" t="n"/>
      <c r="M532" s="48" t="n"/>
      <c r="N532" s="48" t="n"/>
      <c r="O532" s="48" t="n"/>
      <c r="P532" s="48" t="n"/>
      <c r="Q532" s="48" t="n"/>
      <c r="R532" s="48" t="n"/>
      <c r="S532" s="48" t="n"/>
      <c r="T532" s="48" t="n"/>
      <c r="U532" s="48" t="n"/>
      <c r="V532" s="48" t="n"/>
      <c r="W532" s="48" t="n"/>
      <c r="X532" s="48" t="n"/>
      <c r="Y532" s="48" t="n"/>
      <c r="Z532" s="48" t="n"/>
      <c r="AA532" s="48" t="n"/>
      <c r="AB532" s="48" t="n"/>
      <c r="AC532" s="48" t="n"/>
      <c r="AD532" s="48" t="n"/>
      <c r="AE532" s="48" t="n"/>
      <c r="AF532" s="48" t="n"/>
      <c r="AG532" s="48" t="n"/>
      <c r="AH532" s="48" t="n"/>
      <c r="AI532" s="48" t="n"/>
      <c r="AJ532" s="48" t="n"/>
      <c r="AK532" s="48" t="n"/>
      <c r="AL532" s="53" t="n"/>
      <c r="AM532" s="52" t="n"/>
      <c r="AN532" s="48" t="n"/>
      <c r="AO532" s="48" t="n"/>
      <c r="AP532" s="48" t="n"/>
      <c r="AQ532" s="48" t="n"/>
      <c r="AR532" s="48" t="n"/>
      <c r="AS532" s="48" t="n"/>
      <c r="AT532" s="48" t="n"/>
      <c r="AU532" s="48" t="n"/>
      <c r="AV532" s="48" t="n"/>
      <c r="AW532" s="48" t="n"/>
      <c r="AX532" s="48" t="n"/>
      <c r="AY532" s="48" t="n"/>
      <c r="AZ532" s="48" t="n"/>
      <c r="BA532" s="48" t="n"/>
      <c r="BB532" s="48" t="n"/>
      <c r="BC532" s="48" t="n"/>
      <c r="BD532" s="48" t="n"/>
      <c r="BE532" s="48" t="n"/>
      <c r="BF532" s="48" t="n"/>
      <c r="BG532" s="48" t="n"/>
      <c r="BH532" s="48" t="n"/>
      <c r="BI532" s="48" t="n"/>
      <c r="BJ532" s="48" t="n"/>
      <c r="BK532" s="48" t="n"/>
      <c r="BL532" s="48" t="n"/>
      <c r="BM532" s="48" t="n"/>
      <c r="BN532" s="48" t="n"/>
    </row>
    <row r="533">
      <c r="A533" s="47" t="n"/>
      <c r="B533" s="48" t="n"/>
      <c r="C533" s="48" t="n"/>
      <c r="D533" s="49" t="n"/>
      <c r="E533" s="48" t="n"/>
      <c r="F533" s="48" t="n"/>
      <c r="G533" s="50" t="n"/>
      <c r="H533" s="51" t="n"/>
      <c r="I533" s="51" t="n"/>
      <c r="J533" s="48" t="n"/>
      <c r="K533" s="52" t="n"/>
      <c r="L533" s="48" t="n"/>
      <c r="M533" s="48" t="n"/>
      <c r="N533" s="48" t="n"/>
      <c r="O533" s="48" t="n"/>
      <c r="P533" s="48" t="n"/>
      <c r="Q533" s="48" t="n"/>
      <c r="R533" s="48" t="n"/>
      <c r="S533" s="48" t="n"/>
      <c r="T533" s="48" t="n"/>
      <c r="U533" s="48" t="n"/>
      <c r="V533" s="48" t="n"/>
      <c r="W533" s="48" t="n"/>
      <c r="X533" s="48" t="n"/>
      <c r="Y533" s="48" t="n"/>
      <c r="Z533" s="48" t="n"/>
      <c r="AA533" s="48" t="n"/>
      <c r="AB533" s="48" t="n"/>
      <c r="AC533" s="48" t="n"/>
      <c r="AD533" s="48" t="n"/>
      <c r="AE533" s="48" t="n"/>
      <c r="AF533" s="48" t="n"/>
      <c r="AG533" s="48" t="n"/>
      <c r="AH533" s="48" t="n"/>
      <c r="AI533" s="48" t="n"/>
      <c r="AJ533" s="48" t="n"/>
      <c r="AK533" s="48" t="n"/>
      <c r="AL533" s="53" t="n"/>
      <c r="AM533" s="52" t="n"/>
      <c r="AN533" s="48" t="n"/>
      <c r="AO533" s="48" t="n"/>
      <c r="AP533" s="48" t="n"/>
      <c r="AQ533" s="48" t="n"/>
      <c r="AR533" s="48" t="n"/>
      <c r="AS533" s="48" t="n"/>
      <c r="AT533" s="48" t="n"/>
      <c r="AU533" s="48" t="n"/>
      <c r="AV533" s="48" t="n"/>
      <c r="AW533" s="48" t="n"/>
      <c r="AX533" s="48" t="n"/>
      <c r="AY533" s="48" t="n"/>
      <c r="AZ533" s="48" t="n"/>
      <c r="BA533" s="48" t="n"/>
      <c r="BB533" s="48" t="n"/>
      <c r="BC533" s="48" t="n"/>
      <c r="BD533" s="48" t="n"/>
      <c r="BE533" s="48" t="n"/>
      <c r="BF533" s="48" t="n"/>
      <c r="BG533" s="48" t="n"/>
      <c r="BH533" s="48" t="n"/>
      <c r="BI533" s="48" t="n"/>
      <c r="BJ533" s="48" t="n"/>
      <c r="BK533" s="48" t="n"/>
      <c r="BL533" s="48" t="n"/>
      <c r="BM533" s="48" t="n"/>
      <c r="BN533" s="48" t="n"/>
    </row>
    <row r="534">
      <c r="A534" s="47" t="n"/>
      <c r="B534" s="48" t="n"/>
      <c r="C534" s="48" t="n"/>
      <c r="D534" s="49" t="n"/>
      <c r="E534" s="48" t="n"/>
      <c r="F534" s="48" t="n"/>
      <c r="G534" s="50" t="n"/>
      <c r="H534" s="51" t="n"/>
      <c r="I534" s="51" t="n"/>
      <c r="J534" s="48" t="n"/>
      <c r="K534" s="52" t="n"/>
      <c r="L534" s="48" t="n"/>
      <c r="M534" s="48" t="n"/>
      <c r="N534" s="48" t="n"/>
      <c r="O534" s="48" t="n"/>
      <c r="P534" s="48" t="n"/>
      <c r="Q534" s="48" t="n"/>
      <c r="R534" s="48" t="n"/>
      <c r="S534" s="48" t="n"/>
      <c r="T534" s="48" t="n"/>
      <c r="U534" s="48" t="n"/>
      <c r="V534" s="48" t="n"/>
      <c r="W534" s="48" t="n"/>
      <c r="X534" s="48" t="n"/>
      <c r="Y534" s="48" t="n"/>
      <c r="Z534" s="48" t="n"/>
      <c r="AA534" s="48" t="n"/>
      <c r="AB534" s="48" t="n"/>
      <c r="AC534" s="48" t="n"/>
      <c r="AD534" s="48" t="n"/>
      <c r="AE534" s="48" t="n"/>
      <c r="AF534" s="48" t="n"/>
      <c r="AG534" s="48" t="n"/>
      <c r="AH534" s="48" t="n"/>
      <c r="AI534" s="48" t="n"/>
      <c r="AJ534" s="48" t="n"/>
      <c r="AK534" s="48" t="n"/>
      <c r="AL534" s="53" t="n"/>
      <c r="AM534" s="52" t="n"/>
      <c r="AN534" s="48" t="n"/>
      <c r="AO534" s="48" t="n"/>
      <c r="AP534" s="48" t="n"/>
      <c r="AQ534" s="48" t="n"/>
      <c r="AR534" s="48" t="n"/>
      <c r="AS534" s="48" t="n"/>
      <c r="AT534" s="48" t="n"/>
      <c r="AU534" s="48" t="n"/>
      <c r="AV534" s="48" t="n"/>
      <c r="AW534" s="48" t="n"/>
      <c r="AX534" s="48" t="n"/>
      <c r="AY534" s="48" t="n"/>
      <c r="AZ534" s="48" t="n"/>
      <c r="BA534" s="48" t="n"/>
      <c r="BB534" s="48" t="n"/>
      <c r="BC534" s="48" t="n"/>
      <c r="BD534" s="48" t="n"/>
      <c r="BE534" s="48" t="n"/>
      <c r="BF534" s="48" t="n"/>
      <c r="BG534" s="48" t="n"/>
      <c r="BH534" s="48" t="n"/>
      <c r="BI534" s="48" t="n"/>
      <c r="BJ534" s="48" t="n"/>
      <c r="BK534" s="48" t="n"/>
      <c r="BL534" s="48" t="n"/>
      <c r="BM534" s="48" t="n"/>
      <c r="BN534" s="48" t="n"/>
    </row>
    <row r="535">
      <c r="A535" s="47" t="n"/>
      <c r="B535" s="48" t="n"/>
      <c r="C535" s="48" t="n"/>
      <c r="D535" s="49" t="n"/>
      <c r="E535" s="48" t="n"/>
      <c r="F535" s="48" t="n"/>
      <c r="G535" s="50" t="n"/>
      <c r="H535" s="51" t="n"/>
      <c r="I535" s="51" t="n"/>
      <c r="J535" s="48" t="n"/>
      <c r="K535" s="52" t="n"/>
      <c r="L535" s="48" t="n"/>
      <c r="M535" s="48" t="n"/>
      <c r="N535" s="48" t="n"/>
      <c r="O535" s="48" t="n"/>
      <c r="P535" s="48" t="n"/>
      <c r="Q535" s="48" t="n"/>
      <c r="R535" s="48" t="n"/>
      <c r="S535" s="48" t="n"/>
      <c r="T535" s="48" t="n"/>
      <c r="U535" s="48" t="n"/>
      <c r="V535" s="48" t="n"/>
      <c r="W535" s="48" t="n"/>
      <c r="X535" s="48" t="n"/>
      <c r="Y535" s="48" t="n"/>
      <c r="Z535" s="48" t="n"/>
      <c r="AA535" s="48" t="n"/>
      <c r="AB535" s="48" t="n"/>
      <c r="AC535" s="48" t="n"/>
      <c r="AD535" s="48" t="n"/>
      <c r="AE535" s="48" t="n"/>
      <c r="AF535" s="48" t="n"/>
      <c r="AG535" s="48" t="n"/>
      <c r="AH535" s="48" t="n"/>
      <c r="AI535" s="48" t="n"/>
      <c r="AJ535" s="48" t="n"/>
      <c r="AK535" s="48" t="n"/>
      <c r="AL535" s="53" t="n"/>
      <c r="AM535" s="52" t="n"/>
      <c r="AN535" s="48" t="n"/>
      <c r="AO535" s="48" t="n"/>
      <c r="AP535" s="48" t="n"/>
      <c r="AQ535" s="48" t="n"/>
      <c r="AR535" s="48" t="n"/>
      <c r="AS535" s="48" t="n"/>
      <c r="AT535" s="48" t="n"/>
      <c r="AU535" s="48" t="n"/>
      <c r="AV535" s="48" t="n"/>
      <c r="AW535" s="48" t="n"/>
      <c r="AX535" s="48" t="n"/>
      <c r="AY535" s="48" t="n"/>
      <c r="AZ535" s="48" t="n"/>
      <c r="BA535" s="48" t="n"/>
      <c r="BB535" s="48" t="n"/>
      <c r="BC535" s="48" t="n"/>
      <c r="BD535" s="48" t="n"/>
      <c r="BE535" s="48" t="n"/>
      <c r="BF535" s="48" t="n"/>
      <c r="BG535" s="48" t="n"/>
      <c r="BH535" s="48" t="n"/>
      <c r="BI535" s="48" t="n"/>
      <c r="BJ535" s="48" t="n"/>
      <c r="BK535" s="48" t="n"/>
      <c r="BL535" s="48" t="n"/>
      <c r="BM535" s="48" t="n"/>
      <c r="BN535" s="48" t="n"/>
    </row>
    <row r="536">
      <c r="A536" s="47" t="n"/>
      <c r="B536" s="48" t="n"/>
      <c r="C536" s="48" t="n"/>
      <c r="D536" s="49" t="n"/>
      <c r="E536" s="48" t="n"/>
      <c r="F536" s="48" t="n"/>
      <c r="G536" s="50" t="n"/>
      <c r="H536" s="51" t="n"/>
      <c r="I536" s="51" t="n"/>
      <c r="J536" s="48" t="n"/>
      <c r="K536" s="52" t="n"/>
      <c r="L536" s="48" t="n"/>
      <c r="M536" s="48" t="n"/>
      <c r="N536" s="48" t="n"/>
      <c r="O536" s="48" t="n"/>
      <c r="P536" s="48" t="n"/>
      <c r="Q536" s="48" t="n"/>
      <c r="R536" s="48" t="n"/>
      <c r="S536" s="48" t="n"/>
      <c r="T536" s="48" t="n"/>
      <c r="U536" s="48" t="n"/>
      <c r="V536" s="48" t="n"/>
      <c r="W536" s="48" t="n"/>
      <c r="X536" s="48" t="n"/>
      <c r="Y536" s="48" t="n"/>
      <c r="Z536" s="48" t="n"/>
      <c r="AA536" s="48" t="n"/>
      <c r="AB536" s="48" t="n"/>
      <c r="AC536" s="48" t="n"/>
      <c r="AD536" s="48" t="n"/>
      <c r="AE536" s="48" t="n"/>
      <c r="AF536" s="48" t="n"/>
      <c r="AG536" s="48" t="n"/>
      <c r="AH536" s="48" t="n"/>
      <c r="AI536" s="48" t="n"/>
      <c r="AJ536" s="48" t="n"/>
      <c r="AK536" s="48" t="n"/>
      <c r="AL536" s="53" t="n"/>
      <c r="AM536" s="52" t="n"/>
      <c r="AN536" s="48" t="n"/>
      <c r="AO536" s="48" t="n"/>
      <c r="AP536" s="48" t="n"/>
      <c r="AQ536" s="48" t="n"/>
      <c r="AR536" s="48" t="n"/>
      <c r="AS536" s="48" t="n"/>
      <c r="AT536" s="48" t="n"/>
      <c r="AU536" s="48" t="n"/>
      <c r="AV536" s="48" t="n"/>
      <c r="AW536" s="48" t="n"/>
      <c r="AX536" s="48" t="n"/>
      <c r="AY536" s="48" t="n"/>
      <c r="AZ536" s="48" t="n"/>
      <c r="BA536" s="48" t="n"/>
      <c r="BB536" s="48" t="n"/>
      <c r="BC536" s="48" t="n"/>
      <c r="BD536" s="48" t="n"/>
      <c r="BE536" s="48" t="n"/>
      <c r="BF536" s="48" t="n"/>
      <c r="BG536" s="48" t="n"/>
      <c r="BH536" s="48" t="n"/>
      <c r="BI536" s="48" t="n"/>
      <c r="BJ536" s="48" t="n"/>
      <c r="BK536" s="48" t="n"/>
      <c r="BL536" s="48" t="n"/>
      <c r="BM536" s="48" t="n"/>
      <c r="BN536" s="48" t="n"/>
    </row>
    <row r="537">
      <c r="A537" s="47" t="n"/>
      <c r="B537" s="48" t="n"/>
      <c r="C537" s="48" t="n"/>
      <c r="D537" s="49" t="n"/>
      <c r="E537" s="48" t="n"/>
      <c r="F537" s="48" t="n"/>
      <c r="G537" s="50" t="n"/>
      <c r="H537" s="51" t="n"/>
      <c r="I537" s="51" t="n"/>
      <c r="J537" s="48" t="n"/>
      <c r="K537" s="52" t="n"/>
      <c r="L537" s="48" t="n"/>
      <c r="M537" s="48" t="n"/>
      <c r="N537" s="48" t="n"/>
      <c r="O537" s="48" t="n"/>
      <c r="P537" s="48" t="n"/>
      <c r="Q537" s="48" t="n"/>
      <c r="R537" s="48" t="n"/>
      <c r="S537" s="48" t="n"/>
      <c r="T537" s="48" t="n"/>
      <c r="U537" s="48" t="n"/>
      <c r="V537" s="48" t="n"/>
      <c r="W537" s="48" t="n"/>
      <c r="X537" s="48" t="n"/>
      <c r="Y537" s="48" t="n"/>
      <c r="Z537" s="48" t="n"/>
      <c r="AA537" s="48" t="n"/>
      <c r="AB537" s="48" t="n"/>
      <c r="AC537" s="48" t="n"/>
      <c r="AD537" s="48" t="n"/>
      <c r="AE537" s="48" t="n"/>
      <c r="AF537" s="48" t="n"/>
      <c r="AG537" s="48" t="n"/>
      <c r="AH537" s="48" t="n"/>
      <c r="AI537" s="48" t="n"/>
      <c r="AJ537" s="48" t="n"/>
      <c r="AK537" s="48" t="n"/>
      <c r="AL537" s="53" t="n"/>
      <c r="AM537" s="52" t="n"/>
      <c r="AN537" s="48" t="n"/>
      <c r="AO537" s="48" t="n"/>
      <c r="AP537" s="48" t="n"/>
      <c r="AQ537" s="48" t="n"/>
      <c r="AR537" s="48" t="n"/>
      <c r="AS537" s="48" t="n"/>
      <c r="AT537" s="48" t="n"/>
      <c r="AU537" s="48" t="n"/>
      <c r="AV537" s="48" t="n"/>
      <c r="AW537" s="48" t="n"/>
      <c r="AX537" s="48" t="n"/>
      <c r="AY537" s="48" t="n"/>
      <c r="AZ537" s="48" t="n"/>
      <c r="BA537" s="48" t="n"/>
      <c r="BB537" s="48" t="n"/>
      <c r="BC537" s="48" t="n"/>
      <c r="BD537" s="48" t="n"/>
      <c r="BE537" s="48" t="n"/>
      <c r="BF537" s="48" t="n"/>
      <c r="BG537" s="48" t="n"/>
      <c r="BH537" s="48" t="n"/>
      <c r="BI537" s="48" t="n"/>
      <c r="BJ537" s="48" t="n"/>
      <c r="BK537" s="48" t="n"/>
      <c r="BL537" s="48" t="n"/>
      <c r="BM537" s="48" t="n"/>
      <c r="BN537" s="48" t="n"/>
    </row>
    <row r="538">
      <c r="A538" s="47" t="n"/>
      <c r="B538" s="48" t="n"/>
      <c r="C538" s="48" t="n"/>
      <c r="D538" s="49" t="n"/>
      <c r="E538" s="48" t="n"/>
      <c r="F538" s="48" t="n"/>
      <c r="G538" s="50" t="n"/>
      <c r="H538" s="51" t="n"/>
      <c r="I538" s="51" t="n"/>
      <c r="J538" s="48" t="n"/>
      <c r="K538" s="52" t="n"/>
      <c r="L538" s="48" t="n"/>
      <c r="M538" s="48" t="n"/>
      <c r="N538" s="48" t="n"/>
      <c r="O538" s="48" t="n"/>
      <c r="P538" s="48" t="n"/>
      <c r="Q538" s="48" t="n"/>
      <c r="R538" s="48" t="n"/>
      <c r="S538" s="48" t="n"/>
      <c r="T538" s="48" t="n"/>
      <c r="U538" s="48" t="n"/>
      <c r="V538" s="48" t="n"/>
      <c r="W538" s="48" t="n"/>
      <c r="X538" s="48" t="n"/>
      <c r="Y538" s="48" t="n"/>
      <c r="Z538" s="48" t="n"/>
      <c r="AA538" s="48" t="n"/>
      <c r="AB538" s="48" t="n"/>
      <c r="AC538" s="48" t="n"/>
      <c r="AD538" s="48" t="n"/>
      <c r="AE538" s="48" t="n"/>
      <c r="AF538" s="48" t="n"/>
      <c r="AG538" s="48" t="n"/>
      <c r="AH538" s="48" t="n"/>
      <c r="AI538" s="48" t="n"/>
      <c r="AJ538" s="48" t="n"/>
      <c r="AK538" s="48" t="n"/>
      <c r="AL538" s="53" t="n"/>
      <c r="AM538" s="52" t="n"/>
      <c r="AN538" s="48" t="n"/>
      <c r="AO538" s="48" t="n"/>
      <c r="AP538" s="48" t="n"/>
      <c r="AQ538" s="48" t="n"/>
      <c r="AR538" s="48" t="n"/>
      <c r="AS538" s="48" t="n"/>
      <c r="AT538" s="48" t="n"/>
      <c r="AU538" s="48" t="n"/>
      <c r="AV538" s="48" t="n"/>
      <c r="AW538" s="48" t="n"/>
      <c r="AX538" s="48" t="n"/>
      <c r="AY538" s="48" t="n"/>
      <c r="AZ538" s="48" t="n"/>
      <c r="BA538" s="48" t="n"/>
      <c r="BB538" s="48" t="n"/>
      <c r="BC538" s="48" t="n"/>
      <c r="BD538" s="48" t="n"/>
      <c r="BE538" s="48" t="n"/>
      <c r="BF538" s="48" t="n"/>
      <c r="BG538" s="48" t="n"/>
      <c r="BH538" s="48" t="n"/>
      <c r="BI538" s="48" t="n"/>
      <c r="BJ538" s="48" t="n"/>
      <c r="BK538" s="48" t="n"/>
      <c r="BL538" s="48" t="n"/>
      <c r="BM538" s="48" t="n"/>
      <c r="BN538" s="48" t="n"/>
    </row>
    <row r="539">
      <c r="A539" s="47" t="n"/>
      <c r="B539" s="48" t="n"/>
      <c r="C539" s="48" t="n"/>
      <c r="D539" s="49" t="n"/>
      <c r="E539" s="48" t="n"/>
      <c r="F539" s="48" t="n"/>
      <c r="G539" s="50" t="n"/>
      <c r="H539" s="51" t="n"/>
      <c r="I539" s="51" t="n"/>
      <c r="J539" s="48" t="n"/>
      <c r="K539" s="52" t="n"/>
      <c r="L539" s="48" t="n"/>
      <c r="M539" s="48" t="n"/>
      <c r="N539" s="48" t="n"/>
      <c r="O539" s="48" t="n"/>
      <c r="P539" s="48" t="n"/>
      <c r="Q539" s="48" t="n"/>
      <c r="R539" s="48" t="n"/>
      <c r="S539" s="48" t="n"/>
      <c r="T539" s="48" t="n"/>
      <c r="U539" s="48" t="n"/>
      <c r="V539" s="48" t="n"/>
      <c r="W539" s="48" t="n"/>
      <c r="X539" s="48" t="n"/>
      <c r="Y539" s="48" t="n"/>
      <c r="Z539" s="48" t="n"/>
      <c r="AA539" s="48" t="n"/>
      <c r="AB539" s="48" t="n"/>
      <c r="AC539" s="48" t="n"/>
      <c r="AD539" s="48" t="n"/>
      <c r="AE539" s="48" t="n"/>
      <c r="AF539" s="48" t="n"/>
      <c r="AG539" s="48" t="n"/>
      <c r="AH539" s="48" t="n"/>
      <c r="AI539" s="48" t="n"/>
      <c r="AJ539" s="48" t="n"/>
      <c r="AK539" s="48" t="n"/>
      <c r="AL539" s="53" t="n"/>
      <c r="AM539" s="52" t="n"/>
      <c r="AN539" s="48" t="n"/>
      <c r="AO539" s="48" t="n"/>
      <c r="AP539" s="48" t="n"/>
      <c r="AQ539" s="48" t="n"/>
      <c r="AR539" s="48" t="n"/>
      <c r="AS539" s="48" t="n"/>
      <c r="AT539" s="48" t="n"/>
      <c r="AU539" s="48" t="n"/>
      <c r="AV539" s="48" t="n"/>
      <c r="AW539" s="48" t="n"/>
      <c r="AX539" s="48" t="n"/>
      <c r="AY539" s="48" t="n"/>
      <c r="AZ539" s="48" t="n"/>
      <c r="BA539" s="48" t="n"/>
      <c r="BB539" s="48" t="n"/>
      <c r="BC539" s="48" t="n"/>
      <c r="BD539" s="48" t="n"/>
      <c r="BE539" s="48" t="n"/>
      <c r="BF539" s="48" t="n"/>
      <c r="BG539" s="48" t="n"/>
      <c r="BH539" s="48" t="n"/>
      <c r="BI539" s="48" t="n"/>
      <c r="BJ539" s="48" t="n"/>
      <c r="BK539" s="48" t="n"/>
      <c r="BL539" s="48" t="n"/>
      <c r="BM539" s="48" t="n"/>
      <c r="BN539" s="48" t="n"/>
    </row>
    <row r="540">
      <c r="A540" s="47" t="n"/>
      <c r="B540" s="48" t="n"/>
      <c r="C540" s="48" t="n"/>
      <c r="D540" s="49" t="n"/>
      <c r="E540" s="48" t="n"/>
      <c r="F540" s="48" t="n"/>
      <c r="G540" s="50" t="n"/>
      <c r="H540" s="51" t="n"/>
      <c r="I540" s="51" t="n"/>
      <c r="J540" s="48" t="n"/>
      <c r="K540" s="52" t="n"/>
      <c r="L540" s="48" t="n"/>
      <c r="M540" s="48" t="n"/>
      <c r="N540" s="48" t="n"/>
      <c r="O540" s="48" t="n"/>
      <c r="P540" s="48" t="n"/>
      <c r="Q540" s="48" t="n"/>
      <c r="R540" s="48" t="n"/>
      <c r="S540" s="48" t="n"/>
      <c r="T540" s="48" t="n"/>
      <c r="U540" s="48" t="n"/>
      <c r="V540" s="48" t="n"/>
      <c r="W540" s="48" t="n"/>
      <c r="X540" s="48" t="n"/>
      <c r="Y540" s="48" t="n"/>
      <c r="Z540" s="48" t="n"/>
      <c r="AA540" s="48" t="n"/>
      <c r="AB540" s="48" t="n"/>
      <c r="AC540" s="48" t="n"/>
      <c r="AD540" s="48" t="n"/>
      <c r="AE540" s="48" t="n"/>
      <c r="AF540" s="48" t="n"/>
      <c r="AG540" s="48" t="n"/>
      <c r="AH540" s="48" t="n"/>
      <c r="AI540" s="48" t="n"/>
      <c r="AJ540" s="48" t="n"/>
      <c r="AK540" s="48" t="n"/>
      <c r="AL540" s="53" t="n"/>
      <c r="AM540" s="52" t="n"/>
      <c r="AN540" s="48" t="n"/>
      <c r="AO540" s="48" t="n"/>
      <c r="AP540" s="48" t="n"/>
      <c r="AQ540" s="48" t="n"/>
      <c r="AR540" s="48" t="n"/>
      <c r="AS540" s="48" t="n"/>
      <c r="AT540" s="48" t="n"/>
      <c r="AU540" s="48" t="n"/>
      <c r="AV540" s="48" t="n"/>
      <c r="AW540" s="48" t="n"/>
      <c r="AX540" s="48" t="n"/>
      <c r="AY540" s="48" t="n"/>
      <c r="AZ540" s="48" t="n"/>
      <c r="BA540" s="48" t="n"/>
      <c r="BB540" s="48" t="n"/>
      <c r="BC540" s="48" t="n"/>
      <c r="BD540" s="48" t="n"/>
      <c r="BE540" s="48" t="n"/>
      <c r="BF540" s="48" t="n"/>
      <c r="BG540" s="48" t="n"/>
      <c r="BH540" s="48" t="n"/>
      <c r="BI540" s="48" t="n"/>
      <c r="BJ540" s="48" t="n"/>
      <c r="BK540" s="48" t="n"/>
      <c r="BL540" s="48" t="n"/>
      <c r="BM540" s="48" t="n"/>
      <c r="BN540" s="48" t="n"/>
    </row>
    <row r="541">
      <c r="A541" s="47" t="n"/>
      <c r="B541" s="48" t="n"/>
      <c r="C541" s="48" t="n"/>
      <c r="D541" s="49" t="n"/>
      <c r="E541" s="48" t="n"/>
      <c r="F541" s="48" t="n"/>
      <c r="G541" s="50" t="n"/>
      <c r="H541" s="51" t="n"/>
      <c r="I541" s="51" t="n"/>
      <c r="J541" s="48" t="n"/>
      <c r="K541" s="52" t="n"/>
      <c r="L541" s="48" t="n"/>
      <c r="M541" s="48" t="n"/>
      <c r="N541" s="48" t="n"/>
      <c r="O541" s="48" t="n"/>
      <c r="P541" s="48" t="n"/>
      <c r="Q541" s="48" t="n"/>
      <c r="R541" s="48" t="n"/>
      <c r="S541" s="48" t="n"/>
      <c r="T541" s="48" t="n"/>
      <c r="U541" s="48" t="n"/>
      <c r="V541" s="48" t="n"/>
      <c r="W541" s="48" t="n"/>
      <c r="X541" s="48" t="n"/>
      <c r="Y541" s="48" t="n"/>
      <c r="Z541" s="48" t="n"/>
      <c r="AA541" s="48" t="n"/>
      <c r="AB541" s="48" t="n"/>
      <c r="AC541" s="48" t="n"/>
      <c r="AD541" s="48" t="n"/>
      <c r="AE541" s="48" t="n"/>
      <c r="AF541" s="48" t="n"/>
      <c r="AG541" s="48" t="n"/>
      <c r="AH541" s="48" t="n"/>
      <c r="AI541" s="48" t="n"/>
      <c r="AJ541" s="48" t="n"/>
      <c r="AK541" s="48" t="n"/>
      <c r="AL541" s="53" t="n"/>
      <c r="AM541" s="52" t="n"/>
      <c r="AN541" s="48" t="n"/>
      <c r="AO541" s="48" t="n"/>
      <c r="AP541" s="48" t="n"/>
      <c r="AQ541" s="48" t="n"/>
      <c r="AR541" s="48" t="n"/>
      <c r="AS541" s="48" t="n"/>
      <c r="AT541" s="48" t="n"/>
      <c r="AU541" s="48" t="n"/>
      <c r="AV541" s="48" t="n"/>
      <c r="AW541" s="48" t="n"/>
      <c r="AX541" s="48" t="n"/>
      <c r="AY541" s="48" t="n"/>
      <c r="AZ541" s="48" t="n"/>
      <c r="BA541" s="48" t="n"/>
      <c r="BB541" s="48" t="n"/>
      <c r="BC541" s="48" t="n"/>
      <c r="BD541" s="48" t="n"/>
      <c r="BE541" s="48" t="n"/>
      <c r="BF541" s="48" t="n"/>
      <c r="BG541" s="48" t="n"/>
      <c r="BH541" s="48" t="n"/>
      <c r="BI541" s="48" t="n"/>
      <c r="BJ541" s="48" t="n"/>
      <c r="BK541" s="48" t="n"/>
      <c r="BL541" s="48" t="n"/>
      <c r="BM541" s="48" t="n"/>
      <c r="BN541" s="48" t="n"/>
    </row>
    <row r="542">
      <c r="A542" s="47" t="n"/>
      <c r="B542" s="48" t="n"/>
      <c r="C542" s="48" t="n"/>
      <c r="D542" s="49" t="n"/>
      <c r="E542" s="48" t="n"/>
      <c r="F542" s="48" t="n"/>
      <c r="G542" s="50" t="n"/>
      <c r="H542" s="51" t="n"/>
      <c r="I542" s="51" t="n"/>
      <c r="J542" s="48" t="n"/>
      <c r="K542" s="52" t="n"/>
      <c r="L542" s="48" t="n"/>
      <c r="M542" s="48" t="n"/>
      <c r="N542" s="48" t="n"/>
      <c r="O542" s="48" t="n"/>
      <c r="P542" s="48" t="n"/>
      <c r="Q542" s="48" t="n"/>
      <c r="R542" s="48" t="n"/>
      <c r="S542" s="48" t="n"/>
      <c r="T542" s="48" t="n"/>
      <c r="U542" s="48" t="n"/>
      <c r="V542" s="48" t="n"/>
      <c r="W542" s="48" t="n"/>
      <c r="X542" s="48" t="n"/>
      <c r="Y542" s="48" t="n"/>
      <c r="Z542" s="48" t="n"/>
      <c r="AA542" s="48" t="n"/>
      <c r="AB542" s="48" t="n"/>
      <c r="AC542" s="48" t="n"/>
      <c r="AD542" s="48" t="n"/>
      <c r="AE542" s="48" t="n"/>
      <c r="AF542" s="48" t="n"/>
      <c r="AG542" s="48" t="n"/>
      <c r="AH542" s="48" t="n"/>
      <c r="AI542" s="48" t="n"/>
      <c r="AJ542" s="48" t="n"/>
      <c r="AK542" s="48" t="n"/>
      <c r="AL542" s="53" t="n"/>
      <c r="AM542" s="52" t="n"/>
      <c r="AN542" s="48" t="n"/>
      <c r="AO542" s="48" t="n"/>
      <c r="AP542" s="48" t="n"/>
      <c r="AQ542" s="48" t="n"/>
      <c r="AR542" s="48" t="n"/>
      <c r="AS542" s="48" t="n"/>
      <c r="AT542" s="48" t="n"/>
      <c r="AU542" s="48" t="n"/>
      <c r="AV542" s="48" t="n"/>
      <c r="AW542" s="48" t="n"/>
      <c r="AX542" s="48" t="n"/>
      <c r="AY542" s="48" t="n"/>
      <c r="AZ542" s="48" t="n"/>
      <c r="BA542" s="48" t="n"/>
      <c r="BB542" s="48" t="n"/>
      <c r="BC542" s="48" t="n"/>
      <c r="BD542" s="48" t="n"/>
      <c r="BE542" s="48" t="n"/>
      <c r="BF542" s="48" t="n"/>
      <c r="BG542" s="48" t="n"/>
      <c r="BH542" s="48" t="n"/>
      <c r="BI542" s="48" t="n"/>
      <c r="BJ542" s="48" t="n"/>
      <c r="BK542" s="48" t="n"/>
      <c r="BL542" s="48" t="n"/>
      <c r="BM542" s="48" t="n"/>
      <c r="BN542" s="48" t="n"/>
    </row>
    <row r="543">
      <c r="A543" s="47" t="n"/>
      <c r="B543" s="48" t="n"/>
      <c r="C543" s="48" t="n"/>
      <c r="D543" s="49" t="n"/>
      <c r="E543" s="48" t="n"/>
      <c r="F543" s="48" t="n"/>
      <c r="G543" s="50" t="n"/>
      <c r="H543" s="51" t="n"/>
      <c r="I543" s="51" t="n"/>
      <c r="J543" s="48" t="n"/>
      <c r="K543" s="52" t="n"/>
      <c r="L543" s="48" t="n"/>
      <c r="M543" s="48" t="n"/>
      <c r="N543" s="48" t="n"/>
      <c r="O543" s="48" t="n"/>
      <c r="P543" s="48" t="n"/>
      <c r="Q543" s="48" t="n"/>
      <c r="R543" s="48" t="n"/>
      <c r="S543" s="48" t="n"/>
      <c r="T543" s="48" t="n"/>
      <c r="U543" s="48" t="n"/>
      <c r="V543" s="48" t="n"/>
      <c r="W543" s="48" t="n"/>
      <c r="X543" s="48" t="n"/>
      <c r="Y543" s="48" t="n"/>
      <c r="Z543" s="48" t="n"/>
      <c r="AA543" s="48" t="n"/>
      <c r="AB543" s="48" t="n"/>
      <c r="AC543" s="48" t="n"/>
      <c r="AD543" s="48" t="n"/>
      <c r="AE543" s="48" t="n"/>
      <c r="AF543" s="48" t="n"/>
      <c r="AG543" s="48" t="n"/>
      <c r="AH543" s="48" t="n"/>
      <c r="AI543" s="48" t="n"/>
      <c r="AJ543" s="48" t="n"/>
      <c r="AK543" s="48" t="n"/>
      <c r="AL543" s="53" t="n"/>
      <c r="AM543" s="52" t="n"/>
      <c r="AN543" s="48" t="n"/>
      <c r="AO543" s="48" t="n"/>
      <c r="AP543" s="48" t="n"/>
      <c r="AQ543" s="48" t="n"/>
      <c r="AR543" s="48" t="n"/>
      <c r="AS543" s="48" t="n"/>
      <c r="AT543" s="48" t="n"/>
      <c r="AU543" s="48" t="n"/>
      <c r="AV543" s="48" t="n"/>
      <c r="AW543" s="48" t="n"/>
      <c r="AX543" s="48" t="n"/>
      <c r="AY543" s="48" t="n"/>
      <c r="AZ543" s="48" t="n"/>
      <c r="BA543" s="48" t="n"/>
      <c r="BB543" s="48" t="n"/>
      <c r="BC543" s="48" t="n"/>
      <c r="BD543" s="48" t="n"/>
      <c r="BE543" s="48" t="n"/>
      <c r="BF543" s="48" t="n"/>
      <c r="BG543" s="48" t="n"/>
      <c r="BH543" s="48" t="n"/>
      <c r="BI543" s="48" t="n"/>
      <c r="BJ543" s="48" t="n"/>
      <c r="BK543" s="48" t="n"/>
      <c r="BL543" s="48" t="n"/>
      <c r="BM543" s="48" t="n"/>
      <c r="BN543" s="48" t="n"/>
    </row>
    <row r="544">
      <c r="A544" s="47" t="n"/>
      <c r="B544" s="48" t="n"/>
      <c r="C544" s="48" t="n"/>
      <c r="D544" s="49" t="n"/>
      <c r="E544" s="48" t="n"/>
      <c r="F544" s="48" t="n"/>
      <c r="G544" s="50" t="n"/>
      <c r="H544" s="51" t="n"/>
      <c r="I544" s="51" t="n"/>
      <c r="J544" s="48" t="n"/>
      <c r="K544" s="52" t="n"/>
      <c r="L544" s="48" t="n"/>
      <c r="M544" s="48" t="n"/>
      <c r="N544" s="48" t="n"/>
      <c r="O544" s="48" t="n"/>
      <c r="P544" s="48" t="n"/>
      <c r="Q544" s="48" t="n"/>
      <c r="R544" s="48" t="n"/>
      <c r="S544" s="48" t="n"/>
      <c r="T544" s="48" t="n"/>
      <c r="U544" s="48" t="n"/>
      <c r="V544" s="48" t="n"/>
      <c r="W544" s="48" t="n"/>
      <c r="X544" s="48" t="n"/>
      <c r="Y544" s="48" t="n"/>
      <c r="Z544" s="48" t="n"/>
      <c r="AA544" s="48" t="n"/>
      <c r="AB544" s="48" t="n"/>
      <c r="AC544" s="48" t="n"/>
      <c r="AD544" s="48" t="n"/>
      <c r="AE544" s="48" t="n"/>
      <c r="AF544" s="48" t="n"/>
      <c r="AG544" s="48" t="n"/>
      <c r="AH544" s="48" t="n"/>
      <c r="AI544" s="48" t="n"/>
      <c r="AJ544" s="48" t="n"/>
      <c r="AK544" s="48" t="n"/>
      <c r="AL544" s="53" t="n"/>
      <c r="AM544" s="52" t="n"/>
      <c r="AN544" s="48" t="n"/>
      <c r="AO544" s="48" t="n"/>
      <c r="AP544" s="48" t="n"/>
      <c r="AQ544" s="48" t="n"/>
      <c r="AR544" s="48" t="n"/>
      <c r="AS544" s="48" t="n"/>
      <c r="AT544" s="48" t="n"/>
      <c r="AU544" s="48" t="n"/>
      <c r="AV544" s="48" t="n"/>
      <c r="AW544" s="48" t="n"/>
      <c r="AX544" s="48" t="n"/>
      <c r="AY544" s="48" t="n"/>
      <c r="AZ544" s="48" t="n"/>
      <c r="BA544" s="48" t="n"/>
      <c r="BB544" s="48" t="n"/>
      <c r="BC544" s="48" t="n"/>
      <c r="BD544" s="48" t="n"/>
      <c r="BE544" s="48" t="n"/>
      <c r="BF544" s="48" t="n"/>
      <c r="BG544" s="48" t="n"/>
      <c r="BH544" s="48" t="n"/>
      <c r="BI544" s="48" t="n"/>
      <c r="BJ544" s="48" t="n"/>
      <c r="BK544" s="48" t="n"/>
      <c r="BL544" s="48" t="n"/>
      <c r="BM544" s="48" t="n"/>
      <c r="BN544" s="48" t="n"/>
    </row>
    <row r="545">
      <c r="A545" s="47" t="n"/>
      <c r="B545" s="48" t="n"/>
      <c r="C545" s="48" t="n"/>
      <c r="D545" s="49" t="n"/>
      <c r="E545" s="48" t="n"/>
      <c r="F545" s="48" t="n"/>
      <c r="G545" s="50" t="n"/>
      <c r="H545" s="51" t="n"/>
      <c r="I545" s="51" t="n"/>
      <c r="J545" s="48" t="n"/>
      <c r="K545" s="52" t="n"/>
      <c r="L545" s="48" t="n"/>
      <c r="M545" s="48" t="n"/>
      <c r="N545" s="48" t="n"/>
      <c r="O545" s="48" t="n"/>
      <c r="P545" s="48" t="n"/>
      <c r="Q545" s="48" t="n"/>
      <c r="R545" s="48" t="n"/>
      <c r="S545" s="48" t="n"/>
      <c r="T545" s="48" t="n"/>
      <c r="U545" s="48" t="n"/>
      <c r="V545" s="48" t="n"/>
      <c r="W545" s="48" t="n"/>
      <c r="X545" s="48" t="n"/>
      <c r="Y545" s="48" t="n"/>
      <c r="Z545" s="48" t="n"/>
      <c r="AA545" s="48" t="n"/>
      <c r="AB545" s="48" t="n"/>
      <c r="AC545" s="48" t="n"/>
      <c r="AD545" s="48" t="n"/>
      <c r="AE545" s="48" t="n"/>
      <c r="AF545" s="48" t="n"/>
      <c r="AG545" s="48" t="n"/>
      <c r="AH545" s="48" t="n"/>
      <c r="AI545" s="48" t="n"/>
      <c r="AJ545" s="48" t="n"/>
      <c r="AK545" s="48" t="n"/>
      <c r="AL545" s="53" t="n"/>
      <c r="AM545" s="52" t="n"/>
      <c r="AN545" s="48" t="n"/>
      <c r="AO545" s="48" t="n"/>
      <c r="AP545" s="48" t="n"/>
      <c r="AQ545" s="48" t="n"/>
      <c r="AR545" s="48" t="n"/>
      <c r="AS545" s="48" t="n"/>
      <c r="AT545" s="48" t="n"/>
      <c r="AU545" s="48" t="n"/>
      <c r="AV545" s="48" t="n"/>
      <c r="AW545" s="48" t="n"/>
      <c r="AX545" s="48" t="n"/>
      <c r="AY545" s="48" t="n"/>
      <c r="AZ545" s="48" t="n"/>
      <c r="BA545" s="48" t="n"/>
      <c r="BB545" s="48" t="n"/>
      <c r="BC545" s="48" t="n"/>
      <c r="BD545" s="48" t="n"/>
      <c r="BE545" s="48" t="n"/>
      <c r="BF545" s="48" t="n"/>
      <c r="BG545" s="48" t="n"/>
      <c r="BH545" s="48" t="n"/>
      <c r="BI545" s="48" t="n"/>
      <c r="BJ545" s="48" t="n"/>
      <c r="BK545" s="48" t="n"/>
      <c r="BL545" s="48" t="n"/>
      <c r="BM545" s="48" t="n"/>
      <c r="BN545" s="48" t="n"/>
    </row>
    <row r="546">
      <c r="A546" s="47" t="n"/>
      <c r="B546" s="48" t="n"/>
      <c r="C546" s="48" t="n"/>
      <c r="D546" s="49" t="n"/>
      <c r="E546" s="48" t="n"/>
      <c r="F546" s="48" t="n"/>
      <c r="G546" s="50" t="n"/>
      <c r="H546" s="51" t="n"/>
      <c r="I546" s="51" t="n"/>
      <c r="J546" s="48" t="n"/>
      <c r="K546" s="52" t="n"/>
      <c r="L546" s="48" t="n"/>
      <c r="M546" s="48" t="n"/>
      <c r="N546" s="48" t="n"/>
      <c r="O546" s="48" t="n"/>
      <c r="P546" s="48" t="n"/>
      <c r="Q546" s="48" t="n"/>
      <c r="R546" s="48" t="n"/>
      <c r="S546" s="48" t="n"/>
      <c r="T546" s="48" t="n"/>
      <c r="U546" s="48" t="n"/>
      <c r="V546" s="48" t="n"/>
      <c r="W546" s="48" t="n"/>
      <c r="X546" s="48" t="n"/>
      <c r="Y546" s="48" t="n"/>
      <c r="Z546" s="48" t="n"/>
      <c r="AA546" s="48" t="n"/>
      <c r="AB546" s="48" t="n"/>
      <c r="AC546" s="48" t="n"/>
      <c r="AD546" s="48" t="n"/>
      <c r="AE546" s="48" t="n"/>
      <c r="AF546" s="48" t="n"/>
      <c r="AG546" s="48" t="n"/>
      <c r="AH546" s="48" t="n"/>
      <c r="AI546" s="48" t="n"/>
      <c r="AJ546" s="48" t="n"/>
      <c r="AK546" s="48" t="n"/>
      <c r="AL546" s="53" t="n"/>
      <c r="AM546" s="52" t="n"/>
      <c r="AN546" s="48" t="n"/>
      <c r="AO546" s="48" t="n"/>
      <c r="AP546" s="48" t="n"/>
      <c r="AQ546" s="48" t="n"/>
      <c r="AR546" s="48" t="n"/>
      <c r="AS546" s="48" t="n"/>
      <c r="AT546" s="48" t="n"/>
      <c r="AU546" s="48" t="n"/>
      <c r="AV546" s="48" t="n"/>
      <c r="AW546" s="48" t="n"/>
      <c r="AX546" s="48" t="n"/>
      <c r="AY546" s="48" t="n"/>
      <c r="AZ546" s="48" t="n"/>
      <c r="BA546" s="48" t="n"/>
      <c r="BB546" s="48" t="n"/>
      <c r="BC546" s="48" t="n"/>
      <c r="BD546" s="48" t="n"/>
      <c r="BE546" s="48" t="n"/>
      <c r="BF546" s="48" t="n"/>
      <c r="BG546" s="48" t="n"/>
      <c r="BH546" s="48" t="n"/>
      <c r="BI546" s="48" t="n"/>
      <c r="BJ546" s="48" t="n"/>
      <c r="BK546" s="48" t="n"/>
      <c r="BL546" s="48" t="n"/>
      <c r="BM546" s="48" t="n"/>
      <c r="BN546" s="48" t="n"/>
    </row>
    <row r="547">
      <c r="A547" s="47" t="n"/>
      <c r="B547" s="48" t="n"/>
      <c r="C547" s="48" t="n"/>
      <c r="D547" s="49" t="n"/>
      <c r="E547" s="48" t="n"/>
      <c r="F547" s="48" t="n"/>
      <c r="G547" s="50" t="n"/>
      <c r="H547" s="51" t="n"/>
      <c r="I547" s="51" t="n"/>
      <c r="J547" s="48" t="n"/>
      <c r="K547" s="52" t="n"/>
      <c r="L547" s="48" t="n"/>
      <c r="M547" s="48" t="n"/>
      <c r="N547" s="48" t="n"/>
      <c r="O547" s="48" t="n"/>
      <c r="P547" s="48" t="n"/>
      <c r="Q547" s="48" t="n"/>
      <c r="R547" s="48" t="n"/>
      <c r="S547" s="48" t="n"/>
      <c r="T547" s="48" t="n"/>
      <c r="U547" s="48" t="n"/>
      <c r="V547" s="48" t="n"/>
      <c r="W547" s="48" t="n"/>
      <c r="X547" s="48" t="n"/>
      <c r="Y547" s="48" t="n"/>
      <c r="Z547" s="48" t="n"/>
      <c r="AA547" s="48" t="n"/>
      <c r="AB547" s="48" t="n"/>
      <c r="AC547" s="48" t="n"/>
      <c r="AD547" s="48" t="n"/>
      <c r="AE547" s="48" t="n"/>
      <c r="AF547" s="48" t="n"/>
      <c r="AG547" s="48" t="n"/>
      <c r="AH547" s="48" t="n"/>
      <c r="AI547" s="48" t="n"/>
      <c r="AJ547" s="48" t="n"/>
      <c r="AK547" s="48" t="n"/>
      <c r="AL547" s="53" t="n"/>
      <c r="AM547" s="52" t="n"/>
      <c r="AN547" s="48" t="n"/>
      <c r="AO547" s="48" t="n"/>
      <c r="AP547" s="48" t="n"/>
      <c r="AQ547" s="48" t="n"/>
      <c r="AR547" s="48" t="n"/>
      <c r="AS547" s="48" t="n"/>
      <c r="AT547" s="48" t="n"/>
      <c r="AU547" s="48" t="n"/>
      <c r="AV547" s="48" t="n"/>
      <c r="AW547" s="48" t="n"/>
      <c r="AX547" s="48" t="n"/>
      <c r="AY547" s="48" t="n"/>
      <c r="AZ547" s="48" t="n"/>
      <c r="BA547" s="48" t="n"/>
      <c r="BB547" s="48" t="n"/>
      <c r="BC547" s="48" t="n"/>
      <c r="BD547" s="48" t="n"/>
      <c r="BE547" s="48" t="n"/>
      <c r="BF547" s="48" t="n"/>
      <c r="BG547" s="48" t="n"/>
      <c r="BH547" s="48" t="n"/>
      <c r="BI547" s="48" t="n"/>
      <c r="BJ547" s="48" t="n"/>
      <c r="BK547" s="48" t="n"/>
      <c r="BL547" s="48" t="n"/>
      <c r="BM547" s="48" t="n"/>
      <c r="BN547" s="48" t="n"/>
    </row>
    <row r="548">
      <c r="A548" s="47" t="n"/>
      <c r="B548" s="48" t="n"/>
      <c r="C548" s="48" t="n"/>
      <c r="D548" s="49" t="n"/>
      <c r="E548" s="48" t="n"/>
      <c r="F548" s="48" t="n"/>
      <c r="G548" s="50" t="n"/>
      <c r="H548" s="51" t="n"/>
      <c r="I548" s="51" t="n"/>
      <c r="J548" s="48" t="n"/>
      <c r="K548" s="52" t="n"/>
      <c r="L548" s="48" t="n"/>
      <c r="M548" s="48" t="n"/>
      <c r="N548" s="48" t="n"/>
      <c r="O548" s="48" t="n"/>
      <c r="P548" s="48" t="n"/>
      <c r="Q548" s="48" t="n"/>
      <c r="R548" s="48" t="n"/>
      <c r="S548" s="48" t="n"/>
      <c r="T548" s="48" t="n"/>
      <c r="U548" s="48" t="n"/>
      <c r="V548" s="48" t="n"/>
      <c r="W548" s="48" t="n"/>
      <c r="X548" s="48" t="n"/>
      <c r="Y548" s="48" t="n"/>
      <c r="Z548" s="48" t="n"/>
      <c r="AA548" s="48" t="n"/>
      <c r="AB548" s="48" t="n"/>
      <c r="AC548" s="48" t="n"/>
      <c r="AD548" s="48" t="n"/>
      <c r="AE548" s="48" t="n"/>
      <c r="AF548" s="48" t="n"/>
      <c r="AG548" s="48" t="n"/>
      <c r="AH548" s="48" t="n"/>
      <c r="AI548" s="48" t="n"/>
      <c r="AJ548" s="48" t="n"/>
      <c r="AK548" s="48" t="n"/>
      <c r="AL548" s="53" t="n"/>
      <c r="AM548" s="52" t="n"/>
      <c r="AN548" s="48" t="n"/>
      <c r="AO548" s="48" t="n"/>
      <c r="AP548" s="48" t="n"/>
      <c r="AQ548" s="48" t="n"/>
      <c r="AR548" s="48" t="n"/>
      <c r="AS548" s="48" t="n"/>
      <c r="AT548" s="48" t="n"/>
      <c r="AU548" s="48" t="n"/>
      <c r="AV548" s="48" t="n"/>
      <c r="AW548" s="48" t="n"/>
      <c r="AX548" s="48" t="n"/>
      <c r="AY548" s="48" t="n"/>
      <c r="AZ548" s="48" t="n"/>
      <c r="BA548" s="48" t="n"/>
      <c r="BB548" s="48" t="n"/>
      <c r="BC548" s="48" t="n"/>
      <c r="BD548" s="48" t="n"/>
      <c r="BE548" s="48" t="n"/>
      <c r="BF548" s="48" t="n"/>
      <c r="BG548" s="48" t="n"/>
      <c r="BH548" s="48" t="n"/>
      <c r="BI548" s="48" t="n"/>
      <c r="BJ548" s="48" t="n"/>
      <c r="BK548" s="48" t="n"/>
      <c r="BL548" s="48" t="n"/>
      <c r="BM548" s="48" t="n"/>
      <c r="BN548" s="48" t="n"/>
    </row>
    <row r="549">
      <c r="A549" s="47" t="n"/>
      <c r="B549" s="48" t="n"/>
      <c r="C549" s="48" t="n"/>
      <c r="D549" s="49" t="n"/>
      <c r="E549" s="48" t="n"/>
      <c r="F549" s="48" t="n"/>
      <c r="G549" s="50" t="n"/>
      <c r="H549" s="51" t="n"/>
      <c r="I549" s="51" t="n"/>
      <c r="J549" s="48" t="n"/>
      <c r="K549" s="52" t="n"/>
      <c r="L549" s="48" t="n"/>
      <c r="M549" s="48" t="n"/>
      <c r="N549" s="48" t="n"/>
      <c r="O549" s="48" t="n"/>
      <c r="P549" s="48" t="n"/>
      <c r="Q549" s="48" t="n"/>
      <c r="R549" s="48" t="n"/>
      <c r="S549" s="48" t="n"/>
      <c r="T549" s="48" t="n"/>
      <c r="U549" s="48" t="n"/>
      <c r="V549" s="48" t="n"/>
      <c r="W549" s="48" t="n"/>
      <c r="X549" s="48" t="n"/>
      <c r="Y549" s="48" t="n"/>
      <c r="Z549" s="48" t="n"/>
      <c r="AA549" s="48" t="n"/>
      <c r="AB549" s="48" t="n"/>
      <c r="AC549" s="48" t="n"/>
      <c r="AD549" s="48" t="n"/>
      <c r="AE549" s="48" t="n"/>
      <c r="AF549" s="48" t="n"/>
      <c r="AG549" s="48" t="n"/>
      <c r="AH549" s="48" t="n"/>
      <c r="AI549" s="48" t="n"/>
      <c r="AJ549" s="48" t="n"/>
      <c r="AK549" s="48" t="n"/>
      <c r="AL549" s="53" t="n"/>
      <c r="AM549" s="52" t="n"/>
      <c r="AN549" s="48" t="n"/>
      <c r="AO549" s="48" t="n"/>
      <c r="AP549" s="48" t="n"/>
      <c r="AQ549" s="48" t="n"/>
      <c r="AR549" s="48" t="n"/>
      <c r="AS549" s="48" t="n"/>
      <c r="AT549" s="48" t="n"/>
      <c r="AU549" s="48" t="n"/>
      <c r="AV549" s="48" t="n"/>
      <c r="AW549" s="48" t="n"/>
      <c r="AX549" s="48" t="n"/>
      <c r="AY549" s="48" t="n"/>
      <c r="AZ549" s="48" t="n"/>
      <c r="BA549" s="48" t="n"/>
      <c r="BB549" s="48" t="n"/>
      <c r="BC549" s="48" t="n"/>
      <c r="BD549" s="48" t="n"/>
      <c r="BE549" s="48" t="n"/>
      <c r="BF549" s="48" t="n"/>
      <c r="BG549" s="48" t="n"/>
      <c r="BH549" s="48" t="n"/>
      <c r="BI549" s="48" t="n"/>
      <c r="BJ549" s="48" t="n"/>
      <c r="BK549" s="48" t="n"/>
      <c r="BL549" s="48" t="n"/>
      <c r="BM549" s="48" t="n"/>
      <c r="BN549" s="48" t="n"/>
    </row>
    <row r="550">
      <c r="A550" s="47" t="n"/>
      <c r="B550" s="48" t="n"/>
      <c r="C550" s="48" t="n"/>
      <c r="D550" s="49" t="n"/>
      <c r="E550" s="48" t="n"/>
      <c r="F550" s="48" t="n"/>
      <c r="G550" s="50" t="n"/>
      <c r="H550" s="51" t="n"/>
      <c r="I550" s="51" t="n"/>
      <c r="J550" s="48" t="n"/>
      <c r="K550" s="52" t="n"/>
      <c r="L550" s="48" t="n"/>
      <c r="M550" s="48" t="n"/>
      <c r="N550" s="48" t="n"/>
      <c r="O550" s="48" t="n"/>
      <c r="P550" s="48" t="n"/>
      <c r="Q550" s="48" t="n"/>
      <c r="R550" s="48" t="n"/>
      <c r="S550" s="48" t="n"/>
      <c r="T550" s="48" t="n"/>
      <c r="U550" s="48" t="n"/>
      <c r="V550" s="48" t="n"/>
      <c r="W550" s="48" t="n"/>
      <c r="X550" s="48" t="n"/>
      <c r="Y550" s="48" t="n"/>
      <c r="Z550" s="48" t="n"/>
      <c r="AA550" s="48" t="n"/>
      <c r="AB550" s="48" t="n"/>
      <c r="AC550" s="48" t="n"/>
      <c r="AD550" s="48" t="n"/>
      <c r="AE550" s="48" t="n"/>
      <c r="AF550" s="48" t="n"/>
      <c r="AG550" s="48" t="n"/>
      <c r="AH550" s="48" t="n"/>
      <c r="AI550" s="48" t="n"/>
      <c r="AJ550" s="48" t="n"/>
      <c r="AK550" s="48" t="n"/>
      <c r="AL550" s="53" t="n"/>
      <c r="AM550" s="52" t="n"/>
      <c r="AN550" s="48" t="n"/>
      <c r="AO550" s="48" t="n"/>
      <c r="AP550" s="48" t="n"/>
      <c r="AQ550" s="48" t="n"/>
      <c r="AR550" s="48" t="n"/>
      <c r="AS550" s="48" t="n"/>
      <c r="AT550" s="48" t="n"/>
      <c r="AU550" s="48" t="n"/>
      <c r="AV550" s="48" t="n"/>
      <c r="AW550" s="48" t="n"/>
      <c r="AX550" s="48" t="n"/>
      <c r="AY550" s="48" t="n"/>
      <c r="AZ550" s="48" t="n"/>
      <c r="BA550" s="48" t="n"/>
      <c r="BB550" s="48" t="n"/>
      <c r="BC550" s="48" t="n"/>
      <c r="BD550" s="48" t="n"/>
      <c r="BE550" s="48" t="n"/>
      <c r="BF550" s="48" t="n"/>
      <c r="BG550" s="48" t="n"/>
      <c r="BH550" s="48" t="n"/>
      <c r="BI550" s="48" t="n"/>
      <c r="BJ550" s="48" t="n"/>
      <c r="BK550" s="48" t="n"/>
      <c r="BL550" s="48" t="n"/>
      <c r="BM550" s="48" t="n"/>
      <c r="BN550" s="48" t="n"/>
    </row>
    <row r="551">
      <c r="A551" s="47" t="n"/>
      <c r="B551" s="48" t="n"/>
      <c r="C551" s="48" t="n"/>
      <c r="D551" s="49" t="n"/>
      <c r="E551" s="48" t="n"/>
      <c r="F551" s="48" t="n"/>
      <c r="G551" s="50" t="n"/>
      <c r="H551" s="51" t="n"/>
      <c r="I551" s="51" t="n"/>
      <c r="J551" s="48" t="n"/>
      <c r="K551" s="52" t="n"/>
      <c r="L551" s="48" t="n"/>
      <c r="M551" s="48" t="n"/>
      <c r="N551" s="48" t="n"/>
      <c r="O551" s="48" t="n"/>
      <c r="P551" s="48" t="n"/>
      <c r="Q551" s="48" t="n"/>
      <c r="R551" s="48" t="n"/>
      <c r="S551" s="48" t="n"/>
      <c r="T551" s="48" t="n"/>
      <c r="U551" s="48" t="n"/>
      <c r="V551" s="48" t="n"/>
      <c r="W551" s="48" t="n"/>
      <c r="X551" s="48" t="n"/>
      <c r="Y551" s="48" t="n"/>
      <c r="Z551" s="48" t="n"/>
      <c r="AA551" s="48" t="n"/>
      <c r="AB551" s="48" t="n"/>
      <c r="AC551" s="48" t="n"/>
      <c r="AD551" s="48" t="n"/>
      <c r="AE551" s="48" t="n"/>
      <c r="AF551" s="48" t="n"/>
      <c r="AG551" s="48" t="n"/>
      <c r="AH551" s="48" t="n"/>
      <c r="AI551" s="48" t="n"/>
      <c r="AJ551" s="48" t="n"/>
      <c r="AK551" s="48" t="n"/>
      <c r="AL551" s="53" t="n"/>
      <c r="AM551" s="52" t="n"/>
      <c r="AN551" s="48" t="n"/>
      <c r="AO551" s="48" t="n"/>
      <c r="AP551" s="48" t="n"/>
      <c r="AQ551" s="48" t="n"/>
      <c r="AR551" s="48" t="n"/>
      <c r="AS551" s="48" t="n"/>
      <c r="AT551" s="48" t="n"/>
      <c r="AU551" s="48" t="n"/>
      <c r="AV551" s="48" t="n"/>
      <c r="AW551" s="48" t="n"/>
      <c r="AX551" s="48" t="n"/>
      <c r="AY551" s="48" t="n"/>
      <c r="AZ551" s="48" t="n"/>
      <c r="BA551" s="48" t="n"/>
      <c r="BB551" s="48" t="n"/>
      <c r="BC551" s="48" t="n"/>
      <c r="BD551" s="48" t="n"/>
      <c r="BE551" s="48" t="n"/>
      <c r="BF551" s="48" t="n"/>
      <c r="BG551" s="48" t="n"/>
      <c r="BH551" s="48" t="n"/>
      <c r="BI551" s="48" t="n"/>
      <c r="BJ551" s="48" t="n"/>
      <c r="BK551" s="48" t="n"/>
      <c r="BL551" s="48" t="n"/>
      <c r="BM551" s="48" t="n"/>
      <c r="BN551" s="48" t="n"/>
    </row>
    <row r="552">
      <c r="A552" s="47" t="n"/>
      <c r="B552" s="48" t="n"/>
      <c r="C552" s="48" t="n"/>
      <c r="D552" s="49" t="n"/>
      <c r="E552" s="48" t="n"/>
      <c r="F552" s="48" t="n"/>
      <c r="G552" s="50" t="n"/>
      <c r="H552" s="51" t="n"/>
      <c r="I552" s="51" t="n"/>
      <c r="J552" s="48" t="n"/>
      <c r="K552" s="52" t="n"/>
      <c r="L552" s="48" t="n"/>
      <c r="M552" s="48" t="n"/>
      <c r="N552" s="48" t="n"/>
      <c r="O552" s="48" t="n"/>
      <c r="P552" s="48" t="n"/>
      <c r="Q552" s="48" t="n"/>
      <c r="R552" s="48" t="n"/>
      <c r="S552" s="48" t="n"/>
      <c r="T552" s="48" t="n"/>
      <c r="U552" s="48" t="n"/>
      <c r="V552" s="48" t="n"/>
      <c r="W552" s="48" t="n"/>
      <c r="X552" s="48" t="n"/>
      <c r="Y552" s="48" t="n"/>
      <c r="Z552" s="48" t="n"/>
      <c r="AA552" s="48" t="n"/>
      <c r="AB552" s="48" t="n"/>
      <c r="AC552" s="48" t="n"/>
      <c r="AD552" s="48" t="n"/>
      <c r="AE552" s="48" t="n"/>
      <c r="AF552" s="48" t="n"/>
      <c r="AG552" s="48" t="n"/>
      <c r="AH552" s="48" t="n"/>
      <c r="AI552" s="48" t="n"/>
      <c r="AJ552" s="48" t="n"/>
      <c r="AK552" s="48" t="n"/>
      <c r="AL552" s="53" t="n"/>
      <c r="AM552" s="52" t="n"/>
      <c r="AN552" s="48" t="n"/>
      <c r="AO552" s="48" t="n"/>
      <c r="AP552" s="48" t="n"/>
      <c r="AQ552" s="48" t="n"/>
      <c r="AR552" s="48" t="n"/>
      <c r="AS552" s="48" t="n"/>
      <c r="AT552" s="48" t="n"/>
      <c r="AU552" s="48" t="n"/>
      <c r="AV552" s="48" t="n"/>
      <c r="AW552" s="48" t="n"/>
      <c r="AX552" s="48" t="n"/>
      <c r="AY552" s="48" t="n"/>
      <c r="AZ552" s="48" t="n"/>
      <c r="BA552" s="48" t="n"/>
      <c r="BB552" s="48" t="n"/>
      <c r="BC552" s="48" t="n"/>
      <c r="BD552" s="48" t="n"/>
      <c r="BE552" s="48" t="n"/>
      <c r="BF552" s="48" t="n"/>
      <c r="BG552" s="48" t="n"/>
      <c r="BH552" s="48" t="n"/>
      <c r="BI552" s="48" t="n"/>
      <c r="BJ552" s="48" t="n"/>
      <c r="BK552" s="48" t="n"/>
      <c r="BL552" s="48" t="n"/>
      <c r="BM552" s="48" t="n"/>
      <c r="BN552" s="48" t="n"/>
    </row>
    <row r="553">
      <c r="A553" s="47" t="n"/>
      <c r="B553" s="48" t="n"/>
      <c r="C553" s="48" t="n"/>
      <c r="D553" s="49" t="n"/>
      <c r="E553" s="48" t="n"/>
      <c r="F553" s="48" t="n"/>
      <c r="G553" s="50" t="n"/>
      <c r="H553" s="51" t="n"/>
      <c r="I553" s="51" t="n"/>
      <c r="J553" s="48" t="n"/>
      <c r="K553" s="52" t="n"/>
      <c r="L553" s="48" t="n"/>
      <c r="M553" s="48" t="n"/>
      <c r="N553" s="48" t="n"/>
      <c r="O553" s="48" t="n"/>
      <c r="P553" s="48" t="n"/>
      <c r="Q553" s="48" t="n"/>
      <c r="R553" s="48" t="n"/>
      <c r="S553" s="48" t="n"/>
      <c r="T553" s="48" t="n"/>
      <c r="U553" s="48" t="n"/>
      <c r="V553" s="48" t="n"/>
      <c r="W553" s="48" t="n"/>
      <c r="X553" s="48" t="n"/>
      <c r="Y553" s="48" t="n"/>
      <c r="Z553" s="48" t="n"/>
      <c r="AA553" s="48" t="n"/>
      <c r="AB553" s="48" t="n"/>
      <c r="AC553" s="48" t="n"/>
      <c r="AD553" s="48" t="n"/>
      <c r="AE553" s="48" t="n"/>
      <c r="AF553" s="48" t="n"/>
      <c r="AG553" s="48" t="n"/>
      <c r="AH553" s="48" t="n"/>
      <c r="AI553" s="48" t="n"/>
      <c r="AJ553" s="48" t="n"/>
      <c r="AK553" s="48" t="n"/>
      <c r="AL553" s="53" t="n"/>
      <c r="AM553" s="52" t="n"/>
      <c r="AN553" s="48" t="n"/>
      <c r="AO553" s="48" t="n"/>
      <c r="AP553" s="48" t="n"/>
      <c r="AQ553" s="48" t="n"/>
      <c r="AR553" s="48" t="n"/>
      <c r="AS553" s="48" t="n"/>
      <c r="AT553" s="48" t="n"/>
      <c r="AU553" s="48" t="n"/>
      <c r="AV553" s="48" t="n"/>
      <c r="AW553" s="48" t="n"/>
      <c r="AX553" s="48" t="n"/>
      <c r="AY553" s="48" t="n"/>
      <c r="AZ553" s="48" t="n"/>
      <c r="BA553" s="48" t="n"/>
      <c r="BB553" s="48" t="n"/>
      <c r="BC553" s="48" t="n"/>
      <c r="BD553" s="48" t="n"/>
      <c r="BE553" s="48" t="n"/>
      <c r="BF553" s="48" t="n"/>
      <c r="BG553" s="48" t="n"/>
      <c r="BH553" s="48" t="n"/>
      <c r="BI553" s="48" t="n"/>
      <c r="BJ553" s="48" t="n"/>
      <c r="BK553" s="48" t="n"/>
      <c r="BL553" s="48" t="n"/>
      <c r="BM553" s="48" t="n"/>
      <c r="BN553" s="48" t="n"/>
    </row>
    <row r="554">
      <c r="A554" s="47" t="n"/>
      <c r="B554" s="48" t="n"/>
      <c r="C554" s="48" t="n"/>
      <c r="D554" s="49" t="n"/>
      <c r="E554" s="48" t="n"/>
      <c r="F554" s="48" t="n"/>
      <c r="G554" s="50" t="n"/>
      <c r="H554" s="51" t="n"/>
      <c r="I554" s="51" t="n"/>
      <c r="J554" s="48" t="n"/>
      <c r="K554" s="52" t="n"/>
      <c r="L554" s="48" t="n"/>
      <c r="M554" s="48" t="n"/>
      <c r="N554" s="48" t="n"/>
      <c r="O554" s="48" t="n"/>
      <c r="P554" s="48" t="n"/>
      <c r="Q554" s="48" t="n"/>
      <c r="R554" s="48" t="n"/>
      <c r="S554" s="48" t="n"/>
      <c r="T554" s="48" t="n"/>
      <c r="U554" s="48" t="n"/>
      <c r="V554" s="48" t="n"/>
      <c r="W554" s="48" t="n"/>
      <c r="X554" s="48" t="n"/>
      <c r="Y554" s="48" t="n"/>
      <c r="Z554" s="48" t="n"/>
      <c r="AA554" s="48" t="n"/>
      <c r="AB554" s="48" t="n"/>
      <c r="AC554" s="48" t="n"/>
      <c r="AD554" s="48" t="n"/>
      <c r="AE554" s="48" t="n"/>
      <c r="AF554" s="48" t="n"/>
      <c r="AG554" s="48" t="n"/>
      <c r="AH554" s="48" t="n"/>
      <c r="AI554" s="48" t="n"/>
      <c r="AJ554" s="48" t="n"/>
      <c r="AK554" s="48" t="n"/>
      <c r="AL554" s="53" t="n"/>
      <c r="AM554" s="52" t="n"/>
      <c r="AN554" s="48" t="n"/>
      <c r="AO554" s="48" t="n"/>
      <c r="AP554" s="48" t="n"/>
      <c r="AQ554" s="48" t="n"/>
      <c r="AR554" s="48" t="n"/>
      <c r="AS554" s="48" t="n"/>
      <c r="AT554" s="48" t="n"/>
      <c r="AU554" s="48" t="n"/>
      <c r="AV554" s="48" t="n"/>
      <c r="AW554" s="48" t="n"/>
      <c r="AX554" s="48" t="n"/>
      <c r="AY554" s="48" t="n"/>
      <c r="AZ554" s="48" t="n"/>
      <c r="BA554" s="48" t="n"/>
      <c r="BB554" s="48" t="n"/>
      <c r="BC554" s="48" t="n"/>
      <c r="BD554" s="48" t="n"/>
      <c r="BE554" s="48" t="n"/>
      <c r="BF554" s="48" t="n"/>
      <c r="BG554" s="48" t="n"/>
      <c r="BH554" s="48" t="n"/>
      <c r="BI554" s="48" t="n"/>
      <c r="BJ554" s="48" t="n"/>
      <c r="BK554" s="48" t="n"/>
      <c r="BL554" s="48" t="n"/>
      <c r="BM554" s="48" t="n"/>
      <c r="BN554" s="48" t="n"/>
    </row>
    <row r="555">
      <c r="A555" s="47" t="n"/>
      <c r="B555" s="48" t="n"/>
      <c r="C555" s="48" t="n"/>
      <c r="D555" s="49" t="n"/>
      <c r="E555" s="48" t="n"/>
      <c r="F555" s="48" t="n"/>
      <c r="G555" s="50" t="n"/>
      <c r="H555" s="51" t="n"/>
      <c r="I555" s="51" t="n"/>
      <c r="J555" s="48" t="n"/>
      <c r="K555" s="52" t="n"/>
      <c r="L555" s="48" t="n"/>
      <c r="M555" s="48" t="n"/>
      <c r="N555" s="48" t="n"/>
      <c r="O555" s="48" t="n"/>
      <c r="P555" s="48" t="n"/>
      <c r="Q555" s="48" t="n"/>
      <c r="R555" s="48" t="n"/>
      <c r="S555" s="48" t="n"/>
      <c r="T555" s="48" t="n"/>
      <c r="U555" s="48" t="n"/>
      <c r="V555" s="48" t="n"/>
      <c r="W555" s="48" t="n"/>
      <c r="X555" s="48" t="n"/>
      <c r="Y555" s="48" t="n"/>
      <c r="Z555" s="48" t="n"/>
      <c r="AA555" s="48" t="n"/>
      <c r="AB555" s="48" t="n"/>
      <c r="AC555" s="48" t="n"/>
      <c r="AD555" s="48" t="n"/>
      <c r="AE555" s="48" t="n"/>
      <c r="AF555" s="48" t="n"/>
      <c r="AG555" s="48" t="n"/>
      <c r="AH555" s="48" t="n"/>
      <c r="AI555" s="48" t="n"/>
      <c r="AJ555" s="48" t="n"/>
      <c r="AK555" s="48" t="n"/>
      <c r="AL555" s="53" t="n"/>
      <c r="AM555" s="52" t="n"/>
      <c r="AN555" s="48" t="n"/>
      <c r="AO555" s="48" t="n"/>
      <c r="AP555" s="48" t="n"/>
      <c r="AQ555" s="48" t="n"/>
      <c r="AR555" s="48" t="n"/>
      <c r="AS555" s="48" t="n"/>
      <c r="AT555" s="48" t="n"/>
      <c r="AU555" s="48" t="n"/>
      <c r="AV555" s="48" t="n"/>
      <c r="AW555" s="48" t="n"/>
      <c r="AX555" s="48" t="n"/>
      <c r="AY555" s="48" t="n"/>
      <c r="AZ555" s="48" t="n"/>
      <c r="BA555" s="48" t="n"/>
      <c r="BB555" s="48" t="n"/>
      <c r="BC555" s="48" t="n"/>
      <c r="BD555" s="48" t="n"/>
      <c r="BE555" s="48" t="n"/>
      <c r="BF555" s="48" t="n"/>
      <c r="BG555" s="48" t="n"/>
      <c r="BH555" s="48" t="n"/>
      <c r="BI555" s="48" t="n"/>
      <c r="BJ555" s="48" t="n"/>
      <c r="BK555" s="48" t="n"/>
      <c r="BL555" s="48" t="n"/>
      <c r="BM555" s="48" t="n"/>
      <c r="BN555" s="48" t="n"/>
    </row>
    <row r="556">
      <c r="A556" s="47" t="n"/>
      <c r="B556" s="48" t="n"/>
      <c r="C556" s="48" t="n"/>
      <c r="D556" s="49" t="n"/>
      <c r="E556" s="48" t="n"/>
      <c r="F556" s="48" t="n"/>
      <c r="G556" s="50" t="n"/>
      <c r="H556" s="51" t="n"/>
      <c r="I556" s="51" t="n"/>
      <c r="J556" s="48" t="n"/>
      <c r="K556" s="52" t="n"/>
      <c r="L556" s="48" t="n"/>
      <c r="M556" s="48" t="n"/>
      <c r="N556" s="48" t="n"/>
      <c r="O556" s="48" t="n"/>
      <c r="P556" s="48" t="n"/>
      <c r="Q556" s="48" t="n"/>
      <c r="R556" s="48" t="n"/>
      <c r="S556" s="48" t="n"/>
      <c r="T556" s="48" t="n"/>
      <c r="U556" s="48" t="n"/>
      <c r="V556" s="48" t="n"/>
      <c r="W556" s="48" t="n"/>
      <c r="X556" s="48" t="n"/>
      <c r="Y556" s="48" t="n"/>
      <c r="Z556" s="48" t="n"/>
      <c r="AA556" s="48" t="n"/>
      <c r="AB556" s="48" t="n"/>
      <c r="AC556" s="48" t="n"/>
      <c r="AD556" s="48" t="n"/>
      <c r="AE556" s="48" t="n"/>
      <c r="AF556" s="48" t="n"/>
      <c r="AG556" s="48" t="n"/>
      <c r="AH556" s="48" t="n"/>
      <c r="AI556" s="48" t="n"/>
      <c r="AJ556" s="48" t="n"/>
      <c r="AK556" s="48" t="n"/>
      <c r="AL556" s="53" t="n"/>
      <c r="AM556" s="52" t="n"/>
      <c r="AN556" s="48" t="n"/>
      <c r="AO556" s="48" t="n"/>
      <c r="AP556" s="48" t="n"/>
      <c r="AQ556" s="48" t="n"/>
      <c r="AR556" s="48" t="n"/>
      <c r="AS556" s="48" t="n"/>
      <c r="AT556" s="48" t="n"/>
      <c r="AU556" s="48" t="n"/>
      <c r="AV556" s="48" t="n"/>
      <c r="AW556" s="48" t="n"/>
      <c r="AX556" s="48" t="n"/>
      <c r="AY556" s="48" t="n"/>
      <c r="AZ556" s="48" t="n"/>
      <c r="BA556" s="48" t="n"/>
      <c r="BB556" s="48" t="n"/>
      <c r="BC556" s="48" t="n"/>
      <c r="BD556" s="48" t="n"/>
      <c r="BE556" s="48" t="n"/>
      <c r="BF556" s="48" t="n"/>
      <c r="BG556" s="48" t="n"/>
      <c r="BH556" s="48" t="n"/>
      <c r="BI556" s="48" t="n"/>
      <c r="BJ556" s="48" t="n"/>
      <c r="BK556" s="48" t="n"/>
      <c r="BL556" s="48" t="n"/>
      <c r="BM556" s="48" t="n"/>
      <c r="BN556" s="48" t="n"/>
    </row>
    <row r="557">
      <c r="A557" s="47" t="n"/>
      <c r="B557" s="48" t="n"/>
      <c r="C557" s="48" t="n"/>
      <c r="D557" s="49" t="n"/>
      <c r="E557" s="48" t="n"/>
      <c r="F557" s="48" t="n"/>
      <c r="G557" s="50" t="n"/>
      <c r="H557" s="51" t="n"/>
      <c r="I557" s="51" t="n"/>
      <c r="J557" s="48" t="n"/>
      <c r="K557" s="52" t="n"/>
      <c r="L557" s="48" t="n"/>
      <c r="M557" s="48" t="n"/>
      <c r="N557" s="48" t="n"/>
      <c r="O557" s="48" t="n"/>
      <c r="P557" s="48" t="n"/>
      <c r="Q557" s="48" t="n"/>
      <c r="R557" s="48" t="n"/>
      <c r="S557" s="48" t="n"/>
      <c r="T557" s="48" t="n"/>
      <c r="U557" s="48" t="n"/>
      <c r="V557" s="48" t="n"/>
      <c r="W557" s="48" t="n"/>
      <c r="X557" s="48" t="n"/>
      <c r="Y557" s="48" t="n"/>
      <c r="Z557" s="48" t="n"/>
      <c r="AA557" s="48" t="n"/>
      <c r="AB557" s="48" t="n"/>
      <c r="AC557" s="48" t="n"/>
      <c r="AD557" s="48" t="n"/>
      <c r="AE557" s="48" t="n"/>
      <c r="AF557" s="48" t="n"/>
      <c r="AG557" s="48" t="n"/>
      <c r="AH557" s="48" t="n"/>
      <c r="AI557" s="48" t="n"/>
      <c r="AJ557" s="48" t="n"/>
      <c r="AK557" s="48" t="n"/>
      <c r="AL557" s="53" t="n"/>
      <c r="AM557" s="52" t="n"/>
      <c r="AN557" s="48" t="n"/>
      <c r="AO557" s="48" t="n"/>
      <c r="AP557" s="48" t="n"/>
      <c r="AQ557" s="48" t="n"/>
      <c r="AR557" s="48" t="n"/>
      <c r="AS557" s="48" t="n"/>
      <c r="AT557" s="48" t="n"/>
      <c r="AU557" s="48" t="n"/>
      <c r="AV557" s="48" t="n"/>
      <c r="AW557" s="48" t="n"/>
      <c r="AX557" s="48" t="n"/>
      <c r="AY557" s="48" t="n"/>
      <c r="AZ557" s="48" t="n"/>
      <c r="BA557" s="48" t="n"/>
      <c r="BB557" s="48" t="n"/>
      <c r="BC557" s="48" t="n"/>
      <c r="BD557" s="48" t="n"/>
      <c r="BE557" s="48" t="n"/>
      <c r="BF557" s="48" t="n"/>
      <c r="BG557" s="48" t="n"/>
      <c r="BH557" s="48" t="n"/>
      <c r="BI557" s="48" t="n"/>
      <c r="BJ557" s="48" t="n"/>
      <c r="BK557" s="48" t="n"/>
      <c r="BL557" s="48" t="n"/>
      <c r="BM557" s="48" t="n"/>
      <c r="BN557" s="48" t="n"/>
    </row>
    <row r="558">
      <c r="A558" s="47" t="n"/>
      <c r="B558" s="48" t="n"/>
      <c r="C558" s="48" t="n"/>
      <c r="D558" s="49" t="n"/>
      <c r="E558" s="48" t="n"/>
      <c r="F558" s="48" t="n"/>
      <c r="G558" s="50" t="n"/>
      <c r="H558" s="51" t="n"/>
      <c r="I558" s="51" t="n"/>
      <c r="J558" s="48" t="n"/>
      <c r="K558" s="52" t="n"/>
      <c r="L558" s="48" t="n"/>
      <c r="M558" s="48" t="n"/>
      <c r="N558" s="48" t="n"/>
      <c r="O558" s="48" t="n"/>
      <c r="P558" s="48" t="n"/>
      <c r="Q558" s="48" t="n"/>
      <c r="R558" s="48" t="n"/>
      <c r="S558" s="48" t="n"/>
      <c r="T558" s="48" t="n"/>
      <c r="U558" s="48" t="n"/>
      <c r="V558" s="48" t="n"/>
      <c r="W558" s="48" t="n"/>
      <c r="X558" s="48" t="n"/>
      <c r="Y558" s="48" t="n"/>
      <c r="Z558" s="48" t="n"/>
      <c r="AA558" s="48" t="n"/>
      <c r="AB558" s="48" t="n"/>
      <c r="AC558" s="48" t="n"/>
      <c r="AD558" s="48" t="n"/>
      <c r="AE558" s="48" t="n"/>
      <c r="AF558" s="48" t="n"/>
      <c r="AG558" s="48" t="n"/>
      <c r="AH558" s="48" t="n"/>
      <c r="AI558" s="48" t="n"/>
      <c r="AJ558" s="48" t="n"/>
      <c r="AK558" s="48" t="n"/>
      <c r="AL558" s="53" t="n"/>
      <c r="AM558" s="52" t="n"/>
      <c r="AN558" s="48" t="n"/>
      <c r="AO558" s="48" t="n"/>
      <c r="AP558" s="48" t="n"/>
      <c r="AQ558" s="48" t="n"/>
      <c r="AR558" s="48" t="n"/>
      <c r="AS558" s="48" t="n"/>
      <c r="AT558" s="48" t="n"/>
      <c r="AU558" s="48" t="n"/>
      <c r="AV558" s="48" t="n"/>
      <c r="AW558" s="48" t="n"/>
      <c r="AX558" s="48" t="n"/>
      <c r="AY558" s="48" t="n"/>
      <c r="AZ558" s="48" t="n"/>
      <c r="BA558" s="48" t="n"/>
      <c r="BB558" s="48" t="n"/>
      <c r="BC558" s="48" t="n"/>
      <c r="BD558" s="48" t="n"/>
      <c r="BE558" s="48" t="n"/>
      <c r="BF558" s="48" t="n"/>
      <c r="BG558" s="48" t="n"/>
      <c r="BH558" s="48" t="n"/>
      <c r="BI558" s="48" t="n"/>
      <c r="BJ558" s="48" t="n"/>
      <c r="BK558" s="48" t="n"/>
      <c r="BL558" s="48" t="n"/>
      <c r="BM558" s="48" t="n"/>
      <c r="BN558" s="48" t="n"/>
    </row>
    <row r="559">
      <c r="A559" s="47" t="n"/>
      <c r="B559" s="48" t="n"/>
      <c r="C559" s="48" t="n"/>
      <c r="D559" s="49" t="n"/>
      <c r="E559" s="48" t="n"/>
      <c r="F559" s="48" t="n"/>
      <c r="G559" s="50" t="n"/>
      <c r="H559" s="51" t="n"/>
      <c r="I559" s="51" t="n"/>
      <c r="J559" s="48" t="n"/>
      <c r="K559" s="52" t="n"/>
      <c r="L559" s="48" t="n"/>
      <c r="M559" s="48" t="n"/>
      <c r="N559" s="48" t="n"/>
      <c r="O559" s="48" t="n"/>
      <c r="P559" s="48" t="n"/>
      <c r="Q559" s="48" t="n"/>
      <c r="R559" s="48" t="n"/>
      <c r="S559" s="48" t="n"/>
      <c r="T559" s="48" t="n"/>
      <c r="U559" s="48" t="n"/>
      <c r="V559" s="48" t="n"/>
      <c r="W559" s="48" t="n"/>
      <c r="X559" s="48" t="n"/>
      <c r="Y559" s="48" t="n"/>
      <c r="Z559" s="48" t="n"/>
      <c r="AA559" s="48" t="n"/>
      <c r="AB559" s="48" t="n"/>
      <c r="AC559" s="48" t="n"/>
      <c r="AD559" s="48" t="n"/>
      <c r="AE559" s="48" t="n"/>
      <c r="AF559" s="48" t="n"/>
      <c r="AG559" s="48" t="n"/>
      <c r="AH559" s="48" t="n"/>
      <c r="AI559" s="48" t="n"/>
      <c r="AJ559" s="48" t="n"/>
      <c r="AK559" s="48" t="n"/>
      <c r="AL559" s="53" t="n"/>
      <c r="AM559" s="52" t="n"/>
      <c r="AN559" s="48" t="n"/>
      <c r="AO559" s="48" t="n"/>
      <c r="AP559" s="48" t="n"/>
      <c r="AQ559" s="48" t="n"/>
      <c r="AR559" s="48" t="n"/>
      <c r="AS559" s="48" t="n"/>
      <c r="AT559" s="48" t="n"/>
      <c r="AU559" s="48" t="n"/>
      <c r="AV559" s="48" t="n"/>
      <c r="AW559" s="48" t="n"/>
      <c r="AX559" s="48" t="n"/>
      <c r="AY559" s="48" t="n"/>
      <c r="AZ559" s="48" t="n"/>
      <c r="BA559" s="48" t="n"/>
      <c r="BB559" s="48" t="n"/>
      <c r="BC559" s="48" t="n"/>
      <c r="BD559" s="48" t="n"/>
      <c r="BE559" s="48" t="n"/>
      <c r="BF559" s="48" t="n"/>
      <c r="BG559" s="48" t="n"/>
      <c r="BH559" s="48" t="n"/>
      <c r="BI559" s="48" t="n"/>
      <c r="BJ559" s="48" t="n"/>
      <c r="BK559" s="48" t="n"/>
      <c r="BL559" s="48" t="n"/>
      <c r="BM559" s="48" t="n"/>
      <c r="BN559" s="48" t="n"/>
    </row>
    <row r="560">
      <c r="A560" s="47" t="n"/>
      <c r="B560" s="48" t="n"/>
      <c r="C560" s="48" t="n"/>
      <c r="D560" s="49" t="n"/>
      <c r="E560" s="48" t="n"/>
      <c r="F560" s="48" t="n"/>
      <c r="G560" s="50" t="n"/>
      <c r="H560" s="51" t="n"/>
      <c r="I560" s="51" t="n"/>
      <c r="J560" s="48" t="n"/>
      <c r="K560" s="52" t="n"/>
      <c r="L560" s="48" t="n"/>
      <c r="M560" s="48" t="n"/>
      <c r="N560" s="48" t="n"/>
      <c r="O560" s="48" t="n"/>
      <c r="P560" s="48" t="n"/>
      <c r="Q560" s="48" t="n"/>
      <c r="R560" s="48" t="n"/>
      <c r="S560" s="48" t="n"/>
      <c r="T560" s="48" t="n"/>
      <c r="U560" s="48" t="n"/>
      <c r="V560" s="48" t="n"/>
      <c r="W560" s="48" t="n"/>
      <c r="X560" s="48" t="n"/>
      <c r="Y560" s="48" t="n"/>
      <c r="Z560" s="48" t="n"/>
      <c r="AA560" s="48" t="n"/>
      <c r="AB560" s="48" t="n"/>
      <c r="AC560" s="48" t="n"/>
      <c r="AD560" s="48" t="n"/>
      <c r="AE560" s="48" t="n"/>
      <c r="AF560" s="48" t="n"/>
      <c r="AG560" s="48" t="n"/>
      <c r="AH560" s="48" t="n"/>
      <c r="AI560" s="48" t="n"/>
      <c r="AJ560" s="48" t="n"/>
      <c r="AK560" s="48" t="n"/>
      <c r="AL560" s="53" t="n"/>
      <c r="AM560" s="52" t="n"/>
      <c r="AN560" s="48" t="n"/>
      <c r="AO560" s="48" t="n"/>
      <c r="AP560" s="48" t="n"/>
      <c r="AQ560" s="48" t="n"/>
      <c r="AR560" s="48" t="n"/>
      <c r="AS560" s="48" t="n"/>
      <c r="AT560" s="48" t="n"/>
      <c r="AU560" s="48" t="n"/>
      <c r="AV560" s="48" t="n"/>
      <c r="AW560" s="48" t="n"/>
      <c r="AX560" s="48" t="n"/>
      <c r="AY560" s="48" t="n"/>
      <c r="AZ560" s="48" t="n"/>
      <c r="BA560" s="48" t="n"/>
      <c r="BB560" s="48" t="n"/>
      <c r="BC560" s="48" t="n"/>
      <c r="BD560" s="48" t="n"/>
      <c r="BE560" s="48" t="n"/>
      <c r="BF560" s="48" t="n"/>
      <c r="BG560" s="48" t="n"/>
      <c r="BH560" s="48" t="n"/>
      <c r="BI560" s="48" t="n"/>
      <c r="BJ560" s="48" t="n"/>
      <c r="BK560" s="48" t="n"/>
      <c r="BL560" s="48" t="n"/>
      <c r="BM560" s="48" t="n"/>
      <c r="BN560" s="48" t="n"/>
    </row>
    <row r="561">
      <c r="A561" s="47" t="n"/>
      <c r="B561" s="48" t="n"/>
      <c r="C561" s="48" t="n"/>
      <c r="D561" s="49" t="n"/>
      <c r="E561" s="48" t="n"/>
      <c r="F561" s="48" t="n"/>
      <c r="G561" s="50" t="n"/>
      <c r="H561" s="51" t="n"/>
      <c r="I561" s="51" t="n"/>
      <c r="J561" s="48" t="n"/>
      <c r="K561" s="52" t="n"/>
      <c r="L561" s="48" t="n"/>
      <c r="M561" s="48" t="n"/>
      <c r="N561" s="48" t="n"/>
      <c r="O561" s="48" t="n"/>
      <c r="P561" s="48" t="n"/>
      <c r="Q561" s="48" t="n"/>
      <c r="R561" s="48" t="n"/>
      <c r="S561" s="48" t="n"/>
      <c r="T561" s="48" t="n"/>
      <c r="U561" s="48" t="n"/>
      <c r="V561" s="48" t="n"/>
      <c r="W561" s="48" t="n"/>
      <c r="X561" s="48" t="n"/>
      <c r="Y561" s="48" t="n"/>
      <c r="Z561" s="48" t="n"/>
      <c r="AA561" s="48" t="n"/>
      <c r="AB561" s="48" t="n"/>
      <c r="AC561" s="48" t="n"/>
      <c r="AD561" s="48" t="n"/>
      <c r="AE561" s="48" t="n"/>
      <c r="AF561" s="48" t="n"/>
      <c r="AG561" s="48" t="n"/>
      <c r="AH561" s="48" t="n"/>
      <c r="AI561" s="48" t="n"/>
      <c r="AJ561" s="48" t="n"/>
      <c r="AK561" s="48" t="n"/>
      <c r="AL561" s="53" t="n"/>
      <c r="AM561" s="52" t="n"/>
      <c r="AN561" s="48" t="n"/>
      <c r="AO561" s="48" t="n"/>
      <c r="AP561" s="48" t="n"/>
      <c r="AQ561" s="48" t="n"/>
      <c r="AR561" s="48" t="n"/>
      <c r="AS561" s="48" t="n"/>
      <c r="AT561" s="48" t="n"/>
      <c r="AU561" s="48" t="n"/>
      <c r="AV561" s="48" t="n"/>
      <c r="AW561" s="48" t="n"/>
      <c r="AX561" s="48" t="n"/>
      <c r="AY561" s="48" t="n"/>
      <c r="AZ561" s="48" t="n"/>
      <c r="BA561" s="48" t="n"/>
      <c r="BB561" s="48" t="n"/>
      <c r="BC561" s="48" t="n"/>
      <c r="BD561" s="48" t="n"/>
      <c r="BE561" s="48" t="n"/>
      <c r="BF561" s="48" t="n"/>
      <c r="BG561" s="48" t="n"/>
      <c r="BH561" s="48" t="n"/>
      <c r="BI561" s="48" t="n"/>
      <c r="BJ561" s="48" t="n"/>
      <c r="BK561" s="48" t="n"/>
      <c r="BL561" s="48" t="n"/>
      <c r="BM561" s="48" t="n"/>
      <c r="BN561" s="48" t="n"/>
    </row>
    <row r="562">
      <c r="A562" s="47" t="n"/>
      <c r="B562" s="48" t="n"/>
      <c r="C562" s="48" t="n"/>
      <c r="D562" s="49" t="n"/>
      <c r="E562" s="48" t="n"/>
      <c r="F562" s="48" t="n"/>
      <c r="G562" s="50" t="n"/>
      <c r="H562" s="51" t="n"/>
      <c r="I562" s="51" t="n"/>
      <c r="J562" s="48" t="n"/>
      <c r="K562" s="52" t="n"/>
      <c r="L562" s="48" t="n"/>
      <c r="M562" s="48" t="n"/>
      <c r="N562" s="48" t="n"/>
      <c r="O562" s="48" t="n"/>
      <c r="P562" s="48" t="n"/>
      <c r="Q562" s="48" t="n"/>
      <c r="R562" s="48" t="n"/>
      <c r="S562" s="48" t="n"/>
      <c r="T562" s="48" t="n"/>
      <c r="U562" s="48" t="n"/>
      <c r="V562" s="48" t="n"/>
      <c r="W562" s="48" t="n"/>
      <c r="X562" s="48" t="n"/>
      <c r="Y562" s="48" t="n"/>
      <c r="Z562" s="48" t="n"/>
      <c r="AA562" s="48" t="n"/>
      <c r="AB562" s="48" t="n"/>
      <c r="AC562" s="48" t="n"/>
      <c r="AD562" s="48" t="n"/>
      <c r="AE562" s="48" t="n"/>
      <c r="AF562" s="48" t="n"/>
      <c r="AG562" s="48" t="n"/>
      <c r="AH562" s="48" t="n"/>
      <c r="AI562" s="48" t="n"/>
      <c r="AJ562" s="48" t="n"/>
      <c r="AK562" s="48" t="n"/>
      <c r="AL562" s="53" t="n"/>
      <c r="AM562" s="52" t="n"/>
      <c r="AN562" s="48" t="n"/>
      <c r="AO562" s="48" t="n"/>
      <c r="AP562" s="48" t="n"/>
      <c r="AQ562" s="48" t="n"/>
      <c r="AR562" s="48" t="n"/>
      <c r="AS562" s="48" t="n"/>
      <c r="AT562" s="48" t="n"/>
      <c r="AU562" s="48" t="n"/>
      <c r="AV562" s="48" t="n"/>
      <c r="AW562" s="48" t="n"/>
      <c r="AX562" s="48" t="n"/>
      <c r="AY562" s="48" t="n"/>
      <c r="AZ562" s="48" t="n"/>
      <c r="BA562" s="48" t="n"/>
      <c r="BB562" s="48" t="n"/>
      <c r="BC562" s="48" t="n"/>
      <c r="BD562" s="48" t="n"/>
      <c r="BE562" s="48" t="n"/>
      <c r="BF562" s="48" t="n"/>
      <c r="BG562" s="48" t="n"/>
      <c r="BH562" s="48" t="n"/>
      <c r="BI562" s="48" t="n"/>
      <c r="BJ562" s="48" t="n"/>
      <c r="BK562" s="48" t="n"/>
      <c r="BL562" s="48" t="n"/>
      <c r="BM562" s="48" t="n"/>
      <c r="BN562" s="48" t="n"/>
    </row>
    <row r="563">
      <c r="A563" s="47" t="n"/>
      <c r="B563" s="48" t="n"/>
      <c r="C563" s="48" t="n"/>
      <c r="D563" s="49" t="n"/>
      <c r="E563" s="48" t="n"/>
      <c r="F563" s="48" t="n"/>
      <c r="G563" s="50" t="n"/>
      <c r="H563" s="51" t="n"/>
      <c r="I563" s="51" t="n"/>
      <c r="J563" s="48" t="n"/>
      <c r="K563" s="52" t="n"/>
      <c r="L563" s="48" t="n"/>
      <c r="M563" s="48" t="n"/>
      <c r="N563" s="48" t="n"/>
      <c r="O563" s="48" t="n"/>
      <c r="P563" s="48" t="n"/>
      <c r="Q563" s="48" t="n"/>
      <c r="R563" s="48" t="n"/>
      <c r="S563" s="48" t="n"/>
      <c r="T563" s="48" t="n"/>
      <c r="U563" s="48" t="n"/>
      <c r="V563" s="48" t="n"/>
      <c r="W563" s="48" t="n"/>
      <c r="X563" s="48" t="n"/>
      <c r="Y563" s="48" t="n"/>
      <c r="Z563" s="48" t="n"/>
      <c r="AA563" s="48" t="n"/>
      <c r="AB563" s="48" t="n"/>
      <c r="AC563" s="48" t="n"/>
      <c r="AD563" s="48" t="n"/>
      <c r="AE563" s="48" t="n"/>
      <c r="AF563" s="48" t="n"/>
      <c r="AG563" s="48" t="n"/>
      <c r="AH563" s="48" t="n"/>
      <c r="AI563" s="48" t="n"/>
      <c r="AJ563" s="48" t="n"/>
      <c r="AK563" s="48" t="n"/>
      <c r="AL563" s="53" t="n"/>
      <c r="AM563" s="52" t="n"/>
      <c r="AN563" s="48" t="n"/>
      <c r="AO563" s="48" t="n"/>
      <c r="AP563" s="48" t="n"/>
      <c r="AQ563" s="48" t="n"/>
      <c r="AR563" s="48" t="n"/>
      <c r="AS563" s="48" t="n"/>
      <c r="AT563" s="48" t="n"/>
      <c r="AU563" s="48" t="n"/>
      <c r="AV563" s="48" t="n"/>
      <c r="AW563" s="48" t="n"/>
      <c r="AX563" s="48" t="n"/>
      <c r="AY563" s="48" t="n"/>
      <c r="AZ563" s="48" t="n"/>
      <c r="BA563" s="48" t="n"/>
      <c r="BB563" s="48" t="n"/>
      <c r="BC563" s="48" t="n"/>
      <c r="BD563" s="48" t="n"/>
      <c r="BE563" s="48" t="n"/>
      <c r="BF563" s="48" t="n"/>
      <c r="BG563" s="48" t="n"/>
      <c r="BH563" s="48" t="n"/>
      <c r="BI563" s="48" t="n"/>
      <c r="BJ563" s="48" t="n"/>
      <c r="BK563" s="48" t="n"/>
      <c r="BL563" s="48" t="n"/>
      <c r="BM563" s="48" t="n"/>
      <c r="BN563" s="48" t="n"/>
    </row>
    <row r="564">
      <c r="A564" s="47" t="n"/>
      <c r="B564" s="48" t="n"/>
      <c r="C564" s="48" t="n"/>
      <c r="D564" s="49" t="n"/>
      <c r="E564" s="48" t="n"/>
      <c r="F564" s="48" t="n"/>
      <c r="G564" s="50" t="n"/>
      <c r="H564" s="51" t="n"/>
      <c r="I564" s="51" t="n"/>
      <c r="J564" s="48" t="n"/>
      <c r="K564" s="52" t="n"/>
      <c r="L564" s="48" t="n"/>
      <c r="M564" s="48" t="n"/>
      <c r="N564" s="48" t="n"/>
      <c r="O564" s="48" t="n"/>
      <c r="P564" s="48" t="n"/>
      <c r="Q564" s="48" t="n"/>
      <c r="R564" s="48" t="n"/>
      <c r="S564" s="48" t="n"/>
      <c r="T564" s="48" t="n"/>
      <c r="U564" s="48" t="n"/>
      <c r="V564" s="48" t="n"/>
      <c r="W564" s="48" t="n"/>
      <c r="X564" s="48" t="n"/>
      <c r="Y564" s="48" t="n"/>
      <c r="Z564" s="48" t="n"/>
      <c r="AA564" s="48" t="n"/>
      <c r="AB564" s="48" t="n"/>
      <c r="AC564" s="48" t="n"/>
      <c r="AD564" s="48" t="n"/>
      <c r="AE564" s="48" t="n"/>
      <c r="AF564" s="48" t="n"/>
      <c r="AG564" s="48" t="n"/>
      <c r="AH564" s="48" t="n"/>
      <c r="AI564" s="48" t="n"/>
      <c r="AJ564" s="48" t="n"/>
      <c r="AK564" s="48" t="n"/>
      <c r="AL564" s="53" t="n"/>
      <c r="AM564" s="52" t="n"/>
      <c r="AN564" s="48" t="n"/>
      <c r="AO564" s="48" t="n"/>
      <c r="AP564" s="48" t="n"/>
      <c r="AQ564" s="48" t="n"/>
      <c r="AR564" s="48" t="n"/>
      <c r="AS564" s="48" t="n"/>
      <c r="AT564" s="48" t="n"/>
      <c r="AU564" s="48" t="n"/>
      <c r="AV564" s="48" t="n"/>
      <c r="AW564" s="48" t="n"/>
      <c r="AX564" s="48" t="n"/>
      <c r="AY564" s="48" t="n"/>
      <c r="AZ564" s="48" t="n"/>
      <c r="BA564" s="48" t="n"/>
      <c r="BB564" s="48" t="n"/>
      <c r="BC564" s="48" t="n"/>
      <c r="BD564" s="48" t="n"/>
      <c r="BE564" s="48" t="n"/>
      <c r="BF564" s="48" t="n"/>
      <c r="BG564" s="48" t="n"/>
      <c r="BH564" s="48" t="n"/>
      <c r="BI564" s="48" t="n"/>
      <c r="BJ564" s="48" t="n"/>
      <c r="BK564" s="48" t="n"/>
      <c r="BL564" s="48" t="n"/>
      <c r="BM564" s="48" t="n"/>
      <c r="BN564" s="48" t="n"/>
    </row>
    <row r="565">
      <c r="A565" s="47" t="n"/>
      <c r="B565" s="48" t="n"/>
      <c r="C565" s="48" t="n"/>
      <c r="D565" s="49" t="n"/>
      <c r="E565" s="48" t="n"/>
      <c r="F565" s="48" t="n"/>
      <c r="G565" s="50" t="n"/>
      <c r="H565" s="51" t="n"/>
      <c r="I565" s="51" t="n"/>
      <c r="J565" s="48" t="n"/>
      <c r="K565" s="52" t="n"/>
      <c r="L565" s="48" t="n"/>
      <c r="M565" s="48" t="n"/>
      <c r="N565" s="48" t="n"/>
      <c r="O565" s="48" t="n"/>
      <c r="P565" s="48" t="n"/>
      <c r="Q565" s="48" t="n"/>
      <c r="R565" s="48" t="n"/>
      <c r="S565" s="48" t="n"/>
      <c r="T565" s="48" t="n"/>
      <c r="U565" s="48" t="n"/>
      <c r="V565" s="48" t="n"/>
      <c r="W565" s="48" t="n"/>
      <c r="X565" s="48" t="n"/>
      <c r="Y565" s="48" t="n"/>
      <c r="Z565" s="48" t="n"/>
      <c r="AA565" s="48" t="n"/>
      <c r="AB565" s="48" t="n"/>
      <c r="AC565" s="48" t="n"/>
      <c r="AD565" s="48" t="n"/>
      <c r="AE565" s="48" t="n"/>
      <c r="AF565" s="48" t="n"/>
      <c r="AG565" s="48" t="n"/>
      <c r="AH565" s="48" t="n"/>
      <c r="AI565" s="48" t="n"/>
      <c r="AJ565" s="48" t="n"/>
      <c r="AK565" s="48" t="n"/>
      <c r="AL565" s="53" t="n"/>
      <c r="AM565" s="52" t="n"/>
      <c r="AN565" s="48" t="n"/>
      <c r="AO565" s="48" t="n"/>
      <c r="AP565" s="48" t="n"/>
      <c r="AQ565" s="48" t="n"/>
      <c r="AR565" s="48" t="n"/>
      <c r="AS565" s="48" t="n"/>
      <c r="AT565" s="48" t="n"/>
      <c r="AU565" s="48" t="n"/>
      <c r="AV565" s="48" t="n"/>
      <c r="AW565" s="48" t="n"/>
      <c r="AX565" s="48" t="n"/>
      <c r="AY565" s="48" t="n"/>
      <c r="AZ565" s="48" t="n"/>
      <c r="BA565" s="48" t="n"/>
      <c r="BB565" s="48" t="n"/>
      <c r="BC565" s="48" t="n"/>
      <c r="BD565" s="48" t="n"/>
      <c r="BE565" s="48" t="n"/>
      <c r="BF565" s="48" t="n"/>
      <c r="BG565" s="48" t="n"/>
      <c r="BH565" s="48" t="n"/>
      <c r="BI565" s="48" t="n"/>
      <c r="BJ565" s="48" t="n"/>
      <c r="BK565" s="48" t="n"/>
      <c r="BL565" s="48" t="n"/>
      <c r="BM565" s="48" t="n"/>
      <c r="BN565" s="48" t="n"/>
    </row>
    <row r="566">
      <c r="A566" s="47" t="n"/>
      <c r="B566" s="48" t="n"/>
      <c r="C566" s="48" t="n"/>
      <c r="D566" s="49" t="n"/>
      <c r="E566" s="48" t="n"/>
      <c r="F566" s="48" t="n"/>
      <c r="G566" s="50" t="n"/>
      <c r="H566" s="51" t="n"/>
      <c r="I566" s="51" t="n"/>
      <c r="J566" s="48" t="n"/>
      <c r="K566" s="52" t="n"/>
      <c r="L566" s="48" t="n"/>
      <c r="M566" s="48" t="n"/>
      <c r="N566" s="48" t="n"/>
      <c r="O566" s="48" t="n"/>
      <c r="P566" s="48" t="n"/>
      <c r="Q566" s="48" t="n"/>
      <c r="R566" s="48" t="n"/>
      <c r="S566" s="48" t="n"/>
      <c r="T566" s="48" t="n"/>
      <c r="U566" s="48" t="n"/>
      <c r="V566" s="48" t="n"/>
      <c r="W566" s="48" t="n"/>
      <c r="X566" s="48" t="n"/>
      <c r="Y566" s="48" t="n"/>
      <c r="Z566" s="48" t="n"/>
      <c r="AA566" s="48" t="n"/>
      <c r="AB566" s="48" t="n"/>
      <c r="AC566" s="48" t="n"/>
      <c r="AD566" s="48" t="n"/>
      <c r="AE566" s="48" t="n"/>
      <c r="AF566" s="48" t="n"/>
      <c r="AG566" s="48" t="n"/>
      <c r="AH566" s="48" t="n"/>
      <c r="AI566" s="48" t="n"/>
      <c r="AJ566" s="48" t="n"/>
      <c r="AK566" s="48" t="n"/>
      <c r="AL566" s="53" t="n"/>
      <c r="AM566" s="52" t="n"/>
      <c r="AN566" s="48" t="n"/>
      <c r="AO566" s="48" t="n"/>
      <c r="AP566" s="48" t="n"/>
      <c r="AQ566" s="48" t="n"/>
      <c r="AR566" s="48" t="n"/>
      <c r="AS566" s="48" t="n"/>
      <c r="AT566" s="48" t="n"/>
      <c r="AU566" s="48" t="n"/>
      <c r="AV566" s="48" t="n"/>
      <c r="AW566" s="48" t="n"/>
      <c r="AX566" s="48" t="n"/>
      <c r="AY566" s="48" t="n"/>
      <c r="AZ566" s="48" t="n"/>
      <c r="BA566" s="48" t="n"/>
      <c r="BB566" s="48" t="n"/>
      <c r="BC566" s="48" t="n"/>
      <c r="BD566" s="48" t="n"/>
      <c r="BE566" s="48" t="n"/>
      <c r="BF566" s="48" t="n"/>
      <c r="BG566" s="48" t="n"/>
      <c r="BH566" s="48" t="n"/>
      <c r="BI566" s="48" t="n"/>
      <c r="BJ566" s="48" t="n"/>
      <c r="BK566" s="48" t="n"/>
      <c r="BL566" s="48" t="n"/>
      <c r="BM566" s="48" t="n"/>
      <c r="BN566" s="48" t="n"/>
    </row>
    <row r="567">
      <c r="A567" s="47" t="n"/>
      <c r="B567" s="48" t="n"/>
      <c r="C567" s="48" t="n"/>
      <c r="D567" s="49" t="n"/>
      <c r="E567" s="48" t="n"/>
      <c r="F567" s="48" t="n"/>
      <c r="G567" s="50" t="n"/>
      <c r="H567" s="51" t="n"/>
      <c r="I567" s="51" t="n"/>
      <c r="J567" s="48" t="n"/>
      <c r="K567" s="52" t="n"/>
      <c r="L567" s="48" t="n"/>
      <c r="M567" s="48" t="n"/>
      <c r="N567" s="48" t="n"/>
      <c r="O567" s="48" t="n"/>
      <c r="P567" s="48" t="n"/>
      <c r="Q567" s="48" t="n"/>
      <c r="R567" s="48" t="n"/>
      <c r="S567" s="48" t="n"/>
      <c r="T567" s="48" t="n"/>
      <c r="U567" s="48" t="n"/>
      <c r="V567" s="48" t="n"/>
      <c r="W567" s="48" t="n"/>
      <c r="X567" s="48" t="n"/>
      <c r="Y567" s="48" t="n"/>
      <c r="Z567" s="48" t="n"/>
      <c r="AA567" s="48" t="n"/>
      <c r="AB567" s="48" t="n"/>
      <c r="AC567" s="48" t="n"/>
      <c r="AD567" s="48" t="n"/>
      <c r="AE567" s="48" t="n"/>
      <c r="AF567" s="48" t="n"/>
      <c r="AG567" s="48" t="n"/>
      <c r="AH567" s="48" t="n"/>
      <c r="AI567" s="48" t="n"/>
      <c r="AJ567" s="48" t="n"/>
      <c r="AK567" s="48" t="n"/>
      <c r="AL567" s="53" t="n"/>
      <c r="AM567" s="52" t="n"/>
      <c r="AN567" s="48" t="n"/>
      <c r="AO567" s="48" t="n"/>
      <c r="AP567" s="48" t="n"/>
      <c r="AQ567" s="48" t="n"/>
      <c r="AR567" s="48" t="n"/>
      <c r="AS567" s="48" t="n"/>
      <c r="AT567" s="48" t="n"/>
      <c r="AU567" s="48" t="n"/>
      <c r="AV567" s="48" t="n"/>
      <c r="AW567" s="48" t="n"/>
      <c r="AX567" s="48" t="n"/>
      <c r="AY567" s="48" t="n"/>
      <c r="AZ567" s="48" t="n"/>
      <c r="BA567" s="48" t="n"/>
      <c r="BB567" s="48" t="n"/>
      <c r="BC567" s="48" t="n"/>
      <c r="BD567" s="48" t="n"/>
      <c r="BE567" s="48" t="n"/>
      <c r="BF567" s="48" t="n"/>
      <c r="BG567" s="48" t="n"/>
      <c r="BH567" s="48" t="n"/>
      <c r="BI567" s="48" t="n"/>
      <c r="BJ567" s="48" t="n"/>
      <c r="BK567" s="48" t="n"/>
      <c r="BL567" s="48" t="n"/>
      <c r="BM567" s="48" t="n"/>
      <c r="BN567" s="48" t="n"/>
    </row>
    <row r="568">
      <c r="A568" s="47" t="n"/>
      <c r="B568" s="48" t="n"/>
      <c r="C568" s="48" t="n"/>
      <c r="D568" s="49" t="n"/>
      <c r="E568" s="48" t="n"/>
      <c r="F568" s="48" t="n"/>
      <c r="G568" s="50" t="n"/>
      <c r="H568" s="51" t="n"/>
      <c r="I568" s="51" t="n"/>
      <c r="J568" s="48" t="n"/>
      <c r="K568" s="52" t="n"/>
      <c r="L568" s="48" t="n"/>
      <c r="M568" s="48" t="n"/>
      <c r="N568" s="48" t="n"/>
      <c r="O568" s="48" t="n"/>
      <c r="P568" s="48" t="n"/>
      <c r="Q568" s="48" t="n"/>
      <c r="R568" s="48" t="n"/>
      <c r="S568" s="48" t="n"/>
      <c r="T568" s="48" t="n"/>
      <c r="U568" s="48" t="n"/>
      <c r="V568" s="48" t="n"/>
      <c r="W568" s="48" t="n"/>
      <c r="X568" s="48" t="n"/>
      <c r="Y568" s="48" t="n"/>
      <c r="Z568" s="48" t="n"/>
      <c r="AA568" s="48" t="n"/>
      <c r="AB568" s="48" t="n"/>
      <c r="AC568" s="48" t="n"/>
      <c r="AD568" s="48" t="n"/>
      <c r="AE568" s="48" t="n"/>
      <c r="AF568" s="48" t="n"/>
      <c r="AG568" s="48" t="n"/>
      <c r="AH568" s="48" t="n"/>
      <c r="AI568" s="48" t="n"/>
      <c r="AJ568" s="48" t="n"/>
      <c r="AK568" s="48" t="n"/>
      <c r="AL568" s="53" t="n"/>
      <c r="AM568" s="52" t="n"/>
      <c r="AN568" s="48" t="n"/>
      <c r="AO568" s="48" t="n"/>
      <c r="AP568" s="48" t="n"/>
      <c r="AQ568" s="48" t="n"/>
      <c r="AR568" s="48" t="n"/>
      <c r="AS568" s="48" t="n"/>
      <c r="AT568" s="48" t="n"/>
      <c r="AU568" s="48" t="n"/>
      <c r="AV568" s="48" t="n"/>
      <c r="AW568" s="48" t="n"/>
      <c r="AX568" s="48" t="n"/>
      <c r="AY568" s="48" t="n"/>
      <c r="AZ568" s="48" t="n"/>
      <c r="BA568" s="48" t="n"/>
      <c r="BB568" s="48" t="n"/>
      <c r="BC568" s="48" t="n"/>
      <c r="BD568" s="48" t="n"/>
      <c r="BE568" s="48" t="n"/>
      <c r="BF568" s="48" t="n"/>
      <c r="BG568" s="48" t="n"/>
      <c r="BH568" s="48" t="n"/>
      <c r="BI568" s="48" t="n"/>
      <c r="BJ568" s="48" t="n"/>
      <c r="BK568" s="48" t="n"/>
      <c r="BL568" s="48" t="n"/>
      <c r="BM568" s="48" t="n"/>
      <c r="BN568" s="48" t="n"/>
    </row>
    <row r="569">
      <c r="A569" s="47" t="n"/>
      <c r="B569" s="48" t="n"/>
      <c r="C569" s="48" t="n"/>
      <c r="D569" s="49" t="n"/>
      <c r="E569" s="48" t="n"/>
      <c r="F569" s="48" t="n"/>
      <c r="G569" s="50" t="n"/>
      <c r="H569" s="51" t="n"/>
      <c r="I569" s="51" t="n"/>
      <c r="J569" s="48" t="n"/>
      <c r="K569" s="52" t="n"/>
      <c r="L569" s="48" t="n"/>
      <c r="M569" s="48" t="n"/>
      <c r="N569" s="48" t="n"/>
      <c r="O569" s="48" t="n"/>
      <c r="P569" s="48" t="n"/>
      <c r="Q569" s="48" t="n"/>
      <c r="R569" s="48" t="n"/>
      <c r="S569" s="48" t="n"/>
      <c r="T569" s="48" t="n"/>
      <c r="U569" s="48" t="n"/>
      <c r="V569" s="48" t="n"/>
      <c r="W569" s="48" t="n"/>
      <c r="X569" s="48" t="n"/>
      <c r="Y569" s="48" t="n"/>
      <c r="Z569" s="48" t="n"/>
      <c r="AA569" s="48" t="n"/>
      <c r="AB569" s="48" t="n"/>
      <c r="AC569" s="48" t="n"/>
      <c r="AD569" s="48" t="n"/>
      <c r="AE569" s="48" t="n"/>
      <c r="AF569" s="48" t="n"/>
      <c r="AG569" s="48" t="n"/>
      <c r="AH569" s="48" t="n"/>
      <c r="AI569" s="48" t="n"/>
      <c r="AJ569" s="48" t="n"/>
      <c r="AK569" s="48" t="n"/>
      <c r="AL569" s="53" t="n"/>
      <c r="AM569" s="52" t="n"/>
      <c r="AN569" s="48" t="n"/>
      <c r="AO569" s="48" t="n"/>
      <c r="AP569" s="48" t="n"/>
      <c r="AQ569" s="48" t="n"/>
      <c r="AR569" s="48" t="n"/>
      <c r="AS569" s="48" t="n"/>
      <c r="AT569" s="48" t="n"/>
      <c r="AU569" s="48" t="n"/>
      <c r="AV569" s="48" t="n"/>
      <c r="AW569" s="48" t="n"/>
      <c r="AX569" s="48" t="n"/>
      <c r="AY569" s="48" t="n"/>
      <c r="AZ569" s="48" t="n"/>
      <c r="BA569" s="48" t="n"/>
      <c r="BB569" s="48" t="n"/>
      <c r="BC569" s="48" t="n"/>
      <c r="BD569" s="48" t="n"/>
      <c r="BE569" s="48" t="n"/>
      <c r="BF569" s="48" t="n"/>
      <c r="BG569" s="48" t="n"/>
      <c r="BH569" s="48" t="n"/>
      <c r="BI569" s="48" t="n"/>
      <c r="BJ569" s="48" t="n"/>
      <c r="BK569" s="48" t="n"/>
      <c r="BL569" s="48" t="n"/>
      <c r="BM569" s="48" t="n"/>
      <c r="BN569" s="48" t="n"/>
    </row>
    <row r="570">
      <c r="A570" s="47" t="n"/>
      <c r="B570" s="48" t="n"/>
      <c r="C570" s="48" t="n"/>
      <c r="D570" s="49" t="n"/>
      <c r="E570" s="48" t="n"/>
      <c r="F570" s="48" t="n"/>
      <c r="G570" s="50" t="n"/>
      <c r="H570" s="51" t="n"/>
      <c r="I570" s="51" t="n"/>
      <c r="J570" s="48" t="n"/>
      <c r="K570" s="52" t="n"/>
      <c r="L570" s="48" t="n"/>
      <c r="M570" s="48" t="n"/>
      <c r="N570" s="48" t="n"/>
      <c r="O570" s="48" t="n"/>
      <c r="P570" s="48" t="n"/>
      <c r="Q570" s="48" t="n"/>
      <c r="R570" s="48" t="n"/>
      <c r="S570" s="48" t="n"/>
      <c r="T570" s="48" t="n"/>
      <c r="U570" s="48" t="n"/>
      <c r="V570" s="48" t="n"/>
      <c r="W570" s="48" t="n"/>
      <c r="X570" s="48" t="n"/>
      <c r="Y570" s="48" t="n"/>
      <c r="Z570" s="48" t="n"/>
      <c r="AA570" s="48" t="n"/>
      <c r="AB570" s="48" t="n"/>
      <c r="AC570" s="48" t="n"/>
      <c r="AD570" s="48" t="n"/>
      <c r="AE570" s="48" t="n"/>
      <c r="AF570" s="48" t="n"/>
      <c r="AG570" s="48" t="n"/>
      <c r="AH570" s="48" t="n"/>
      <c r="AI570" s="48" t="n"/>
      <c r="AJ570" s="48" t="n"/>
      <c r="AK570" s="48" t="n"/>
      <c r="AL570" s="53" t="n"/>
      <c r="AM570" s="52" t="n"/>
      <c r="AN570" s="48" t="n"/>
      <c r="AO570" s="48" t="n"/>
      <c r="AP570" s="48" t="n"/>
      <c r="AQ570" s="48" t="n"/>
      <c r="AR570" s="48" t="n"/>
      <c r="AS570" s="48" t="n"/>
      <c r="AT570" s="48" t="n"/>
      <c r="AU570" s="48" t="n"/>
      <c r="AV570" s="48" t="n"/>
      <c r="AW570" s="48" t="n"/>
      <c r="AX570" s="48" t="n"/>
      <c r="AY570" s="48" t="n"/>
      <c r="AZ570" s="48" t="n"/>
      <c r="BA570" s="48" t="n"/>
      <c r="BB570" s="48" t="n"/>
      <c r="BC570" s="48" t="n"/>
      <c r="BD570" s="48" t="n"/>
      <c r="BE570" s="48" t="n"/>
      <c r="BF570" s="48" t="n"/>
      <c r="BG570" s="48" t="n"/>
      <c r="BH570" s="48" t="n"/>
      <c r="BI570" s="48" t="n"/>
      <c r="BJ570" s="48" t="n"/>
      <c r="BK570" s="48" t="n"/>
      <c r="BL570" s="48" t="n"/>
      <c r="BM570" s="48" t="n"/>
      <c r="BN570" s="48" t="n"/>
    </row>
    <row r="571">
      <c r="A571" s="47" t="n"/>
      <c r="B571" s="48" t="n"/>
      <c r="C571" s="48" t="n"/>
      <c r="D571" s="49" t="n"/>
      <c r="E571" s="48" t="n"/>
      <c r="F571" s="48" t="n"/>
      <c r="G571" s="50" t="n"/>
      <c r="H571" s="51" t="n"/>
      <c r="I571" s="51" t="n"/>
      <c r="J571" s="48" t="n"/>
      <c r="K571" s="52" t="n"/>
      <c r="L571" s="48" t="n"/>
      <c r="M571" s="48" t="n"/>
      <c r="N571" s="48" t="n"/>
      <c r="O571" s="48" t="n"/>
      <c r="P571" s="48" t="n"/>
      <c r="Q571" s="48" t="n"/>
      <c r="R571" s="48" t="n"/>
      <c r="S571" s="48" t="n"/>
      <c r="T571" s="48" t="n"/>
      <c r="U571" s="48" t="n"/>
      <c r="V571" s="48" t="n"/>
      <c r="W571" s="48" t="n"/>
      <c r="X571" s="48" t="n"/>
      <c r="Y571" s="48" t="n"/>
      <c r="Z571" s="48" t="n"/>
      <c r="AA571" s="48" t="n"/>
      <c r="AB571" s="48" t="n"/>
      <c r="AC571" s="48" t="n"/>
      <c r="AD571" s="48" t="n"/>
      <c r="AE571" s="48" t="n"/>
      <c r="AF571" s="48" t="n"/>
      <c r="AG571" s="48" t="n"/>
      <c r="AH571" s="48" t="n"/>
      <c r="AI571" s="48" t="n"/>
      <c r="AJ571" s="48" t="n"/>
      <c r="AK571" s="48" t="n"/>
      <c r="AL571" s="53" t="n"/>
      <c r="AM571" s="52" t="n"/>
      <c r="AN571" s="48" t="n"/>
      <c r="AO571" s="48" t="n"/>
      <c r="AP571" s="48" t="n"/>
      <c r="AQ571" s="48" t="n"/>
      <c r="AR571" s="48" t="n"/>
      <c r="AS571" s="48" t="n"/>
      <c r="AT571" s="48" t="n"/>
      <c r="AU571" s="48" t="n"/>
      <c r="AV571" s="48" t="n"/>
      <c r="AW571" s="48" t="n"/>
      <c r="AX571" s="48" t="n"/>
      <c r="AY571" s="48" t="n"/>
      <c r="AZ571" s="48" t="n"/>
      <c r="BA571" s="48" t="n"/>
      <c r="BB571" s="48" t="n"/>
      <c r="BC571" s="48" t="n"/>
      <c r="BD571" s="48" t="n"/>
      <c r="BE571" s="48" t="n"/>
      <c r="BF571" s="48" t="n"/>
      <c r="BG571" s="48" t="n"/>
      <c r="BH571" s="48" t="n"/>
      <c r="BI571" s="48" t="n"/>
      <c r="BJ571" s="48" t="n"/>
      <c r="BK571" s="48" t="n"/>
      <c r="BL571" s="48" t="n"/>
      <c r="BM571" s="48" t="n"/>
      <c r="BN571" s="48" t="n"/>
    </row>
    <row r="572">
      <c r="A572" s="47" t="n"/>
      <c r="B572" s="48" t="n"/>
      <c r="C572" s="48" t="n"/>
      <c r="D572" s="49" t="n"/>
      <c r="E572" s="48" t="n"/>
      <c r="F572" s="48" t="n"/>
      <c r="G572" s="50" t="n"/>
      <c r="H572" s="51" t="n"/>
      <c r="I572" s="51" t="n"/>
      <c r="J572" s="48" t="n"/>
      <c r="K572" s="52" t="n"/>
      <c r="L572" s="48" t="n"/>
      <c r="M572" s="48" t="n"/>
      <c r="N572" s="48" t="n"/>
      <c r="O572" s="48" t="n"/>
      <c r="P572" s="48" t="n"/>
      <c r="Q572" s="48" t="n"/>
      <c r="R572" s="48" t="n"/>
      <c r="S572" s="48" t="n"/>
      <c r="T572" s="48" t="n"/>
      <c r="U572" s="48" t="n"/>
      <c r="V572" s="48" t="n"/>
      <c r="W572" s="48" t="n"/>
      <c r="X572" s="48" t="n"/>
      <c r="Y572" s="48" t="n"/>
      <c r="Z572" s="48" t="n"/>
      <c r="AA572" s="48" t="n"/>
      <c r="AB572" s="48" t="n"/>
      <c r="AC572" s="48" t="n"/>
      <c r="AD572" s="48" t="n"/>
      <c r="AE572" s="48" t="n"/>
      <c r="AF572" s="48" t="n"/>
      <c r="AG572" s="48" t="n"/>
      <c r="AH572" s="48" t="n"/>
      <c r="AI572" s="48" t="n"/>
      <c r="AJ572" s="48" t="n"/>
      <c r="AK572" s="48" t="n"/>
      <c r="AL572" s="53" t="n"/>
      <c r="AM572" s="52" t="n"/>
      <c r="AN572" s="48" t="n"/>
      <c r="AO572" s="48" t="n"/>
      <c r="AP572" s="48" t="n"/>
      <c r="AQ572" s="48" t="n"/>
      <c r="AR572" s="48" t="n"/>
      <c r="AS572" s="48" t="n"/>
      <c r="AT572" s="48" t="n"/>
      <c r="AU572" s="48" t="n"/>
      <c r="AV572" s="48" t="n"/>
      <c r="AW572" s="48" t="n"/>
      <c r="AX572" s="48" t="n"/>
      <c r="AY572" s="48" t="n"/>
      <c r="AZ572" s="48" t="n"/>
      <c r="BA572" s="48" t="n"/>
      <c r="BB572" s="48" t="n"/>
      <c r="BC572" s="48" t="n"/>
      <c r="BD572" s="48" t="n"/>
      <c r="BE572" s="48" t="n"/>
      <c r="BF572" s="48" t="n"/>
      <c r="BG572" s="48" t="n"/>
      <c r="BH572" s="48" t="n"/>
      <c r="BI572" s="48" t="n"/>
      <c r="BJ572" s="48" t="n"/>
      <c r="BK572" s="48" t="n"/>
      <c r="BL572" s="48" t="n"/>
      <c r="BM572" s="48" t="n"/>
      <c r="BN572" s="48" t="n"/>
    </row>
    <row r="573">
      <c r="A573" s="47" t="n"/>
      <c r="B573" s="48" t="n"/>
      <c r="C573" s="48" t="n"/>
      <c r="D573" s="49" t="n"/>
      <c r="E573" s="48" t="n"/>
      <c r="F573" s="48" t="n"/>
      <c r="G573" s="50" t="n"/>
      <c r="H573" s="51" t="n"/>
      <c r="I573" s="51" t="n"/>
      <c r="J573" s="48" t="n"/>
      <c r="K573" s="52" t="n"/>
      <c r="L573" s="48" t="n"/>
      <c r="M573" s="48" t="n"/>
      <c r="N573" s="48" t="n"/>
      <c r="O573" s="48" t="n"/>
      <c r="P573" s="48" t="n"/>
      <c r="Q573" s="48" t="n"/>
      <c r="R573" s="48" t="n"/>
      <c r="S573" s="48" t="n"/>
      <c r="T573" s="48" t="n"/>
      <c r="U573" s="48" t="n"/>
      <c r="V573" s="48" t="n"/>
      <c r="W573" s="48" t="n"/>
      <c r="X573" s="48" t="n"/>
      <c r="Y573" s="48" t="n"/>
      <c r="Z573" s="48" t="n"/>
      <c r="AA573" s="48" t="n"/>
      <c r="AB573" s="48" t="n"/>
      <c r="AC573" s="48" t="n"/>
      <c r="AD573" s="48" t="n"/>
      <c r="AE573" s="48" t="n"/>
      <c r="AF573" s="48" t="n"/>
      <c r="AG573" s="48" t="n"/>
      <c r="AH573" s="48" t="n"/>
      <c r="AI573" s="48" t="n"/>
      <c r="AJ573" s="48" t="n"/>
      <c r="AK573" s="48" t="n"/>
      <c r="AL573" s="53" t="n"/>
      <c r="AM573" s="52" t="n"/>
      <c r="AN573" s="48" t="n"/>
      <c r="AO573" s="48" t="n"/>
      <c r="AP573" s="48" t="n"/>
      <c r="AQ573" s="48" t="n"/>
      <c r="AR573" s="48" t="n"/>
      <c r="AS573" s="48" t="n"/>
      <c r="AT573" s="48" t="n"/>
      <c r="AU573" s="48" t="n"/>
      <c r="AV573" s="48" t="n"/>
      <c r="AW573" s="48" t="n"/>
      <c r="AX573" s="48" t="n"/>
      <c r="AY573" s="48" t="n"/>
      <c r="AZ573" s="48" t="n"/>
      <c r="BA573" s="48" t="n"/>
      <c r="BB573" s="48" t="n"/>
      <c r="BC573" s="48" t="n"/>
      <c r="BD573" s="48" t="n"/>
      <c r="BE573" s="48" t="n"/>
      <c r="BF573" s="48" t="n"/>
      <c r="BG573" s="48" t="n"/>
      <c r="BH573" s="48" t="n"/>
      <c r="BI573" s="48" t="n"/>
      <c r="BJ573" s="48" t="n"/>
      <c r="BK573" s="48" t="n"/>
      <c r="BL573" s="48" t="n"/>
      <c r="BM573" s="48" t="n"/>
      <c r="BN573" s="48" t="n"/>
    </row>
    <row r="574">
      <c r="A574" s="47" t="n"/>
      <c r="B574" s="48" t="n"/>
      <c r="C574" s="48" t="n"/>
      <c r="D574" s="49" t="n"/>
      <c r="E574" s="48" t="n"/>
      <c r="F574" s="48" t="n"/>
      <c r="G574" s="50" t="n"/>
      <c r="H574" s="51" t="n"/>
      <c r="I574" s="51" t="n"/>
      <c r="J574" s="48" t="n"/>
      <c r="K574" s="52" t="n"/>
      <c r="L574" s="48" t="n"/>
      <c r="M574" s="48" t="n"/>
      <c r="N574" s="48" t="n"/>
      <c r="O574" s="48" t="n"/>
      <c r="P574" s="48" t="n"/>
      <c r="Q574" s="48" t="n"/>
      <c r="R574" s="48" t="n"/>
      <c r="S574" s="48" t="n"/>
      <c r="T574" s="48" t="n"/>
      <c r="U574" s="48" t="n"/>
      <c r="V574" s="48" t="n"/>
      <c r="W574" s="48" t="n"/>
      <c r="X574" s="48" t="n"/>
      <c r="Y574" s="48" t="n"/>
      <c r="Z574" s="48" t="n"/>
      <c r="AA574" s="48" t="n"/>
      <c r="AB574" s="48" t="n"/>
      <c r="AC574" s="48" t="n"/>
      <c r="AD574" s="48" t="n"/>
      <c r="AE574" s="48" t="n"/>
      <c r="AF574" s="48" t="n"/>
      <c r="AG574" s="48" t="n"/>
      <c r="AH574" s="48" t="n"/>
      <c r="AI574" s="48" t="n"/>
      <c r="AJ574" s="48" t="n"/>
      <c r="AK574" s="48" t="n"/>
      <c r="AL574" s="53" t="n"/>
      <c r="AM574" s="52" t="n"/>
      <c r="AN574" s="48" t="n"/>
      <c r="AO574" s="48" t="n"/>
      <c r="AP574" s="48" t="n"/>
      <c r="AQ574" s="48" t="n"/>
      <c r="AR574" s="48" t="n"/>
      <c r="AS574" s="48" t="n"/>
      <c r="AT574" s="48" t="n"/>
      <c r="AU574" s="48" t="n"/>
      <c r="AV574" s="48" t="n"/>
      <c r="AW574" s="48" t="n"/>
      <c r="AX574" s="48" t="n"/>
      <c r="AY574" s="48" t="n"/>
      <c r="AZ574" s="48" t="n"/>
      <c r="BA574" s="48" t="n"/>
      <c r="BB574" s="48" t="n"/>
      <c r="BC574" s="48" t="n"/>
      <c r="BD574" s="48" t="n"/>
      <c r="BE574" s="48" t="n"/>
      <c r="BF574" s="48" t="n"/>
      <c r="BG574" s="48" t="n"/>
      <c r="BH574" s="48" t="n"/>
      <c r="BI574" s="48" t="n"/>
      <c r="BJ574" s="48" t="n"/>
      <c r="BK574" s="48" t="n"/>
      <c r="BL574" s="48" t="n"/>
      <c r="BM574" s="48" t="n"/>
      <c r="BN574" s="48" t="n"/>
    </row>
    <row r="575">
      <c r="A575" s="47" t="n"/>
      <c r="B575" s="48" t="n"/>
      <c r="C575" s="48" t="n"/>
      <c r="D575" s="49" t="n"/>
      <c r="E575" s="48" t="n"/>
      <c r="F575" s="48" t="n"/>
      <c r="G575" s="50" t="n"/>
      <c r="H575" s="51" t="n"/>
      <c r="I575" s="51" t="n"/>
      <c r="J575" s="48" t="n"/>
      <c r="K575" s="52" t="n"/>
      <c r="L575" s="48" t="n"/>
      <c r="M575" s="48" t="n"/>
      <c r="N575" s="48" t="n"/>
      <c r="O575" s="48" t="n"/>
      <c r="P575" s="48" t="n"/>
      <c r="Q575" s="48" t="n"/>
      <c r="R575" s="48" t="n"/>
      <c r="S575" s="48" t="n"/>
      <c r="T575" s="48" t="n"/>
      <c r="U575" s="48" t="n"/>
      <c r="V575" s="48" t="n"/>
      <c r="W575" s="48" t="n"/>
      <c r="X575" s="48" t="n"/>
      <c r="Y575" s="48" t="n"/>
      <c r="Z575" s="48" t="n"/>
      <c r="AA575" s="48" t="n"/>
      <c r="AB575" s="48" t="n"/>
      <c r="AC575" s="48" t="n"/>
      <c r="AD575" s="48" t="n"/>
      <c r="AE575" s="48" t="n"/>
      <c r="AF575" s="48" t="n"/>
      <c r="AG575" s="48" t="n"/>
      <c r="AH575" s="48" t="n"/>
      <c r="AI575" s="48" t="n"/>
      <c r="AJ575" s="48" t="n"/>
      <c r="AK575" s="48" t="n"/>
      <c r="AL575" s="53" t="n"/>
      <c r="AM575" s="52" t="n"/>
      <c r="AN575" s="48" t="n"/>
      <c r="AO575" s="48" t="n"/>
      <c r="AP575" s="48" t="n"/>
      <c r="AQ575" s="48" t="n"/>
      <c r="AR575" s="48" t="n"/>
      <c r="AS575" s="48" t="n"/>
      <c r="AT575" s="48" t="n"/>
      <c r="AU575" s="48" t="n"/>
      <c r="AV575" s="48" t="n"/>
      <c r="AW575" s="48" t="n"/>
      <c r="AX575" s="48" t="n"/>
      <c r="AY575" s="48" t="n"/>
      <c r="AZ575" s="48" t="n"/>
      <c r="BA575" s="48" t="n"/>
      <c r="BB575" s="48" t="n"/>
      <c r="BC575" s="48" t="n"/>
      <c r="BD575" s="48" t="n"/>
      <c r="BE575" s="48" t="n"/>
      <c r="BF575" s="48" t="n"/>
      <c r="BG575" s="48" t="n"/>
      <c r="BH575" s="48" t="n"/>
      <c r="BI575" s="48" t="n"/>
      <c r="BJ575" s="48" t="n"/>
      <c r="BK575" s="48" t="n"/>
      <c r="BL575" s="48" t="n"/>
      <c r="BM575" s="48" t="n"/>
      <c r="BN575" s="48" t="n"/>
    </row>
    <row r="576">
      <c r="A576" s="47" t="n"/>
      <c r="B576" s="48" t="n"/>
      <c r="C576" s="48" t="n"/>
      <c r="D576" s="49" t="n"/>
      <c r="E576" s="48" t="n"/>
      <c r="F576" s="48" t="n"/>
      <c r="G576" s="50" t="n"/>
      <c r="H576" s="51" t="n"/>
      <c r="I576" s="51" t="n"/>
      <c r="J576" s="48" t="n"/>
      <c r="K576" s="52" t="n"/>
      <c r="L576" s="48" t="n"/>
      <c r="M576" s="48" t="n"/>
      <c r="N576" s="48" t="n"/>
      <c r="O576" s="48" t="n"/>
      <c r="P576" s="48" t="n"/>
      <c r="Q576" s="48" t="n"/>
      <c r="R576" s="48" t="n"/>
      <c r="S576" s="48" t="n"/>
      <c r="T576" s="48" t="n"/>
      <c r="U576" s="48" t="n"/>
      <c r="V576" s="48" t="n"/>
      <c r="W576" s="48" t="n"/>
      <c r="X576" s="48" t="n"/>
      <c r="Y576" s="48" t="n"/>
      <c r="Z576" s="48" t="n"/>
      <c r="AA576" s="48" t="n"/>
      <c r="AB576" s="48" t="n"/>
      <c r="AC576" s="48" t="n"/>
      <c r="AD576" s="48" t="n"/>
      <c r="AE576" s="48" t="n"/>
      <c r="AF576" s="48" t="n"/>
      <c r="AG576" s="48" t="n"/>
      <c r="AH576" s="48" t="n"/>
      <c r="AI576" s="48" t="n"/>
      <c r="AJ576" s="48" t="n"/>
      <c r="AK576" s="48" t="n"/>
      <c r="AL576" s="53" t="n"/>
      <c r="AM576" s="52" t="n"/>
      <c r="AN576" s="48" t="n"/>
      <c r="AO576" s="48" t="n"/>
      <c r="AP576" s="48" t="n"/>
      <c r="AQ576" s="48" t="n"/>
      <c r="AR576" s="48" t="n"/>
      <c r="AS576" s="48" t="n"/>
      <c r="AT576" s="48" t="n"/>
      <c r="AU576" s="48" t="n"/>
      <c r="AV576" s="48" t="n"/>
      <c r="AW576" s="48" t="n"/>
      <c r="AX576" s="48" t="n"/>
      <c r="AY576" s="48" t="n"/>
      <c r="AZ576" s="48" t="n"/>
      <c r="BA576" s="48" t="n"/>
      <c r="BB576" s="48" t="n"/>
      <c r="BC576" s="48" t="n"/>
      <c r="BD576" s="48" t="n"/>
      <c r="BE576" s="48" t="n"/>
      <c r="BF576" s="48" t="n"/>
      <c r="BG576" s="48" t="n"/>
      <c r="BH576" s="48" t="n"/>
      <c r="BI576" s="48" t="n"/>
      <c r="BJ576" s="48" t="n"/>
      <c r="BK576" s="48" t="n"/>
      <c r="BL576" s="48" t="n"/>
      <c r="BM576" s="48" t="n"/>
      <c r="BN576" s="48" t="n"/>
    </row>
    <row r="577">
      <c r="A577" s="47" t="n"/>
      <c r="B577" s="48" t="n"/>
      <c r="C577" s="48" t="n"/>
      <c r="D577" s="49" t="n"/>
      <c r="E577" s="48" t="n"/>
      <c r="F577" s="48" t="n"/>
      <c r="G577" s="50" t="n"/>
      <c r="H577" s="51" t="n"/>
      <c r="I577" s="51" t="n"/>
      <c r="J577" s="48" t="n"/>
      <c r="K577" s="52" t="n"/>
      <c r="L577" s="48" t="n"/>
      <c r="M577" s="48" t="n"/>
      <c r="N577" s="48" t="n"/>
      <c r="O577" s="48" t="n"/>
      <c r="P577" s="48" t="n"/>
      <c r="Q577" s="48" t="n"/>
      <c r="R577" s="48" t="n"/>
      <c r="S577" s="48" t="n"/>
      <c r="T577" s="48" t="n"/>
      <c r="U577" s="48" t="n"/>
      <c r="V577" s="48" t="n"/>
      <c r="W577" s="48" t="n"/>
      <c r="X577" s="48" t="n"/>
      <c r="Y577" s="48" t="n"/>
      <c r="Z577" s="48" t="n"/>
      <c r="AA577" s="48" t="n"/>
      <c r="AB577" s="48" t="n"/>
      <c r="AC577" s="48" t="n"/>
      <c r="AD577" s="48" t="n"/>
      <c r="AE577" s="48" t="n"/>
      <c r="AF577" s="48" t="n"/>
      <c r="AG577" s="48" t="n"/>
      <c r="AH577" s="48" t="n"/>
      <c r="AI577" s="48" t="n"/>
      <c r="AJ577" s="48" t="n"/>
      <c r="AK577" s="48" t="n"/>
      <c r="AL577" s="53" t="n"/>
      <c r="AM577" s="52" t="n"/>
      <c r="AN577" s="48" t="n"/>
      <c r="AO577" s="48" t="n"/>
      <c r="AP577" s="48" t="n"/>
      <c r="AQ577" s="48" t="n"/>
      <c r="AR577" s="48" t="n"/>
      <c r="AS577" s="48" t="n"/>
      <c r="AT577" s="48" t="n"/>
      <c r="AU577" s="48" t="n"/>
      <c r="AV577" s="48" t="n"/>
      <c r="AW577" s="48" t="n"/>
      <c r="AX577" s="48" t="n"/>
      <c r="AY577" s="48" t="n"/>
      <c r="AZ577" s="48" t="n"/>
      <c r="BA577" s="48" t="n"/>
      <c r="BB577" s="48" t="n"/>
      <c r="BC577" s="48" t="n"/>
      <c r="BD577" s="48" t="n"/>
      <c r="BE577" s="48" t="n"/>
      <c r="BF577" s="48" t="n"/>
      <c r="BG577" s="48" t="n"/>
      <c r="BH577" s="48" t="n"/>
      <c r="BI577" s="48" t="n"/>
      <c r="BJ577" s="48" t="n"/>
      <c r="BK577" s="48" t="n"/>
      <c r="BL577" s="48" t="n"/>
      <c r="BM577" s="48" t="n"/>
      <c r="BN577" s="48" t="n"/>
    </row>
    <row r="578">
      <c r="A578" s="47" t="n"/>
      <c r="B578" s="48" t="n"/>
      <c r="C578" s="48" t="n"/>
      <c r="D578" s="49" t="n"/>
      <c r="E578" s="48" t="n"/>
      <c r="F578" s="48" t="n"/>
      <c r="G578" s="50" t="n"/>
      <c r="H578" s="51" t="n"/>
      <c r="I578" s="51" t="n"/>
      <c r="J578" s="48" t="n"/>
      <c r="K578" s="52" t="n"/>
      <c r="L578" s="48" t="n"/>
      <c r="M578" s="48" t="n"/>
      <c r="N578" s="48" t="n"/>
      <c r="O578" s="48" t="n"/>
      <c r="P578" s="48" t="n"/>
      <c r="Q578" s="48" t="n"/>
      <c r="R578" s="48" t="n"/>
      <c r="S578" s="48" t="n"/>
      <c r="T578" s="48" t="n"/>
      <c r="U578" s="48" t="n"/>
      <c r="V578" s="48" t="n"/>
      <c r="W578" s="48" t="n"/>
      <c r="X578" s="48" t="n"/>
      <c r="Y578" s="48" t="n"/>
      <c r="Z578" s="48" t="n"/>
      <c r="AA578" s="48" t="n"/>
      <c r="AB578" s="48" t="n"/>
      <c r="AC578" s="48" t="n"/>
      <c r="AD578" s="48" t="n"/>
      <c r="AE578" s="48" t="n"/>
      <c r="AF578" s="48" t="n"/>
      <c r="AG578" s="48" t="n"/>
      <c r="AH578" s="48" t="n"/>
      <c r="AI578" s="48" t="n"/>
      <c r="AJ578" s="48" t="n"/>
      <c r="AK578" s="48" t="n"/>
      <c r="AL578" s="53" t="n"/>
      <c r="AM578" s="52" t="n"/>
      <c r="AN578" s="48" t="n"/>
      <c r="AO578" s="48" t="n"/>
      <c r="AP578" s="48" t="n"/>
      <c r="AQ578" s="48" t="n"/>
      <c r="AR578" s="48" t="n"/>
      <c r="AS578" s="48" t="n"/>
      <c r="AT578" s="48" t="n"/>
      <c r="AU578" s="48" t="n"/>
      <c r="AV578" s="48" t="n"/>
      <c r="AW578" s="48" t="n"/>
      <c r="AX578" s="48" t="n"/>
      <c r="AY578" s="48" t="n"/>
      <c r="AZ578" s="48" t="n"/>
      <c r="BA578" s="48" t="n"/>
      <c r="BB578" s="48" t="n"/>
      <c r="BC578" s="48" t="n"/>
      <c r="BD578" s="48" t="n"/>
      <c r="BE578" s="48" t="n"/>
      <c r="BF578" s="48" t="n"/>
      <c r="BG578" s="48" t="n"/>
      <c r="BH578" s="48" t="n"/>
      <c r="BI578" s="48" t="n"/>
      <c r="BJ578" s="48" t="n"/>
      <c r="BK578" s="48" t="n"/>
      <c r="BL578" s="48" t="n"/>
      <c r="BM578" s="48" t="n"/>
      <c r="BN578" s="48" t="n"/>
    </row>
    <row r="579">
      <c r="A579" s="47" t="n"/>
      <c r="B579" s="48" t="n"/>
      <c r="C579" s="48" t="n"/>
      <c r="D579" s="49" t="n"/>
      <c r="E579" s="48" t="n"/>
      <c r="F579" s="48" t="n"/>
      <c r="G579" s="50" t="n"/>
      <c r="H579" s="51" t="n"/>
      <c r="I579" s="51" t="n"/>
      <c r="J579" s="48" t="n"/>
      <c r="K579" s="52" t="n"/>
      <c r="L579" s="48" t="n"/>
      <c r="M579" s="48" t="n"/>
      <c r="N579" s="48" t="n"/>
      <c r="O579" s="48" t="n"/>
      <c r="P579" s="48" t="n"/>
      <c r="Q579" s="48" t="n"/>
      <c r="R579" s="48" t="n"/>
      <c r="S579" s="48" t="n"/>
      <c r="T579" s="48" t="n"/>
      <c r="U579" s="48" t="n"/>
      <c r="V579" s="48" t="n"/>
      <c r="W579" s="48" t="n"/>
      <c r="X579" s="48" t="n"/>
      <c r="Y579" s="48" t="n"/>
      <c r="Z579" s="48" t="n"/>
      <c r="AA579" s="48" t="n"/>
      <c r="AB579" s="48" t="n"/>
      <c r="AC579" s="48" t="n"/>
      <c r="AD579" s="48" t="n"/>
      <c r="AE579" s="48" t="n"/>
      <c r="AF579" s="48" t="n"/>
      <c r="AG579" s="48" t="n"/>
      <c r="AH579" s="48" t="n"/>
      <c r="AI579" s="48" t="n"/>
      <c r="AJ579" s="48" t="n"/>
      <c r="AK579" s="48" t="n"/>
      <c r="AL579" s="53" t="n"/>
      <c r="AM579" s="52" t="n"/>
      <c r="AN579" s="48" t="n"/>
      <c r="AO579" s="48" t="n"/>
      <c r="AP579" s="48" t="n"/>
      <c r="AQ579" s="48" t="n"/>
      <c r="AR579" s="48" t="n"/>
      <c r="AS579" s="48" t="n"/>
      <c r="AT579" s="48" t="n"/>
      <c r="AU579" s="48" t="n"/>
      <c r="AV579" s="48" t="n"/>
      <c r="AW579" s="48" t="n"/>
      <c r="AX579" s="48" t="n"/>
      <c r="AY579" s="48" t="n"/>
      <c r="AZ579" s="48" t="n"/>
      <c r="BA579" s="48" t="n"/>
      <c r="BB579" s="48" t="n"/>
      <c r="BC579" s="48" t="n"/>
      <c r="BD579" s="48" t="n"/>
      <c r="BE579" s="48" t="n"/>
      <c r="BF579" s="48" t="n"/>
      <c r="BG579" s="48" t="n"/>
      <c r="BH579" s="48" t="n"/>
      <c r="BI579" s="48" t="n"/>
      <c r="BJ579" s="48" t="n"/>
      <c r="BK579" s="48" t="n"/>
      <c r="BL579" s="48" t="n"/>
      <c r="BM579" s="48" t="n"/>
      <c r="BN579" s="48" t="n"/>
    </row>
    <row r="580">
      <c r="A580" s="47" t="n"/>
      <c r="B580" s="48" t="n"/>
      <c r="C580" s="48" t="n"/>
      <c r="D580" s="49" t="n"/>
      <c r="E580" s="48" t="n"/>
      <c r="F580" s="48" t="n"/>
      <c r="G580" s="50" t="n"/>
      <c r="H580" s="51" t="n"/>
      <c r="I580" s="51" t="n"/>
      <c r="J580" s="48" t="n"/>
      <c r="K580" s="52" t="n"/>
      <c r="L580" s="48" t="n"/>
      <c r="M580" s="48" t="n"/>
      <c r="N580" s="48" t="n"/>
      <c r="O580" s="48" t="n"/>
      <c r="P580" s="48" t="n"/>
      <c r="Q580" s="48" t="n"/>
      <c r="R580" s="48" t="n"/>
      <c r="S580" s="48" t="n"/>
      <c r="T580" s="48" t="n"/>
      <c r="U580" s="48" t="n"/>
      <c r="V580" s="48" t="n"/>
      <c r="W580" s="48" t="n"/>
      <c r="X580" s="48" t="n"/>
      <c r="Y580" s="48" t="n"/>
      <c r="Z580" s="48" t="n"/>
      <c r="AA580" s="48" t="n"/>
      <c r="AB580" s="48" t="n"/>
      <c r="AC580" s="48" t="n"/>
      <c r="AD580" s="48" t="n"/>
      <c r="AE580" s="48" t="n"/>
      <c r="AF580" s="48" t="n"/>
      <c r="AG580" s="48" t="n"/>
      <c r="AH580" s="48" t="n"/>
      <c r="AI580" s="48" t="n"/>
      <c r="AJ580" s="48" t="n"/>
      <c r="AK580" s="48" t="n"/>
      <c r="AL580" s="53" t="n"/>
      <c r="AM580" s="52" t="n"/>
      <c r="AN580" s="48" t="n"/>
      <c r="AO580" s="48" t="n"/>
      <c r="AP580" s="48" t="n"/>
      <c r="AQ580" s="48" t="n"/>
      <c r="AR580" s="48" t="n"/>
      <c r="AS580" s="48" t="n"/>
      <c r="AT580" s="48" t="n"/>
      <c r="AU580" s="48" t="n"/>
      <c r="AV580" s="48" t="n"/>
      <c r="AW580" s="48" t="n"/>
      <c r="AX580" s="48" t="n"/>
      <c r="AY580" s="48" t="n"/>
      <c r="AZ580" s="48" t="n"/>
      <c r="BA580" s="48" t="n"/>
      <c r="BB580" s="48" t="n"/>
      <c r="BC580" s="48" t="n"/>
      <c r="BD580" s="48" t="n"/>
      <c r="BE580" s="48" t="n"/>
      <c r="BF580" s="48" t="n"/>
      <c r="BG580" s="48" t="n"/>
      <c r="BH580" s="48" t="n"/>
      <c r="BI580" s="48" t="n"/>
      <c r="BJ580" s="48" t="n"/>
      <c r="BK580" s="48" t="n"/>
      <c r="BL580" s="48" t="n"/>
      <c r="BM580" s="48" t="n"/>
      <c r="BN580" s="48" t="n"/>
    </row>
    <row r="581">
      <c r="A581" s="47" t="n"/>
      <c r="B581" s="48" t="n"/>
      <c r="C581" s="48" t="n"/>
      <c r="D581" s="49" t="n"/>
      <c r="E581" s="48" t="n"/>
      <c r="F581" s="48" t="n"/>
      <c r="G581" s="50" t="n"/>
      <c r="H581" s="51" t="n"/>
      <c r="I581" s="51" t="n"/>
      <c r="J581" s="48" t="n"/>
      <c r="K581" s="52" t="n"/>
      <c r="L581" s="48" t="n"/>
      <c r="M581" s="48" t="n"/>
      <c r="N581" s="48" t="n"/>
      <c r="O581" s="48" t="n"/>
      <c r="P581" s="48" t="n"/>
      <c r="Q581" s="48" t="n"/>
      <c r="R581" s="48" t="n"/>
      <c r="S581" s="48" t="n"/>
      <c r="T581" s="48" t="n"/>
      <c r="U581" s="48" t="n"/>
      <c r="V581" s="48" t="n"/>
      <c r="W581" s="48" t="n"/>
      <c r="X581" s="48" t="n"/>
      <c r="Y581" s="48" t="n"/>
      <c r="Z581" s="48" t="n"/>
      <c r="AA581" s="48" t="n"/>
      <c r="AB581" s="48" t="n"/>
      <c r="AC581" s="48" t="n"/>
      <c r="AD581" s="48" t="n"/>
      <c r="AE581" s="48" t="n"/>
      <c r="AF581" s="48" t="n"/>
      <c r="AG581" s="48" t="n"/>
      <c r="AH581" s="48" t="n"/>
      <c r="AI581" s="48" t="n"/>
      <c r="AJ581" s="48" t="n"/>
      <c r="AK581" s="48" t="n"/>
      <c r="AL581" s="53" t="n"/>
      <c r="AM581" s="52" t="n"/>
      <c r="AN581" s="48" t="n"/>
      <c r="AO581" s="48" t="n"/>
      <c r="AP581" s="48" t="n"/>
      <c r="AQ581" s="48" t="n"/>
      <c r="AR581" s="48" t="n"/>
      <c r="AS581" s="48" t="n"/>
      <c r="AT581" s="48" t="n"/>
      <c r="AU581" s="48" t="n"/>
      <c r="AV581" s="48" t="n"/>
      <c r="AW581" s="48" t="n"/>
      <c r="AX581" s="48" t="n"/>
      <c r="AY581" s="48" t="n"/>
      <c r="AZ581" s="48" t="n"/>
      <c r="BA581" s="48" t="n"/>
      <c r="BB581" s="48" t="n"/>
      <c r="BC581" s="48" t="n"/>
      <c r="BD581" s="48" t="n"/>
      <c r="BE581" s="48" t="n"/>
      <c r="BF581" s="48" t="n"/>
      <c r="BG581" s="48" t="n"/>
      <c r="BH581" s="48" t="n"/>
      <c r="BI581" s="48" t="n"/>
      <c r="BJ581" s="48" t="n"/>
      <c r="BK581" s="48" t="n"/>
      <c r="BL581" s="48" t="n"/>
      <c r="BM581" s="48" t="n"/>
      <c r="BN581" s="48" t="n"/>
    </row>
    <row r="582">
      <c r="A582" s="47" t="n"/>
      <c r="B582" s="48" t="n"/>
      <c r="C582" s="48" t="n"/>
      <c r="D582" s="49" t="n"/>
      <c r="E582" s="48" t="n"/>
      <c r="F582" s="48" t="n"/>
      <c r="G582" s="50" t="n"/>
      <c r="H582" s="51" t="n"/>
      <c r="I582" s="51" t="n"/>
      <c r="J582" s="48" t="n"/>
      <c r="K582" s="52" t="n"/>
      <c r="L582" s="48" t="n"/>
      <c r="M582" s="48" t="n"/>
      <c r="N582" s="48" t="n"/>
      <c r="O582" s="48" t="n"/>
      <c r="P582" s="48" t="n"/>
      <c r="Q582" s="48" t="n"/>
      <c r="R582" s="48" t="n"/>
      <c r="S582" s="48" t="n"/>
      <c r="T582" s="48" t="n"/>
      <c r="U582" s="48" t="n"/>
      <c r="V582" s="48" t="n"/>
      <c r="W582" s="48" t="n"/>
      <c r="X582" s="48" t="n"/>
      <c r="Y582" s="48" t="n"/>
      <c r="Z582" s="48" t="n"/>
      <c r="AA582" s="48" t="n"/>
      <c r="AB582" s="48" t="n"/>
      <c r="AC582" s="48" t="n"/>
      <c r="AD582" s="48" t="n"/>
      <c r="AE582" s="48" t="n"/>
      <c r="AF582" s="48" t="n"/>
      <c r="AG582" s="48" t="n"/>
      <c r="AH582" s="48" t="n"/>
      <c r="AI582" s="48" t="n"/>
      <c r="AJ582" s="48" t="n"/>
      <c r="AK582" s="48" t="n"/>
      <c r="AL582" s="53" t="n"/>
      <c r="AM582" s="52" t="n"/>
      <c r="AN582" s="48" t="n"/>
      <c r="AO582" s="48" t="n"/>
      <c r="AP582" s="48" t="n"/>
      <c r="AQ582" s="48" t="n"/>
      <c r="AR582" s="48" t="n"/>
      <c r="AS582" s="48" t="n"/>
      <c r="AT582" s="48" t="n"/>
      <c r="AU582" s="48" t="n"/>
      <c r="AV582" s="48" t="n"/>
      <c r="AW582" s="48" t="n"/>
      <c r="AX582" s="48" t="n"/>
      <c r="AY582" s="48" t="n"/>
      <c r="AZ582" s="48" t="n"/>
      <c r="BA582" s="48" t="n"/>
      <c r="BB582" s="48" t="n"/>
      <c r="BC582" s="48" t="n"/>
      <c r="BD582" s="48" t="n"/>
      <c r="BE582" s="48" t="n"/>
      <c r="BF582" s="48" t="n"/>
      <c r="BG582" s="48" t="n"/>
      <c r="BH582" s="48" t="n"/>
      <c r="BI582" s="48" t="n"/>
      <c r="BJ582" s="48" t="n"/>
      <c r="BK582" s="48" t="n"/>
      <c r="BL582" s="48" t="n"/>
      <c r="BM582" s="48" t="n"/>
      <c r="BN582" s="48" t="n"/>
    </row>
    <row r="583">
      <c r="A583" s="47" t="n"/>
      <c r="B583" s="48" t="n"/>
      <c r="C583" s="48" t="n"/>
      <c r="D583" s="49" t="n"/>
      <c r="E583" s="48" t="n"/>
      <c r="F583" s="48" t="n"/>
      <c r="G583" s="50" t="n"/>
      <c r="H583" s="51" t="n"/>
      <c r="I583" s="51" t="n"/>
      <c r="J583" s="48" t="n"/>
      <c r="K583" s="52" t="n"/>
      <c r="L583" s="48" t="n"/>
      <c r="M583" s="48" t="n"/>
      <c r="N583" s="48" t="n"/>
      <c r="O583" s="48" t="n"/>
      <c r="P583" s="48" t="n"/>
      <c r="Q583" s="48" t="n"/>
      <c r="R583" s="48" t="n"/>
      <c r="S583" s="48" t="n"/>
      <c r="T583" s="48" t="n"/>
      <c r="U583" s="48" t="n"/>
      <c r="V583" s="48" t="n"/>
      <c r="W583" s="48" t="n"/>
      <c r="X583" s="48" t="n"/>
      <c r="Y583" s="48" t="n"/>
      <c r="Z583" s="48" t="n"/>
      <c r="AA583" s="48" t="n"/>
      <c r="AB583" s="48" t="n"/>
      <c r="AC583" s="48" t="n"/>
      <c r="AD583" s="48" t="n"/>
      <c r="AE583" s="48" t="n"/>
      <c r="AF583" s="48" t="n"/>
      <c r="AG583" s="48" t="n"/>
      <c r="AH583" s="48" t="n"/>
      <c r="AI583" s="48" t="n"/>
      <c r="AJ583" s="48" t="n"/>
      <c r="AK583" s="48" t="n"/>
      <c r="AL583" s="53" t="n"/>
      <c r="AM583" s="52" t="n"/>
      <c r="AN583" s="48" t="n"/>
      <c r="AO583" s="48" t="n"/>
      <c r="AP583" s="48" t="n"/>
      <c r="AQ583" s="48" t="n"/>
      <c r="AR583" s="48" t="n"/>
      <c r="AS583" s="48" t="n"/>
      <c r="AT583" s="48" t="n"/>
      <c r="AU583" s="48" t="n"/>
      <c r="AV583" s="48" t="n"/>
      <c r="AW583" s="48" t="n"/>
      <c r="AX583" s="48" t="n"/>
      <c r="AY583" s="48" t="n"/>
      <c r="AZ583" s="48" t="n"/>
      <c r="BA583" s="48" t="n"/>
      <c r="BB583" s="48" t="n"/>
      <c r="BC583" s="48" t="n"/>
      <c r="BD583" s="48" t="n"/>
      <c r="BE583" s="48" t="n"/>
      <c r="BF583" s="48" t="n"/>
      <c r="BG583" s="48" t="n"/>
      <c r="BH583" s="48" t="n"/>
      <c r="BI583" s="48" t="n"/>
      <c r="BJ583" s="48" t="n"/>
      <c r="BK583" s="48" t="n"/>
      <c r="BL583" s="48" t="n"/>
      <c r="BM583" s="48" t="n"/>
      <c r="BN583" s="48" t="n"/>
    </row>
    <row r="584">
      <c r="A584" s="47" t="n"/>
      <c r="B584" s="48" t="n"/>
      <c r="C584" s="48" t="n"/>
      <c r="D584" s="49" t="n"/>
      <c r="E584" s="48" t="n"/>
      <c r="F584" s="48" t="n"/>
      <c r="G584" s="50" t="n"/>
      <c r="H584" s="51" t="n"/>
      <c r="I584" s="51" t="n"/>
      <c r="J584" s="48" t="n"/>
      <c r="K584" s="52" t="n"/>
      <c r="L584" s="48" t="n"/>
      <c r="M584" s="48" t="n"/>
      <c r="N584" s="48" t="n"/>
      <c r="O584" s="48" t="n"/>
      <c r="P584" s="48" t="n"/>
      <c r="Q584" s="48" t="n"/>
      <c r="R584" s="48" t="n"/>
      <c r="S584" s="48" t="n"/>
      <c r="T584" s="48" t="n"/>
      <c r="U584" s="48" t="n"/>
      <c r="V584" s="48" t="n"/>
      <c r="W584" s="48" t="n"/>
      <c r="X584" s="48" t="n"/>
      <c r="Y584" s="48" t="n"/>
      <c r="Z584" s="48" t="n"/>
      <c r="AA584" s="48" t="n"/>
      <c r="AB584" s="48" t="n"/>
      <c r="AC584" s="48" t="n"/>
      <c r="AD584" s="48" t="n"/>
      <c r="AE584" s="48" t="n"/>
      <c r="AF584" s="48" t="n"/>
      <c r="AG584" s="48" t="n"/>
      <c r="AH584" s="48" t="n"/>
      <c r="AI584" s="48" t="n"/>
      <c r="AJ584" s="48" t="n"/>
      <c r="AK584" s="48" t="n"/>
      <c r="AL584" s="53" t="n"/>
      <c r="AM584" s="52" t="n"/>
      <c r="AN584" s="48" t="n"/>
      <c r="AO584" s="48" t="n"/>
      <c r="AP584" s="48" t="n"/>
      <c r="AQ584" s="48" t="n"/>
      <c r="AR584" s="48" t="n"/>
      <c r="AS584" s="48" t="n"/>
      <c r="AT584" s="48" t="n"/>
      <c r="AU584" s="48" t="n"/>
      <c r="AV584" s="48" t="n"/>
      <c r="AW584" s="48" t="n"/>
      <c r="AX584" s="48" t="n"/>
      <c r="AY584" s="48" t="n"/>
      <c r="AZ584" s="48" t="n"/>
      <c r="BA584" s="48" t="n"/>
      <c r="BB584" s="48" t="n"/>
      <c r="BC584" s="48" t="n"/>
      <c r="BD584" s="48" t="n"/>
      <c r="BE584" s="48" t="n"/>
      <c r="BF584" s="48" t="n"/>
      <c r="BG584" s="48" t="n"/>
      <c r="BH584" s="48" t="n"/>
      <c r="BI584" s="48" t="n"/>
      <c r="BJ584" s="48" t="n"/>
      <c r="BK584" s="48" t="n"/>
      <c r="BL584" s="48" t="n"/>
      <c r="BM584" s="48" t="n"/>
      <c r="BN584" s="48" t="n"/>
    </row>
    <row r="585">
      <c r="A585" s="47" t="n"/>
      <c r="B585" s="48" t="n"/>
      <c r="C585" s="48" t="n"/>
      <c r="D585" s="49" t="n"/>
      <c r="E585" s="48" t="n"/>
      <c r="F585" s="48" t="n"/>
      <c r="G585" s="50" t="n"/>
      <c r="H585" s="51" t="n"/>
      <c r="I585" s="51" t="n"/>
      <c r="J585" s="48" t="n"/>
      <c r="K585" s="52" t="n"/>
      <c r="L585" s="48" t="n"/>
      <c r="M585" s="48" t="n"/>
      <c r="N585" s="48" t="n"/>
      <c r="O585" s="48" t="n"/>
      <c r="P585" s="48" t="n"/>
      <c r="Q585" s="48" t="n"/>
      <c r="R585" s="48" t="n"/>
      <c r="S585" s="48" t="n"/>
      <c r="T585" s="48" t="n"/>
      <c r="U585" s="48" t="n"/>
      <c r="V585" s="48" t="n"/>
      <c r="W585" s="48" t="n"/>
      <c r="X585" s="48" t="n"/>
      <c r="Y585" s="48" t="n"/>
      <c r="Z585" s="48" t="n"/>
      <c r="AA585" s="48" t="n"/>
      <c r="AB585" s="48" t="n"/>
      <c r="AC585" s="48" t="n"/>
      <c r="AD585" s="48" t="n"/>
      <c r="AE585" s="48" t="n"/>
      <c r="AF585" s="48" t="n"/>
      <c r="AG585" s="48" t="n"/>
      <c r="AH585" s="48" t="n"/>
      <c r="AI585" s="48" t="n"/>
      <c r="AJ585" s="48" t="n"/>
      <c r="AK585" s="48" t="n"/>
      <c r="AL585" s="53" t="n"/>
      <c r="AM585" s="52" t="n"/>
      <c r="AN585" s="48" t="n"/>
      <c r="AO585" s="48" t="n"/>
      <c r="AP585" s="48" t="n"/>
      <c r="AQ585" s="48" t="n"/>
      <c r="AR585" s="48" t="n"/>
      <c r="AS585" s="48" t="n"/>
      <c r="AT585" s="48" t="n"/>
      <c r="AU585" s="48" t="n"/>
      <c r="AV585" s="48" t="n"/>
      <c r="AW585" s="48" t="n"/>
      <c r="AX585" s="48" t="n"/>
      <c r="AY585" s="48" t="n"/>
      <c r="AZ585" s="48" t="n"/>
      <c r="BA585" s="48" t="n"/>
      <c r="BB585" s="48" t="n"/>
      <c r="BC585" s="48" t="n"/>
      <c r="BD585" s="48" t="n"/>
      <c r="BE585" s="48" t="n"/>
      <c r="BF585" s="48" t="n"/>
      <c r="BG585" s="48" t="n"/>
      <c r="BH585" s="48" t="n"/>
      <c r="BI585" s="48" t="n"/>
      <c r="BJ585" s="48" t="n"/>
      <c r="BK585" s="48" t="n"/>
      <c r="BL585" s="48" t="n"/>
      <c r="BM585" s="48" t="n"/>
      <c r="BN585" s="48" t="n"/>
    </row>
    <row r="586">
      <c r="A586" s="47" t="n"/>
      <c r="B586" s="48" t="n"/>
      <c r="C586" s="48" t="n"/>
      <c r="D586" s="49" t="n"/>
      <c r="E586" s="48" t="n"/>
      <c r="F586" s="48" t="n"/>
      <c r="G586" s="50" t="n"/>
      <c r="H586" s="51" t="n"/>
      <c r="I586" s="51" t="n"/>
      <c r="J586" s="48" t="n"/>
      <c r="K586" s="52" t="n"/>
      <c r="L586" s="48" t="n"/>
      <c r="M586" s="48" t="n"/>
      <c r="N586" s="48" t="n"/>
      <c r="O586" s="48" t="n"/>
      <c r="P586" s="48" t="n"/>
      <c r="Q586" s="48" t="n"/>
      <c r="R586" s="48" t="n"/>
      <c r="S586" s="48" t="n"/>
      <c r="T586" s="48" t="n"/>
      <c r="U586" s="48" t="n"/>
      <c r="V586" s="48" t="n"/>
      <c r="W586" s="48" t="n"/>
      <c r="X586" s="48" t="n"/>
      <c r="Y586" s="48" t="n"/>
      <c r="Z586" s="48" t="n"/>
      <c r="AA586" s="48" t="n"/>
      <c r="AB586" s="48" t="n"/>
      <c r="AC586" s="48" t="n"/>
      <c r="AD586" s="48" t="n"/>
      <c r="AE586" s="48" t="n"/>
      <c r="AF586" s="48" t="n"/>
      <c r="AG586" s="48" t="n"/>
      <c r="AH586" s="48" t="n"/>
      <c r="AI586" s="48" t="n"/>
      <c r="AJ586" s="48" t="n"/>
      <c r="AK586" s="48" t="n"/>
      <c r="AL586" s="53" t="n"/>
      <c r="AM586" s="52" t="n"/>
      <c r="AN586" s="48" t="n"/>
      <c r="AO586" s="48" t="n"/>
      <c r="AP586" s="48" t="n"/>
      <c r="AQ586" s="48" t="n"/>
      <c r="AR586" s="48" t="n"/>
      <c r="AS586" s="48" t="n"/>
      <c r="AT586" s="48" t="n"/>
      <c r="AU586" s="48" t="n"/>
      <c r="AV586" s="48" t="n"/>
      <c r="AW586" s="48" t="n"/>
      <c r="AX586" s="48" t="n"/>
      <c r="AY586" s="48" t="n"/>
      <c r="AZ586" s="48" t="n"/>
      <c r="BA586" s="48" t="n"/>
      <c r="BB586" s="48" t="n"/>
      <c r="BC586" s="48" t="n"/>
      <c r="BD586" s="48" t="n"/>
      <c r="BE586" s="48" t="n"/>
      <c r="BF586" s="48" t="n"/>
      <c r="BG586" s="48" t="n"/>
      <c r="BH586" s="48" t="n"/>
      <c r="BI586" s="48" t="n"/>
      <c r="BJ586" s="48" t="n"/>
      <c r="BK586" s="48" t="n"/>
      <c r="BL586" s="48" t="n"/>
      <c r="BM586" s="48" t="n"/>
      <c r="BN586" s="48" t="n"/>
    </row>
    <row r="587">
      <c r="A587" s="47" t="n"/>
      <c r="B587" s="48" t="n"/>
      <c r="C587" s="48" t="n"/>
      <c r="D587" s="49" t="n"/>
      <c r="E587" s="48" t="n"/>
      <c r="F587" s="48" t="n"/>
      <c r="G587" s="50" t="n"/>
      <c r="H587" s="51" t="n"/>
      <c r="I587" s="51" t="n"/>
      <c r="J587" s="48" t="n"/>
      <c r="K587" s="52" t="n"/>
      <c r="L587" s="48" t="n"/>
      <c r="M587" s="48" t="n"/>
      <c r="N587" s="48" t="n"/>
      <c r="O587" s="48" t="n"/>
      <c r="P587" s="48" t="n"/>
      <c r="Q587" s="48" t="n"/>
      <c r="R587" s="48" t="n"/>
      <c r="S587" s="48" t="n"/>
      <c r="T587" s="48" t="n"/>
      <c r="U587" s="48" t="n"/>
      <c r="V587" s="48" t="n"/>
      <c r="W587" s="48" t="n"/>
      <c r="X587" s="48" t="n"/>
      <c r="Y587" s="48" t="n"/>
      <c r="Z587" s="48" t="n"/>
      <c r="AA587" s="48" t="n"/>
      <c r="AB587" s="48" t="n"/>
      <c r="AC587" s="48" t="n"/>
      <c r="AD587" s="48" t="n"/>
      <c r="AE587" s="48" t="n"/>
      <c r="AF587" s="48" t="n"/>
      <c r="AG587" s="48" t="n"/>
      <c r="AH587" s="48" t="n"/>
      <c r="AI587" s="48" t="n"/>
      <c r="AJ587" s="48" t="n"/>
      <c r="AK587" s="48" t="n"/>
      <c r="AL587" s="53" t="n"/>
      <c r="AM587" s="52" t="n"/>
      <c r="AN587" s="48" t="n"/>
      <c r="AO587" s="48" t="n"/>
      <c r="AP587" s="48" t="n"/>
      <c r="AQ587" s="48" t="n"/>
      <c r="AR587" s="48" t="n"/>
      <c r="AS587" s="48" t="n"/>
      <c r="AT587" s="48" t="n"/>
      <c r="AU587" s="48" t="n"/>
      <c r="AV587" s="48" t="n"/>
      <c r="AW587" s="48" t="n"/>
      <c r="AX587" s="48" t="n"/>
      <c r="AY587" s="48" t="n"/>
      <c r="AZ587" s="48" t="n"/>
      <c r="BA587" s="48" t="n"/>
      <c r="BB587" s="48" t="n"/>
      <c r="BC587" s="48" t="n"/>
      <c r="BD587" s="48" t="n"/>
      <c r="BE587" s="48" t="n"/>
      <c r="BF587" s="48" t="n"/>
      <c r="BG587" s="48" t="n"/>
      <c r="BH587" s="48" t="n"/>
      <c r="BI587" s="48" t="n"/>
      <c r="BJ587" s="48" t="n"/>
      <c r="BK587" s="48" t="n"/>
      <c r="BL587" s="48" t="n"/>
      <c r="BM587" s="48" t="n"/>
      <c r="BN587" s="48" t="n"/>
    </row>
    <row r="588">
      <c r="A588" s="47" t="n"/>
      <c r="B588" s="48" t="n"/>
      <c r="C588" s="48" t="n"/>
      <c r="D588" s="49" t="n"/>
      <c r="E588" s="48" t="n"/>
      <c r="F588" s="48" t="n"/>
      <c r="G588" s="50" t="n"/>
      <c r="H588" s="51" t="n"/>
      <c r="I588" s="51" t="n"/>
      <c r="J588" s="48" t="n"/>
      <c r="K588" s="52" t="n"/>
      <c r="L588" s="48" t="n"/>
      <c r="M588" s="48" t="n"/>
      <c r="N588" s="48" t="n"/>
      <c r="O588" s="48" t="n"/>
      <c r="P588" s="48" t="n"/>
      <c r="Q588" s="48" t="n"/>
      <c r="R588" s="48" t="n"/>
      <c r="S588" s="48" t="n"/>
      <c r="T588" s="48" t="n"/>
      <c r="U588" s="48" t="n"/>
      <c r="V588" s="48" t="n"/>
      <c r="W588" s="48" t="n"/>
      <c r="X588" s="48" t="n"/>
      <c r="Y588" s="48" t="n"/>
      <c r="Z588" s="48" t="n"/>
      <c r="AA588" s="48" t="n"/>
      <c r="AB588" s="48" t="n"/>
      <c r="AC588" s="48" t="n"/>
      <c r="AD588" s="48" t="n"/>
      <c r="AE588" s="48" t="n"/>
      <c r="AF588" s="48" t="n"/>
      <c r="AG588" s="48" t="n"/>
      <c r="AH588" s="48" t="n"/>
      <c r="AI588" s="48" t="n"/>
      <c r="AJ588" s="48" t="n"/>
      <c r="AK588" s="48" t="n"/>
      <c r="AL588" s="53" t="n"/>
      <c r="AM588" s="52" t="n"/>
      <c r="AN588" s="48" t="n"/>
      <c r="AO588" s="48" t="n"/>
      <c r="AP588" s="48" t="n"/>
      <c r="AQ588" s="48" t="n"/>
      <c r="AR588" s="48" t="n"/>
      <c r="AS588" s="48" t="n"/>
      <c r="AT588" s="48" t="n"/>
      <c r="AU588" s="48" t="n"/>
      <c r="AV588" s="48" t="n"/>
      <c r="AW588" s="48" t="n"/>
      <c r="AX588" s="48" t="n"/>
      <c r="AY588" s="48" t="n"/>
      <c r="AZ588" s="48" t="n"/>
      <c r="BA588" s="48" t="n"/>
      <c r="BB588" s="48" t="n"/>
      <c r="BC588" s="48" t="n"/>
      <c r="BD588" s="48" t="n"/>
      <c r="BE588" s="48" t="n"/>
      <c r="BF588" s="48" t="n"/>
      <c r="BG588" s="48" t="n"/>
      <c r="BH588" s="48" t="n"/>
      <c r="BI588" s="48" t="n"/>
      <c r="BJ588" s="48" t="n"/>
      <c r="BK588" s="48" t="n"/>
      <c r="BL588" s="48" t="n"/>
      <c r="BM588" s="48" t="n"/>
      <c r="BN588" s="48" t="n"/>
    </row>
    <row r="589">
      <c r="A589" s="47" t="n"/>
      <c r="B589" s="48" t="n"/>
      <c r="C589" s="48" t="n"/>
      <c r="D589" s="49" t="n"/>
      <c r="E589" s="48" t="n"/>
      <c r="F589" s="48" t="n"/>
      <c r="G589" s="50" t="n"/>
      <c r="H589" s="51" t="n"/>
      <c r="I589" s="51" t="n"/>
      <c r="J589" s="48" t="n"/>
      <c r="K589" s="52" t="n"/>
      <c r="L589" s="48" t="n"/>
      <c r="M589" s="48" t="n"/>
      <c r="N589" s="48" t="n"/>
      <c r="O589" s="48" t="n"/>
      <c r="P589" s="48" t="n"/>
      <c r="Q589" s="48" t="n"/>
      <c r="R589" s="48" t="n"/>
      <c r="S589" s="48" t="n"/>
      <c r="T589" s="48" t="n"/>
      <c r="U589" s="48" t="n"/>
      <c r="V589" s="48" t="n"/>
      <c r="W589" s="48" t="n"/>
      <c r="X589" s="48" t="n"/>
      <c r="Y589" s="48" t="n"/>
      <c r="Z589" s="48" t="n"/>
      <c r="AA589" s="48" t="n"/>
      <c r="AB589" s="48" t="n"/>
      <c r="AC589" s="48" t="n"/>
      <c r="AD589" s="48" t="n"/>
      <c r="AE589" s="48" t="n"/>
      <c r="AF589" s="48" t="n"/>
      <c r="AG589" s="48" t="n"/>
      <c r="AH589" s="48" t="n"/>
      <c r="AI589" s="48" t="n"/>
      <c r="AJ589" s="48" t="n"/>
      <c r="AK589" s="48" t="n"/>
      <c r="AL589" s="53" t="n"/>
      <c r="AM589" s="52" t="n"/>
      <c r="AN589" s="48" t="n"/>
      <c r="AO589" s="48" t="n"/>
      <c r="AP589" s="48" t="n"/>
      <c r="AQ589" s="48" t="n"/>
      <c r="AR589" s="48" t="n"/>
      <c r="AS589" s="48" t="n"/>
      <c r="AT589" s="48" t="n"/>
      <c r="AU589" s="48" t="n"/>
      <c r="AV589" s="48" t="n"/>
      <c r="AW589" s="48" t="n"/>
      <c r="AX589" s="48" t="n"/>
      <c r="AY589" s="48" t="n"/>
      <c r="AZ589" s="48" t="n"/>
      <c r="BA589" s="48" t="n"/>
      <c r="BB589" s="48" t="n"/>
      <c r="BC589" s="48" t="n"/>
      <c r="BD589" s="48" t="n"/>
      <c r="BE589" s="48" t="n"/>
      <c r="BF589" s="48" t="n"/>
      <c r="BG589" s="48" t="n"/>
      <c r="BH589" s="48" t="n"/>
      <c r="BI589" s="48" t="n"/>
      <c r="BJ589" s="48" t="n"/>
      <c r="BK589" s="48" t="n"/>
      <c r="BL589" s="48" t="n"/>
      <c r="BM589" s="48" t="n"/>
      <c r="BN589" s="48" t="n"/>
    </row>
    <row r="590">
      <c r="A590" s="47" t="n"/>
      <c r="B590" s="48" t="n"/>
      <c r="C590" s="48" t="n"/>
      <c r="D590" s="49" t="n"/>
      <c r="E590" s="48" t="n"/>
      <c r="F590" s="48" t="n"/>
      <c r="G590" s="50" t="n"/>
      <c r="H590" s="51" t="n"/>
      <c r="I590" s="51" t="n"/>
      <c r="J590" s="48" t="n"/>
      <c r="K590" s="52" t="n"/>
      <c r="L590" s="48" t="n"/>
      <c r="M590" s="48" t="n"/>
      <c r="N590" s="48" t="n"/>
      <c r="O590" s="48" t="n"/>
      <c r="P590" s="48" t="n"/>
      <c r="Q590" s="48" t="n"/>
      <c r="R590" s="48" t="n"/>
      <c r="S590" s="48" t="n"/>
      <c r="T590" s="48" t="n"/>
      <c r="U590" s="48" t="n"/>
      <c r="V590" s="48" t="n"/>
      <c r="W590" s="48" t="n"/>
      <c r="X590" s="48" t="n"/>
      <c r="Y590" s="48" t="n"/>
      <c r="Z590" s="48" t="n"/>
      <c r="AA590" s="48" t="n"/>
      <c r="AB590" s="48" t="n"/>
      <c r="AC590" s="48" t="n"/>
      <c r="AD590" s="48" t="n"/>
      <c r="AE590" s="48" t="n"/>
      <c r="AF590" s="48" t="n"/>
      <c r="AG590" s="48" t="n"/>
      <c r="AH590" s="48" t="n"/>
      <c r="AI590" s="48" t="n"/>
      <c r="AJ590" s="48" t="n"/>
      <c r="AK590" s="48" t="n"/>
      <c r="AL590" s="53" t="n"/>
      <c r="AM590" s="52" t="n"/>
      <c r="AN590" s="48" t="n"/>
      <c r="AO590" s="48" t="n"/>
      <c r="AP590" s="48" t="n"/>
      <c r="AQ590" s="48" t="n"/>
      <c r="AR590" s="48" t="n"/>
      <c r="AS590" s="48" t="n"/>
      <c r="AT590" s="48" t="n"/>
      <c r="AU590" s="48" t="n"/>
      <c r="AV590" s="48" t="n"/>
      <c r="AW590" s="48" t="n"/>
      <c r="AX590" s="48" t="n"/>
      <c r="AY590" s="48" t="n"/>
      <c r="AZ590" s="48" t="n"/>
      <c r="BA590" s="48" t="n"/>
      <c r="BB590" s="48" t="n"/>
      <c r="BC590" s="48" t="n"/>
      <c r="BD590" s="48" t="n"/>
      <c r="BE590" s="48" t="n"/>
      <c r="BF590" s="48" t="n"/>
      <c r="BG590" s="48" t="n"/>
      <c r="BH590" s="48" t="n"/>
      <c r="BI590" s="48" t="n"/>
      <c r="BJ590" s="48" t="n"/>
      <c r="BK590" s="48" t="n"/>
      <c r="BL590" s="48" t="n"/>
      <c r="BM590" s="48" t="n"/>
      <c r="BN590" s="48" t="n"/>
    </row>
    <row r="591">
      <c r="A591" s="47" t="n"/>
      <c r="B591" s="48" t="n"/>
      <c r="C591" s="48" t="n"/>
      <c r="D591" s="49" t="n"/>
      <c r="E591" s="48" t="n"/>
      <c r="F591" s="48" t="n"/>
      <c r="G591" s="50" t="n"/>
      <c r="H591" s="51" t="n"/>
      <c r="I591" s="51" t="n"/>
      <c r="J591" s="48" t="n"/>
      <c r="K591" s="52" t="n"/>
      <c r="L591" s="48" t="n"/>
      <c r="M591" s="48" t="n"/>
      <c r="N591" s="48" t="n"/>
      <c r="O591" s="48" t="n"/>
      <c r="P591" s="48" t="n"/>
      <c r="Q591" s="48" t="n"/>
      <c r="R591" s="48" t="n"/>
      <c r="S591" s="48" t="n"/>
      <c r="T591" s="48" t="n"/>
      <c r="U591" s="48" t="n"/>
      <c r="V591" s="48" t="n"/>
      <c r="W591" s="48" t="n"/>
      <c r="X591" s="48" t="n"/>
      <c r="Y591" s="48" t="n"/>
      <c r="Z591" s="48" t="n"/>
      <c r="AA591" s="48" t="n"/>
      <c r="AB591" s="48" t="n"/>
      <c r="AC591" s="48" t="n"/>
      <c r="AD591" s="48" t="n"/>
      <c r="AE591" s="48" t="n"/>
      <c r="AF591" s="48" t="n"/>
      <c r="AG591" s="48" t="n"/>
      <c r="AH591" s="48" t="n"/>
      <c r="AI591" s="48" t="n"/>
      <c r="AJ591" s="48" t="n"/>
      <c r="AK591" s="48" t="n"/>
      <c r="AL591" s="53" t="n"/>
      <c r="AM591" s="52" t="n"/>
      <c r="AN591" s="48" t="n"/>
      <c r="AO591" s="48" t="n"/>
      <c r="AP591" s="48" t="n"/>
      <c r="AQ591" s="48" t="n"/>
      <c r="AR591" s="48" t="n"/>
      <c r="AS591" s="48" t="n"/>
      <c r="AT591" s="48" t="n"/>
      <c r="AU591" s="48" t="n"/>
      <c r="AV591" s="48" t="n"/>
      <c r="AW591" s="48" t="n"/>
      <c r="AX591" s="48" t="n"/>
      <c r="AY591" s="48" t="n"/>
      <c r="AZ591" s="48" t="n"/>
      <c r="BA591" s="48" t="n"/>
      <c r="BB591" s="48" t="n"/>
      <c r="BC591" s="48" t="n"/>
      <c r="BD591" s="48" t="n"/>
      <c r="BE591" s="48" t="n"/>
      <c r="BF591" s="48" t="n"/>
      <c r="BG591" s="48" t="n"/>
      <c r="BH591" s="48" t="n"/>
      <c r="BI591" s="48" t="n"/>
      <c r="BJ591" s="48" t="n"/>
      <c r="BK591" s="48" t="n"/>
      <c r="BL591" s="48" t="n"/>
      <c r="BM591" s="48" t="n"/>
      <c r="BN591" s="48" t="n"/>
    </row>
    <row r="592">
      <c r="A592" s="47" t="n"/>
      <c r="B592" s="48" t="n"/>
      <c r="C592" s="48" t="n"/>
      <c r="D592" s="49" t="n"/>
      <c r="E592" s="48" t="n"/>
      <c r="F592" s="48" t="n"/>
      <c r="G592" s="50" t="n"/>
      <c r="H592" s="51" t="n"/>
      <c r="I592" s="51" t="n"/>
      <c r="J592" s="48" t="n"/>
      <c r="K592" s="52" t="n"/>
      <c r="L592" s="48" t="n"/>
      <c r="M592" s="48" t="n"/>
      <c r="N592" s="48" t="n"/>
      <c r="O592" s="48" t="n"/>
      <c r="P592" s="48" t="n"/>
      <c r="Q592" s="48" t="n"/>
      <c r="R592" s="48" t="n"/>
      <c r="S592" s="48" t="n"/>
      <c r="T592" s="48" t="n"/>
      <c r="U592" s="48" t="n"/>
      <c r="V592" s="48" t="n"/>
      <c r="W592" s="48" t="n"/>
      <c r="X592" s="48" t="n"/>
      <c r="Y592" s="48" t="n"/>
      <c r="Z592" s="48" t="n"/>
      <c r="AA592" s="48" t="n"/>
      <c r="AB592" s="48" t="n"/>
      <c r="AC592" s="48" t="n"/>
      <c r="AD592" s="48" t="n"/>
      <c r="AE592" s="48" t="n"/>
      <c r="AF592" s="48" t="n"/>
      <c r="AG592" s="48" t="n"/>
      <c r="AH592" s="48" t="n"/>
      <c r="AI592" s="48" t="n"/>
      <c r="AJ592" s="48" t="n"/>
      <c r="AK592" s="48" t="n"/>
      <c r="AL592" s="53" t="n"/>
      <c r="AM592" s="52" t="n"/>
      <c r="AN592" s="48" t="n"/>
      <c r="AO592" s="48" t="n"/>
      <c r="AP592" s="48" t="n"/>
      <c r="AQ592" s="48" t="n"/>
      <c r="AR592" s="48" t="n"/>
      <c r="AS592" s="48" t="n"/>
      <c r="AT592" s="48" t="n"/>
      <c r="AU592" s="48" t="n"/>
      <c r="AV592" s="48" t="n"/>
      <c r="AW592" s="48" t="n"/>
      <c r="AX592" s="48" t="n"/>
      <c r="AY592" s="48" t="n"/>
      <c r="AZ592" s="48" t="n"/>
      <c r="BA592" s="48" t="n"/>
      <c r="BB592" s="48" t="n"/>
      <c r="BC592" s="48" t="n"/>
      <c r="BD592" s="48" t="n"/>
      <c r="BE592" s="48" t="n"/>
      <c r="BF592" s="48" t="n"/>
      <c r="BG592" s="48" t="n"/>
      <c r="BH592" s="48" t="n"/>
      <c r="BI592" s="48" t="n"/>
      <c r="BJ592" s="48" t="n"/>
      <c r="BK592" s="48" t="n"/>
      <c r="BL592" s="48" t="n"/>
      <c r="BM592" s="48" t="n"/>
      <c r="BN592" s="48" t="n"/>
    </row>
    <row r="593">
      <c r="A593" s="47" t="n"/>
      <c r="B593" s="48" t="n"/>
      <c r="C593" s="48" t="n"/>
      <c r="D593" s="49" t="n"/>
      <c r="E593" s="48" t="n"/>
      <c r="F593" s="48" t="n"/>
      <c r="G593" s="50" t="n"/>
      <c r="H593" s="51" t="n"/>
      <c r="I593" s="51" t="n"/>
      <c r="J593" s="48" t="n"/>
      <c r="K593" s="52" t="n"/>
      <c r="L593" s="48" t="n"/>
      <c r="M593" s="48" t="n"/>
      <c r="N593" s="48" t="n"/>
      <c r="O593" s="48" t="n"/>
      <c r="P593" s="48" t="n"/>
      <c r="Q593" s="48" t="n"/>
      <c r="R593" s="48" t="n"/>
      <c r="S593" s="48" t="n"/>
      <c r="T593" s="48" t="n"/>
      <c r="U593" s="48" t="n"/>
      <c r="V593" s="48" t="n"/>
      <c r="W593" s="48" t="n"/>
      <c r="X593" s="48" t="n"/>
      <c r="Y593" s="48" t="n"/>
      <c r="Z593" s="48" t="n"/>
      <c r="AA593" s="48" t="n"/>
      <c r="AB593" s="48" t="n"/>
      <c r="AC593" s="48" t="n"/>
      <c r="AD593" s="48" t="n"/>
      <c r="AE593" s="48" t="n"/>
      <c r="AF593" s="48" t="n"/>
      <c r="AG593" s="48" t="n"/>
      <c r="AH593" s="48" t="n"/>
      <c r="AI593" s="48" t="n"/>
      <c r="AJ593" s="48" t="n"/>
      <c r="AK593" s="48" t="n"/>
      <c r="AL593" s="53" t="n"/>
      <c r="AM593" s="52" t="n"/>
      <c r="AN593" s="48" t="n"/>
      <c r="AO593" s="48" t="n"/>
      <c r="AP593" s="48" t="n"/>
      <c r="AQ593" s="48" t="n"/>
      <c r="AR593" s="48" t="n"/>
      <c r="AS593" s="48" t="n"/>
      <c r="AT593" s="48" t="n"/>
      <c r="AU593" s="48" t="n"/>
      <c r="AV593" s="48" t="n"/>
      <c r="AW593" s="48" t="n"/>
      <c r="AX593" s="48" t="n"/>
      <c r="AY593" s="48" t="n"/>
      <c r="AZ593" s="48" t="n"/>
      <c r="BA593" s="48" t="n"/>
      <c r="BB593" s="48" t="n"/>
      <c r="BC593" s="48" t="n"/>
      <c r="BD593" s="48" t="n"/>
      <c r="BE593" s="48" t="n"/>
      <c r="BF593" s="48" t="n"/>
      <c r="BG593" s="48" t="n"/>
      <c r="BH593" s="48" t="n"/>
      <c r="BI593" s="48" t="n"/>
      <c r="BJ593" s="48" t="n"/>
      <c r="BK593" s="48" t="n"/>
      <c r="BL593" s="48" t="n"/>
      <c r="BM593" s="48" t="n"/>
      <c r="BN593" s="48" t="n"/>
    </row>
    <row r="594">
      <c r="A594" s="47" t="n"/>
      <c r="B594" s="48" t="n"/>
      <c r="C594" s="48" t="n"/>
      <c r="D594" s="49" t="n"/>
      <c r="E594" s="48" t="n"/>
      <c r="F594" s="48" t="n"/>
      <c r="G594" s="50" t="n"/>
      <c r="H594" s="51" t="n"/>
      <c r="I594" s="51" t="n"/>
      <c r="J594" s="48" t="n"/>
      <c r="K594" s="52" t="n"/>
      <c r="L594" s="48" t="n"/>
      <c r="M594" s="48" t="n"/>
      <c r="N594" s="48" t="n"/>
      <c r="O594" s="48" t="n"/>
      <c r="P594" s="48" t="n"/>
      <c r="Q594" s="48" t="n"/>
      <c r="R594" s="48" t="n"/>
      <c r="S594" s="48" t="n"/>
      <c r="T594" s="48" t="n"/>
      <c r="U594" s="48" t="n"/>
      <c r="V594" s="48" t="n"/>
      <c r="W594" s="48" t="n"/>
      <c r="X594" s="48" t="n"/>
      <c r="Y594" s="48" t="n"/>
      <c r="Z594" s="48" t="n"/>
      <c r="AA594" s="48" t="n"/>
      <c r="AB594" s="48" t="n"/>
      <c r="AC594" s="48" t="n"/>
      <c r="AD594" s="48" t="n"/>
      <c r="AE594" s="48" t="n"/>
      <c r="AF594" s="48" t="n"/>
      <c r="AG594" s="48" t="n"/>
      <c r="AH594" s="48" t="n"/>
      <c r="AI594" s="48" t="n"/>
      <c r="AJ594" s="48" t="n"/>
      <c r="AK594" s="48" t="n"/>
      <c r="AL594" s="53" t="n"/>
      <c r="AM594" s="52" t="n"/>
      <c r="AN594" s="48" t="n"/>
      <c r="AO594" s="48" t="n"/>
      <c r="AP594" s="48" t="n"/>
      <c r="AQ594" s="48" t="n"/>
      <c r="AR594" s="48" t="n"/>
      <c r="AS594" s="48" t="n"/>
      <c r="AT594" s="48" t="n"/>
      <c r="AU594" s="48" t="n"/>
      <c r="AV594" s="48" t="n"/>
      <c r="AW594" s="48" t="n"/>
      <c r="AX594" s="48" t="n"/>
      <c r="AY594" s="48" t="n"/>
      <c r="AZ594" s="48" t="n"/>
      <c r="BA594" s="48" t="n"/>
      <c r="BB594" s="48" t="n"/>
      <c r="BC594" s="48" t="n"/>
      <c r="BD594" s="48" t="n"/>
      <c r="BE594" s="48" t="n"/>
      <c r="BF594" s="48" t="n"/>
      <c r="BG594" s="48" t="n"/>
      <c r="BH594" s="48" t="n"/>
      <c r="BI594" s="48" t="n"/>
      <c r="BJ594" s="48" t="n"/>
      <c r="BK594" s="48" t="n"/>
      <c r="BL594" s="48" t="n"/>
      <c r="BM594" s="48" t="n"/>
      <c r="BN594" s="48" t="n"/>
    </row>
    <row r="595">
      <c r="A595" s="47" t="n"/>
      <c r="B595" s="48" t="n"/>
      <c r="C595" s="48" t="n"/>
      <c r="D595" s="49" t="n"/>
      <c r="E595" s="48" t="n"/>
      <c r="F595" s="48" t="n"/>
      <c r="G595" s="50" t="n"/>
      <c r="H595" s="51" t="n"/>
      <c r="I595" s="51" t="n"/>
      <c r="J595" s="48" t="n"/>
      <c r="K595" s="52" t="n"/>
      <c r="L595" s="48" t="n"/>
      <c r="M595" s="48" t="n"/>
      <c r="N595" s="48" t="n"/>
      <c r="O595" s="48" t="n"/>
      <c r="P595" s="48" t="n"/>
      <c r="Q595" s="48" t="n"/>
      <c r="R595" s="48" t="n"/>
      <c r="S595" s="48" t="n"/>
      <c r="T595" s="48" t="n"/>
      <c r="U595" s="48" t="n"/>
      <c r="V595" s="48" t="n"/>
      <c r="W595" s="48" t="n"/>
      <c r="X595" s="48" t="n"/>
      <c r="Y595" s="48" t="n"/>
      <c r="Z595" s="48" t="n"/>
      <c r="AA595" s="48" t="n"/>
      <c r="AB595" s="48" t="n"/>
      <c r="AC595" s="48" t="n"/>
      <c r="AD595" s="48" t="n"/>
      <c r="AE595" s="48" t="n"/>
      <c r="AF595" s="48" t="n"/>
      <c r="AG595" s="48" t="n"/>
      <c r="AH595" s="48" t="n"/>
      <c r="AI595" s="48" t="n"/>
      <c r="AJ595" s="48" t="n"/>
      <c r="AK595" s="48" t="n"/>
      <c r="AL595" s="53" t="n"/>
      <c r="AM595" s="52" t="n"/>
      <c r="AN595" s="48" t="n"/>
      <c r="AO595" s="48" t="n"/>
      <c r="AP595" s="48" t="n"/>
      <c r="AQ595" s="48" t="n"/>
      <c r="AR595" s="48" t="n"/>
      <c r="AS595" s="48" t="n"/>
      <c r="AT595" s="48" t="n"/>
      <c r="AU595" s="48" t="n"/>
      <c r="AV595" s="48" t="n"/>
      <c r="AW595" s="48" t="n"/>
      <c r="AX595" s="48" t="n"/>
      <c r="AY595" s="48" t="n"/>
      <c r="AZ595" s="48" t="n"/>
      <c r="BA595" s="48" t="n"/>
      <c r="BB595" s="48" t="n"/>
      <c r="BC595" s="48" t="n"/>
      <c r="BD595" s="48" t="n"/>
      <c r="BE595" s="48" t="n"/>
      <c r="BF595" s="48" t="n"/>
      <c r="BG595" s="48" t="n"/>
      <c r="BH595" s="48" t="n"/>
      <c r="BI595" s="48" t="n"/>
      <c r="BJ595" s="48" t="n"/>
      <c r="BK595" s="48" t="n"/>
      <c r="BL595" s="48" t="n"/>
      <c r="BM595" s="48" t="n"/>
      <c r="BN595" s="48" t="n"/>
    </row>
    <row r="596">
      <c r="A596" s="47" t="n"/>
      <c r="B596" s="48" t="n"/>
      <c r="C596" s="48" t="n"/>
      <c r="D596" s="49" t="n"/>
      <c r="E596" s="48" t="n"/>
      <c r="F596" s="48" t="n"/>
      <c r="G596" s="50" t="n"/>
      <c r="H596" s="51" t="n"/>
      <c r="I596" s="51" t="n"/>
      <c r="J596" s="48" t="n"/>
      <c r="K596" s="52" t="n"/>
      <c r="L596" s="48" t="n"/>
      <c r="M596" s="48" t="n"/>
      <c r="N596" s="48" t="n"/>
      <c r="O596" s="48" t="n"/>
      <c r="P596" s="48" t="n"/>
      <c r="Q596" s="48" t="n"/>
      <c r="R596" s="48" t="n"/>
      <c r="S596" s="48" t="n"/>
      <c r="T596" s="48" t="n"/>
      <c r="U596" s="48" t="n"/>
      <c r="V596" s="48" t="n"/>
      <c r="W596" s="48" t="n"/>
      <c r="X596" s="48" t="n"/>
      <c r="Y596" s="48" t="n"/>
      <c r="Z596" s="48" t="n"/>
      <c r="AA596" s="48" t="n"/>
      <c r="AB596" s="48" t="n"/>
      <c r="AC596" s="48" t="n"/>
      <c r="AD596" s="48" t="n"/>
      <c r="AE596" s="48" t="n"/>
      <c r="AF596" s="48" t="n"/>
      <c r="AG596" s="48" t="n"/>
      <c r="AH596" s="48" t="n"/>
      <c r="AI596" s="48" t="n"/>
      <c r="AJ596" s="48" t="n"/>
      <c r="AK596" s="48" t="n"/>
      <c r="AL596" s="53" t="n"/>
      <c r="AM596" s="52" t="n"/>
      <c r="AN596" s="48" t="n"/>
      <c r="AO596" s="48" t="n"/>
      <c r="AP596" s="48" t="n"/>
      <c r="AQ596" s="48" t="n"/>
      <c r="AR596" s="48" t="n"/>
      <c r="AS596" s="48" t="n"/>
      <c r="AT596" s="48" t="n"/>
      <c r="AU596" s="48" t="n"/>
      <c r="AV596" s="48" t="n"/>
      <c r="AW596" s="48" t="n"/>
      <c r="AX596" s="48" t="n"/>
      <c r="AY596" s="48" t="n"/>
      <c r="AZ596" s="48" t="n"/>
      <c r="BA596" s="48" t="n"/>
      <c r="BB596" s="48" t="n"/>
      <c r="BC596" s="48" t="n"/>
      <c r="BD596" s="48" t="n"/>
      <c r="BE596" s="48" t="n"/>
      <c r="BF596" s="48" t="n"/>
      <c r="BG596" s="48" t="n"/>
      <c r="BH596" s="48" t="n"/>
      <c r="BI596" s="48" t="n"/>
      <c r="BJ596" s="48" t="n"/>
      <c r="BK596" s="48" t="n"/>
      <c r="BL596" s="48" t="n"/>
      <c r="BM596" s="48" t="n"/>
      <c r="BN596" s="48" t="n"/>
    </row>
    <row r="597">
      <c r="A597" s="47" t="n"/>
      <c r="B597" s="48" t="n"/>
      <c r="C597" s="48" t="n"/>
      <c r="D597" s="49" t="n"/>
      <c r="E597" s="48" t="n"/>
      <c r="F597" s="48" t="n"/>
      <c r="G597" s="50" t="n"/>
      <c r="H597" s="51" t="n"/>
      <c r="I597" s="51" t="n"/>
      <c r="J597" s="48" t="n"/>
      <c r="K597" s="52" t="n"/>
      <c r="L597" s="48" t="n"/>
      <c r="M597" s="48" t="n"/>
      <c r="N597" s="48" t="n"/>
      <c r="O597" s="48" t="n"/>
      <c r="P597" s="48" t="n"/>
      <c r="Q597" s="48" t="n"/>
      <c r="R597" s="48" t="n"/>
      <c r="S597" s="48" t="n"/>
      <c r="T597" s="48" t="n"/>
      <c r="U597" s="48" t="n"/>
      <c r="V597" s="48" t="n"/>
      <c r="W597" s="48" t="n"/>
      <c r="X597" s="48" t="n"/>
      <c r="Y597" s="48" t="n"/>
      <c r="Z597" s="48" t="n"/>
      <c r="AA597" s="48" t="n"/>
      <c r="AB597" s="48" t="n"/>
      <c r="AC597" s="48" t="n"/>
      <c r="AD597" s="48" t="n"/>
      <c r="AE597" s="48" t="n"/>
      <c r="AF597" s="48" t="n"/>
      <c r="AG597" s="48" t="n"/>
      <c r="AH597" s="48" t="n"/>
      <c r="AI597" s="48" t="n"/>
      <c r="AJ597" s="48" t="n"/>
      <c r="AK597" s="48" t="n"/>
      <c r="AL597" s="53" t="n"/>
      <c r="AM597" s="52" t="n"/>
      <c r="AN597" s="48" t="n"/>
      <c r="AO597" s="48" t="n"/>
      <c r="AP597" s="48" t="n"/>
      <c r="AQ597" s="48" t="n"/>
      <c r="AR597" s="48" t="n"/>
      <c r="AS597" s="48" t="n"/>
      <c r="AT597" s="48" t="n"/>
      <c r="AU597" s="48" t="n"/>
      <c r="AV597" s="48" t="n"/>
      <c r="AW597" s="48" t="n"/>
      <c r="AX597" s="48" t="n"/>
      <c r="AY597" s="48" t="n"/>
      <c r="AZ597" s="48" t="n"/>
      <c r="BA597" s="48" t="n"/>
      <c r="BB597" s="48" t="n"/>
      <c r="BC597" s="48" t="n"/>
      <c r="BD597" s="48" t="n"/>
      <c r="BE597" s="48" t="n"/>
      <c r="BF597" s="48" t="n"/>
      <c r="BG597" s="48" t="n"/>
      <c r="BH597" s="48" t="n"/>
      <c r="BI597" s="48" t="n"/>
      <c r="BJ597" s="48" t="n"/>
      <c r="BK597" s="48" t="n"/>
      <c r="BL597" s="48" t="n"/>
      <c r="BM597" s="48" t="n"/>
      <c r="BN597" s="48" t="n"/>
    </row>
    <row r="598">
      <c r="A598" s="47" t="n"/>
      <c r="B598" s="48" t="n"/>
      <c r="C598" s="48" t="n"/>
      <c r="D598" s="49" t="n"/>
      <c r="E598" s="48" t="n"/>
      <c r="F598" s="48" t="n"/>
      <c r="G598" s="50" t="n"/>
      <c r="H598" s="51" t="n"/>
      <c r="I598" s="51" t="n"/>
      <c r="J598" s="48" t="n"/>
      <c r="K598" s="52" t="n"/>
      <c r="L598" s="48" t="n"/>
      <c r="M598" s="48" t="n"/>
      <c r="N598" s="48" t="n"/>
      <c r="O598" s="48" t="n"/>
      <c r="P598" s="48" t="n"/>
      <c r="Q598" s="48" t="n"/>
      <c r="R598" s="48" t="n"/>
      <c r="S598" s="48" t="n"/>
      <c r="T598" s="48" t="n"/>
      <c r="U598" s="48" t="n"/>
      <c r="V598" s="48" t="n"/>
      <c r="W598" s="48" t="n"/>
      <c r="X598" s="48" t="n"/>
      <c r="Y598" s="48" t="n"/>
      <c r="Z598" s="48" t="n"/>
      <c r="AA598" s="48" t="n"/>
      <c r="AB598" s="48" t="n"/>
      <c r="AC598" s="48" t="n"/>
      <c r="AD598" s="48" t="n"/>
      <c r="AE598" s="48" t="n"/>
      <c r="AF598" s="48" t="n"/>
      <c r="AG598" s="48" t="n"/>
      <c r="AH598" s="48" t="n"/>
      <c r="AI598" s="48" t="n"/>
      <c r="AJ598" s="48" t="n"/>
      <c r="AK598" s="48" t="n"/>
      <c r="AL598" s="53" t="n"/>
      <c r="AM598" s="52" t="n"/>
      <c r="AN598" s="48" t="n"/>
      <c r="AO598" s="48" t="n"/>
      <c r="AP598" s="48" t="n"/>
      <c r="AQ598" s="48" t="n"/>
      <c r="AR598" s="48" t="n"/>
      <c r="AS598" s="48" t="n"/>
      <c r="AT598" s="48" t="n"/>
      <c r="AU598" s="48" t="n"/>
      <c r="AV598" s="48" t="n"/>
      <c r="AW598" s="48" t="n"/>
      <c r="AX598" s="48" t="n"/>
      <c r="AY598" s="48" t="n"/>
      <c r="AZ598" s="48" t="n"/>
      <c r="BA598" s="48" t="n"/>
      <c r="BB598" s="48" t="n"/>
      <c r="BC598" s="48" t="n"/>
      <c r="BD598" s="48" t="n"/>
      <c r="BE598" s="48" t="n"/>
      <c r="BF598" s="48" t="n"/>
      <c r="BG598" s="48" t="n"/>
      <c r="BH598" s="48" t="n"/>
      <c r="BI598" s="48" t="n"/>
      <c r="BJ598" s="48" t="n"/>
      <c r="BK598" s="48" t="n"/>
      <c r="BL598" s="48" t="n"/>
      <c r="BM598" s="48" t="n"/>
      <c r="BN598" s="48" t="n"/>
    </row>
    <row r="599">
      <c r="A599" s="47" t="n"/>
      <c r="B599" s="48" t="n"/>
      <c r="C599" s="48" t="n"/>
      <c r="D599" s="49" t="n"/>
      <c r="E599" s="48" t="n"/>
      <c r="F599" s="48" t="n"/>
      <c r="G599" s="50" t="n"/>
      <c r="H599" s="51" t="n"/>
      <c r="I599" s="51" t="n"/>
      <c r="J599" s="48" t="n"/>
      <c r="K599" s="52" t="n"/>
      <c r="L599" s="48" t="n"/>
      <c r="M599" s="48" t="n"/>
      <c r="N599" s="48" t="n"/>
      <c r="O599" s="48" t="n"/>
      <c r="P599" s="48" t="n"/>
      <c r="Q599" s="48" t="n"/>
      <c r="R599" s="48" t="n"/>
      <c r="S599" s="48" t="n"/>
      <c r="T599" s="48" t="n"/>
      <c r="U599" s="48" t="n"/>
      <c r="V599" s="48" t="n"/>
      <c r="W599" s="48" t="n"/>
      <c r="X599" s="48" t="n"/>
      <c r="Y599" s="48" t="n"/>
      <c r="Z599" s="48" t="n"/>
      <c r="AA599" s="48" t="n"/>
      <c r="AB599" s="48" t="n"/>
      <c r="AC599" s="48" t="n"/>
      <c r="AD599" s="48" t="n"/>
      <c r="AE599" s="48" t="n"/>
      <c r="AF599" s="48" t="n"/>
      <c r="AG599" s="48" t="n"/>
      <c r="AH599" s="48" t="n"/>
      <c r="AI599" s="48" t="n"/>
      <c r="AJ599" s="48" t="n"/>
      <c r="AK599" s="48" t="n"/>
      <c r="AL599" s="53" t="n"/>
      <c r="AM599" s="52" t="n"/>
      <c r="AN599" s="48" t="n"/>
      <c r="AO599" s="48" t="n"/>
      <c r="AP599" s="48" t="n"/>
      <c r="AQ599" s="48" t="n"/>
      <c r="AR599" s="48" t="n"/>
      <c r="AS599" s="48" t="n"/>
      <c r="AT599" s="48" t="n"/>
      <c r="AU599" s="48" t="n"/>
      <c r="AV599" s="48" t="n"/>
      <c r="AW599" s="48" t="n"/>
      <c r="AX599" s="48" t="n"/>
      <c r="AY599" s="48" t="n"/>
      <c r="AZ599" s="48" t="n"/>
      <c r="BA599" s="48" t="n"/>
      <c r="BB599" s="48" t="n"/>
      <c r="BC599" s="48" t="n"/>
      <c r="BD599" s="48" t="n"/>
      <c r="BE599" s="48" t="n"/>
      <c r="BF599" s="48" t="n"/>
      <c r="BG599" s="48" t="n"/>
      <c r="BH599" s="48" t="n"/>
      <c r="BI599" s="48" t="n"/>
      <c r="BJ599" s="48" t="n"/>
      <c r="BK599" s="48" t="n"/>
      <c r="BL599" s="48" t="n"/>
      <c r="BM599" s="48" t="n"/>
      <c r="BN599" s="48" t="n"/>
    </row>
    <row r="600">
      <c r="A600" s="47" t="n"/>
      <c r="B600" s="48" t="n"/>
      <c r="C600" s="48" t="n"/>
      <c r="D600" s="49" t="n"/>
      <c r="E600" s="48" t="n"/>
      <c r="F600" s="48" t="n"/>
      <c r="G600" s="50" t="n"/>
      <c r="H600" s="51" t="n"/>
      <c r="I600" s="51" t="n"/>
      <c r="J600" s="48" t="n"/>
      <c r="K600" s="52" t="n"/>
      <c r="L600" s="48" t="n"/>
      <c r="M600" s="48" t="n"/>
      <c r="N600" s="48" t="n"/>
      <c r="O600" s="48" t="n"/>
      <c r="P600" s="48" t="n"/>
      <c r="Q600" s="48" t="n"/>
      <c r="R600" s="48" t="n"/>
      <c r="S600" s="48" t="n"/>
      <c r="T600" s="48" t="n"/>
      <c r="U600" s="48" t="n"/>
      <c r="V600" s="48" t="n"/>
      <c r="W600" s="48" t="n"/>
      <c r="X600" s="48" t="n"/>
      <c r="Y600" s="48" t="n"/>
      <c r="Z600" s="48" t="n"/>
      <c r="AA600" s="48" t="n"/>
      <c r="AB600" s="48" t="n"/>
      <c r="AC600" s="48" t="n"/>
      <c r="AD600" s="48" t="n"/>
      <c r="AE600" s="48" t="n"/>
      <c r="AF600" s="48" t="n"/>
      <c r="AG600" s="48" t="n"/>
      <c r="AH600" s="48" t="n"/>
      <c r="AI600" s="48" t="n"/>
      <c r="AJ600" s="48" t="n"/>
      <c r="AK600" s="48" t="n"/>
      <c r="AL600" s="53" t="n"/>
      <c r="AM600" s="52" t="n"/>
      <c r="AN600" s="48" t="n"/>
      <c r="AO600" s="48" t="n"/>
      <c r="AP600" s="48" t="n"/>
      <c r="AQ600" s="48" t="n"/>
      <c r="AR600" s="48" t="n"/>
      <c r="AS600" s="48" t="n"/>
      <c r="AT600" s="48" t="n"/>
      <c r="AU600" s="48" t="n"/>
      <c r="AV600" s="48" t="n"/>
      <c r="AW600" s="48" t="n"/>
      <c r="AX600" s="48" t="n"/>
      <c r="AY600" s="48" t="n"/>
      <c r="AZ600" s="48" t="n"/>
      <c r="BA600" s="48" t="n"/>
      <c r="BB600" s="48" t="n"/>
      <c r="BC600" s="48" t="n"/>
      <c r="BD600" s="48" t="n"/>
      <c r="BE600" s="48" t="n"/>
      <c r="BF600" s="48" t="n"/>
      <c r="BG600" s="48" t="n"/>
      <c r="BH600" s="48" t="n"/>
      <c r="BI600" s="48" t="n"/>
      <c r="BJ600" s="48" t="n"/>
      <c r="BK600" s="48" t="n"/>
      <c r="BL600" s="48" t="n"/>
      <c r="BM600" s="48" t="n"/>
      <c r="BN600" s="48" t="n"/>
    </row>
    <row r="601">
      <c r="A601" s="47" t="n"/>
      <c r="B601" s="48" t="n"/>
      <c r="C601" s="48" t="n"/>
      <c r="D601" s="49" t="n"/>
      <c r="E601" s="48" t="n"/>
      <c r="F601" s="48" t="n"/>
      <c r="G601" s="50" t="n"/>
      <c r="H601" s="51" t="n"/>
      <c r="I601" s="51" t="n"/>
      <c r="J601" s="48" t="n"/>
      <c r="K601" s="52" t="n"/>
      <c r="L601" s="48" t="n"/>
      <c r="M601" s="48" t="n"/>
      <c r="N601" s="48" t="n"/>
      <c r="O601" s="48" t="n"/>
      <c r="P601" s="48" t="n"/>
      <c r="Q601" s="48" t="n"/>
      <c r="R601" s="48" t="n"/>
      <c r="S601" s="48" t="n"/>
      <c r="T601" s="48" t="n"/>
      <c r="U601" s="48" t="n"/>
      <c r="V601" s="48" t="n"/>
      <c r="W601" s="48" t="n"/>
      <c r="X601" s="48" t="n"/>
      <c r="Y601" s="48" t="n"/>
      <c r="Z601" s="48" t="n"/>
      <c r="AA601" s="48" t="n"/>
      <c r="AB601" s="48" t="n"/>
      <c r="AC601" s="48" t="n"/>
      <c r="AD601" s="48" t="n"/>
      <c r="AE601" s="48" t="n"/>
      <c r="AF601" s="48" t="n"/>
      <c r="AG601" s="48" t="n"/>
      <c r="AH601" s="48" t="n"/>
      <c r="AI601" s="48" t="n"/>
      <c r="AJ601" s="48" t="n"/>
      <c r="AK601" s="48" t="n"/>
      <c r="AL601" s="53" t="n"/>
      <c r="AM601" s="52" t="n"/>
      <c r="AN601" s="48" t="n"/>
      <c r="AO601" s="48" t="n"/>
      <c r="AP601" s="48" t="n"/>
      <c r="AQ601" s="48" t="n"/>
      <c r="AR601" s="48" t="n"/>
      <c r="AS601" s="48" t="n"/>
      <c r="AT601" s="48" t="n"/>
      <c r="AU601" s="48" t="n"/>
      <c r="AV601" s="48" t="n"/>
      <c r="AW601" s="48" t="n"/>
      <c r="AX601" s="48" t="n"/>
      <c r="AY601" s="48" t="n"/>
      <c r="AZ601" s="48" t="n"/>
      <c r="BA601" s="48" t="n"/>
      <c r="BB601" s="48" t="n"/>
      <c r="BC601" s="48" t="n"/>
      <c r="BD601" s="48" t="n"/>
      <c r="BE601" s="48" t="n"/>
      <c r="BF601" s="48" t="n"/>
      <c r="BG601" s="48" t="n"/>
      <c r="BH601" s="48" t="n"/>
      <c r="BI601" s="48" t="n"/>
      <c r="BJ601" s="48" t="n"/>
      <c r="BK601" s="48" t="n"/>
      <c r="BL601" s="48" t="n"/>
      <c r="BM601" s="48" t="n"/>
      <c r="BN601" s="48" t="n"/>
    </row>
    <row r="602">
      <c r="A602" s="47" t="n"/>
      <c r="B602" s="48" t="n"/>
      <c r="C602" s="48" t="n"/>
      <c r="D602" s="49" t="n"/>
      <c r="E602" s="48" t="n"/>
      <c r="F602" s="48" t="n"/>
      <c r="G602" s="50" t="n"/>
      <c r="H602" s="51" t="n"/>
      <c r="I602" s="51" t="n"/>
      <c r="J602" s="48" t="n"/>
      <c r="K602" s="52" t="n"/>
      <c r="L602" s="48" t="n"/>
      <c r="M602" s="48" t="n"/>
      <c r="N602" s="48" t="n"/>
      <c r="O602" s="48" t="n"/>
      <c r="P602" s="48" t="n"/>
      <c r="Q602" s="48" t="n"/>
      <c r="R602" s="48" t="n"/>
      <c r="S602" s="48" t="n"/>
      <c r="T602" s="48" t="n"/>
      <c r="U602" s="48" t="n"/>
      <c r="V602" s="48" t="n"/>
      <c r="W602" s="48" t="n"/>
      <c r="X602" s="48" t="n"/>
      <c r="Y602" s="48" t="n"/>
      <c r="Z602" s="48" t="n"/>
      <c r="AA602" s="48" t="n"/>
      <c r="AB602" s="48" t="n"/>
      <c r="AC602" s="48" t="n"/>
      <c r="AD602" s="48" t="n"/>
      <c r="AE602" s="48" t="n"/>
      <c r="AF602" s="48" t="n"/>
      <c r="AG602" s="48" t="n"/>
      <c r="AH602" s="48" t="n"/>
      <c r="AI602" s="48" t="n"/>
      <c r="AJ602" s="48" t="n"/>
      <c r="AK602" s="48" t="n"/>
      <c r="AL602" s="53" t="n"/>
      <c r="AM602" s="52" t="n"/>
      <c r="AN602" s="48" t="n"/>
      <c r="AO602" s="48" t="n"/>
      <c r="AP602" s="48" t="n"/>
      <c r="AQ602" s="48" t="n"/>
      <c r="AR602" s="48" t="n"/>
      <c r="AS602" s="48" t="n"/>
      <c r="AT602" s="48" t="n"/>
      <c r="AU602" s="48" t="n"/>
      <c r="AV602" s="48" t="n"/>
      <c r="AW602" s="48" t="n"/>
      <c r="AX602" s="48" t="n"/>
      <c r="AY602" s="48" t="n"/>
      <c r="AZ602" s="48" t="n"/>
      <c r="BA602" s="48" t="n"/>
      <c r="BB602" s="48" t="n"/>
      <c r="BC602" s="48" t="n"/>
      <c r="BD602" s="48" t="n"/>
      <c r="BE602" s="48" t="n"/>
      <c r="BF602" s="48" t="n"/>
      <c r="BG602" s="48" t="n"/>
      <c r="BH602" s="48" t="n"/>
      <c r="BI602" s="48" t="n"/>
      <c r="BJ602" s="48" t="n"/>
      <c r="BK602" s="48" t="n"/>
      <c r="BL602" s="48" t="n"/>
      <c r="BM602" s="48" t="n"/>
      <c r="BN602" s="48" t="n"/>
    </row>
    <row r="603">
      <c r="A603" s="47" t="n"/>
      <c r="B603" s="48" t="n"/>
      <c r="C603" s="48" t="n"/>
      <c r="D603" s="49" t="n"/>
      <c r="E603" s="48" t="n"/>
      <c r="F603" s="48" t="n"/>
      <c r="G603" s="50" t="n"/>
      <c r="H603" s="51" t="n"/>
      <c r="I603" s="51" t="n"/>
      <c r="J603" s="48" t="n"/>
      <c r="K603" s="52" t="n"/>
      <c r="L603" s="48" t="n"/>
      <c r="M603" s="48" t="n"/>
      <c r="N603" s="48" t="n"/>
      <c r="O603" s="48" t="n"/>
      <c r="P603" s="48" t="n"/>
      <c r="Q603" s="48" t="n"/>
      <c r="R603" s="48" t="n"/>
      <c r="S603" s="48" t="n"/>
      <c r="T603" s="48" t="n"/>
      <c r="U603" s="48" t="n"/>
      <c r="V603" s="48" t="n"/>
      <c r="W603" s="48" t="n"/>
      <c r="X603" s="48" t="n"/>
      <c r="Y603" s="48" t="n"/>
      <c r="Z603" s="48" t="n"/>
      <c r="AA603" s="48" t="n"/>
      <c r="AB603" s="48" t="n"/>
      <c r="AC603" s="48" t="n"/>
      <c r="AD603" s="48" t="n"/>
      <c r="AE603" s="48" t="n"/>
      <c r="AF603" s="48" t="n"/>
      <c r="AG603" s="48" t="n"/>
      <c r="AH603" s="48" t="n"/>
      <c r="AI603" s="48" t="n"/>
      <c r="AJ603" s="48" t="n"/>
      <c r="AK603" s="48" t="n"/>
      <c r="AL603" s="53" t="n"/>
      <c r="AM603" s="52" t="n"/>
      <c r="AN603" s="48" t="n"/>
      <c r="AO603" s="48" t="n"/>
      <c r="AP603" s="48" t="n"/>
      <c r="AQ603" s="48" t="n"/>
      <c r="AR603" s="48" t="n"/>
      <c r="AS603" s="48" t="n"/>
      <c r="AT603" s="48" t="n"/>
      <c r="AU603" s="48" t="n"/>
      <c r="AV603" s="48" t="n"/>
      <c r="AW603" s="48" t="n"/>
      <c r="AX603" s="48" t="n"/>
      <c r="AY603" s="48" t="n"/>
      <c r="AZ603" s="48" t="n"/>
      <c r="BA603" s="48" t="n"/>
      <c r="BB603" s="48" t="n"/>
      <c r="BC603" s="48" t="n"/>
      <c r="BD603" s="48" t="n"/>
      <c r="BE603" s="48" t="n"/>
      <c r="BF603" s="48" t="n"/>
      <c r="BG603" s="48" t="n"/>
      <c r="BH603" s="48" t="n"/>
      <c r="BI603" s="48" t="n"/>
      <c r="BJ603" s="48" t="n"/>
      <c r="BK603" s="48" t="n"/>
      <c r="BL603" s="48" t="n"/>
      <c r="BM603" s="48" t="n"/>
      <c r="BN603" s="48" t="n"/>
    </row>
    <row r="604">
      <c r="A604" s="47" t="n"/>
      <c r="B604" s="48" t="n"/>
      <c r="C604" s="48" t="n"/>
      <c r="D604" s="49" t="n"/>
      <c r="E604" s="48" t="n"/>
      <c r="F604" s="48" t="n"/>
      <c r="G604" s="50" t="n"/>
      <c r="H604" s="51" t="n"/>
      <c r="I604" s="51" t="n"/>
      <c r="J604" s="48" t="n"/>
      <c r="K604" s="52" t="n"/>
      <c r="L604" s="48" t="n"/>
      <c r="M604" s="48" t="n"/>
      <c r="N604" s="48" t="n"/>
      <c r="O604" s="48" t="n"/>
      <c r="P604" s="48" t="n"/>
      <c r="Q604" s="48" t="n"/>
      <c r="R604" s="48" t="n"/>
      <c r="S604" s="48" t="n"/>
      <c r="T604" s="48" t="n"/>
      <c r="U604" s="48" t="n"/>
      <c r="V604" s="48" t="n"/>
      <c r="W604" s="48" t="n"/>
      <c r="X604" s="48" t="n"/>
      <c r="Y604" s="48" t="n"/>
      <c r="Z604" s="48" t="n"/>
      <c r="AA604" s="48" t="n"/>
      <c r="AB604" s="48" t="n"/>
      <c r="AC604" s="48" t="n"/>
      <c r="AD604" s="48" t="n"/>
      <c r="AE604" s="48" t="n"/>
      <c r="AF604" s="48" t="n"/>
      <c r="AG604" s="48" t="n"/>
      <c r="AH604" s="48" t="n"/>
      <c r="AI604" s="48" t="n"/>
      <c r="AJ604" s="48" t="n"/>
      <c r="AK604" s="48" t="n"/>
      <c r="AL604" s="53" t="n"/>
      <c r="AM604" s="52" t="n"/>
      <c r="AN604" s="48" t="n"/>
      <c r="AO604" s="48" t="n"/>
      <c r="AP604" s="48" t="n"/>
      <c r="AQ604" s="48" t="n"/>
      <c r="AR604" s="48" t="n"/>
      <c r="AS604" s="48" t="n"/>
      <c r="AT604" s="48" t="n"/>
      <c r="AU604" s="48" t="n"/>
      <c r="AV604" s="48" t="n"/>
      <c r="AW604" s="48" t="n"/>
      <c r="AX604" s="48" t="n"/>
      <c r="AY604" s="48" t="n"/>
      <c r="AZ604" s="48" t="n"/>
      <c r="BA604" s="48" t="n"/>
      <c r="BB604" s="48" t="n"/>
      <c r="BC604" s="48" t="n"/>
      <c r="BD604" s="48" t="n"/>
      <c r="BE604" s="48" t="n"/>
      <c r="BF604" s="48" t="n"/>
      <c r="BG604" s="48" t="n"/>
      <c r="BH604" s="48" t="n"/>
      <c r="BI604" s="48" t="n"/>
      <c r="BJ604" s="48" t="n"/>
      <c r="BK604" s="48" t="n"/>
      <c r="BL604" s="48" t="n"/>
      <c r="BM604" s="48" t="n"/>
      <c r="BN604" s="48" t="n"/>
    </row>
    <row r="605">
      <c r="A605" s="47" t="n"/>
      <c r="B605" s="48" t="n"/>
      <c r="C605" s="48" t="n"/>
      <c r="D605" s="49" t="n"/>
      <c r="E605" s="48" t="n"/>
      <c r="F605" s="48" t="n"/>
      <c r="G605" s="50" t="n"/>
      <c r="H605" s="51" t="n"/>
      <c r="I605" s="51" t="n"/>
      <c r="J605" s="48" t="n"/>
      <c r="K605" s="52" t="n"/>
      <c r="L605" s="48" t="n"/>
      <c r="M605" s="48" t="n"/>
      <c r="N605" s="48" t="n"/>
      <c r="O605" s="48" t="n"/>
      <c r="P605" s="48" t="n"/>
      <c r="Q605" s="48" t="n"/>
      <c r="R605" s="48" t="n"/>
      <c r="S605" s="48" t="n"/>
      <c r="T605" s="48" t="n"/>
      <c r="U605" s="48" t="n"/>
      <c r="V605" s="48" t="n"/>
      <c r="W605" s="48" t="n"/>
      <c r="X605" s="48" t="n"/>
      <c r="Y605" s="48" t="n"/>
      <c r="Z605" s="48" t="n"/>
      <c r="AA605" s="48" t="n"/>
      <c r="AB605" s="48" t="n"/>
      <c r="AC605" s="48" t="n"/>
      <c r="AD605" s="48" t="n"/>
      <c r="AE605" s="48" t="n"/>
      <c r="AF605" s="48" t="n"/>
      <c r="AG605" s="48" t="n"/>
      <c r="AH605" s="48" t="n"/>
      <c r="AI605" s="48" t="n"/>
      <c r="AJ605" s="48" t="n"/>
      <c r="AK605" s="48" t="n"/>
      <c r="AL605" s="53" t="n"/>
      <c r="AM605" s="52" t="n"/>
      <c r="AN605" s="48" t="n"/>
      <c r="AO605" s="48" t="n"/>
      <c r="AP605" s="48" t="n"/>
      <c r="AQ605" s="48" t="n"/>
      <c r="AR605" s="48" t="n"/>
      <c r="AS605" s="48" t="n"/>
      <c r="AT605" s="48" t="n"/>
      <c r="AU605" s="48" t="n"/>
      <c r="AV605" s="48" t="n"/>
      <c r="AW605" s="48" t="n"/>
      <c r="AX605" s="48" t="n"/>
      <c r="AY605" s="48" t="n"/>
      <c r="AZ605" s="48" t="n"/>
      <c r="BA605" s="48" t="n"/>
      <c r="BB605" s="48" t="n"/>
      <c r="BC605" s="48" t="n"/>
      <c r="BD605" s="48" t="n"/>
      <c r="BE605" s="48" t="n"/>
      <c r="BF605" s="48" t="n"/>
      <c r="BG605" s="48" t="n"/>
      <c r="BH605" s="48" t="n"/>
      <c r="BI605" s="48" t="n"/>
      <c r="BJ605" s="48" t="n"/>
      <c r="BK605" s="48" t="n"/>
      <c r="BL605" s="48" t="n"/>
      <c r="BM605" s="48" t="n"/>
      <c r="BN605" s="48" t="n"/>
    </row>
    <row r="606">
      <c r="A606" s="47" t="n"/>
      <c r="B606" s="48" t="n"/>
      <c r="C606" s="48" t="n"/>
      <c r="D606" s="49" t="n"/>
      <c r="E606" s="48" t="n"/>
      <c r="F606" s="48" t="n"/>
      <c r="G606" s="50" t="n"/>
      <c r="H606" s="51" t="n"/>
      <c r="I606" s="51" t="n"/>
      <c r="J606" s="48" t="n"/>
      <c r="K606" s="52" t="n"/>
      <c r="L606" s="48" t="n"/>
      <c r="M606" s="48" t="n"/>
      <c r="N606" s="48" t="n"/>
      <c r="O606" s="48" t="n"/>
      <c r="P606" s="48" t="n"/>
      <c r="Q606" s="48" t="n"/>
      <c r="R606" s="48" t="n"/>
      <c r="S606" s="48" t="n"/>
      <c r="T606" s="48" t="n"/>
      <c r="U606" s="48" t="n"/>
      <c r="V606" s="48" t="n"/>
      <c r="W606" s="48" t="n"/>
      <c r="X606" s="48" t="n"/>
      <c r="Y606" s="48" t="n"/>
      <c r="Z606" s="48" t="n"/>
      <c r="AA606" s="48" t="n"/>
      <c r="AB606" s="48" t="n"/>
      <c r="AC606" s="48" t="n"/>
      <c r="AD606" s="48" t="n"/>
      <c r="AE606" s="48" t="n"/>
      <c r="AF606" s="48" t="n"/>
      <c r="AG606" s="48" t="n"/>
      <c r="AH606" s="48" t="n"/>
      <c r="AI606" s="48" t="n"/>
      <c r="AJ606" s="48" t="n"/>
      <c r="AK606" s="48" t="n"/>
      <c r="AL606" s="53" t="n"/>
      <c r="AM606" s="52" t="n"/>
      <c r="AN606" s="48" t="n"/>
      <c r="AO606" s="48" t="n"/>
      <c r="AP606" s="48" t="n"/>
      <c r="AQ606" s="48" t="n"/>
      <c r="AR606" s="48" t="n"/>
      <c r="AS606" s="48" t="n"/>
      <c r="AT606" s="48" t="n"/>
      <c r="AU606" s="48" t="n"/>
      <c r="AV606" s="48" t="n"/>
      <c r="AW606" s="48" t="n"/>
      <c r="AX606" s="48" t="n"/>
      <c r="AY606" s="48" t="n"/>
      <c r="AZ606" s="48" t="n"/>
      <c r="BA606" s="48" t="n"/>
      <c r="BB606" s="48" t="n"/>
      <c r="BC606" s="48" t="n"/>
      <c r="BD606" s="48" t="n"/>
      <c r="BE606" s="48" t="n"/>
      <c r="BF606" s="48" t="n"/>
      <c r="BG606" s="48" t="n"/>
      <c r="BH606" s="48" t="n"/>
      <c r="BI606" s="48" t="n"/>
      <c r="BJ606" s="48" t="n"/>
      <c r="BK606" s="48" t="n"/>
      <c r="BL606" s="48" t="n"/>
      <c r="BM606" s="48" t="n"/>
      <c r="BN606" s="48" t="n"/>
    </row>
    <row r="607">
      <c r="A607" s="47" t="n"/>
      <c r="B607" s="48" t="n"/>
      <c r="C607" s="48" t="n"/>
      <c r="D607" s="49" t="n"/>
      <c r="E607" s="48" t="n"/>
      <c r="F607" s="48" t="n"/>
      <c r="G607" s="50" t="n"/>
      <c r="H607" s="51" t="n"/>
      <c r="I607" s="51" t="n"/>
      <c r="J607" s="48" t="n"/>
      <c r="K607" s="52" t="n"/>
      <c r="L607" s="48" t="n"/>
      <c r="M607" s="48" t="n"/>
      <c r="N607" s="48" t="n"/>
      <c r="O607" s="48" t="n"/>
      <c r="P607" s="48" t="n"/>
      <c r="Q607" s="48" t="n"/>
      <c r="R607" s="48" t="n"/>
      <c r="S607" s="48" t="n"/>
      <c r="T607" s="48" t="n"/>
      <c r="U607" s="48" t="n"/>
      <c r="V607" s="48" t="n"/>
      <c r="W607" s="48" t="n"/>
      <c r="X607" s="48" t="n"/>
      <c r="Y607" s="48" t="n"/>
      <c r="Z607" s="48" t="n"/>
      <c r="AA607" s="48" t="n"/>
      <c r="AB607" s="48" t="n"/>
      <c r="AC607" s="48" t="n"/>
      <c r="AD607" s="48" t="n"/>
      <c r="AE607" s="48" t="n"/>
      <c r="AF607" s="48" t="n"/>
      <c r="AG607" s="48" t="n"/>
      <c r="AH607" s="48" t="n"/>
      <c r="AI607" s="48" t="n"/>
      <c r="AJ607" s="48" t="n"/>
      <c r="AK607" s="48" t="n"/>
      <c r="AL607" s="53" t="n"/>
      <c r="AM607" s="52" t="n"/>
      <c r="AN607" s="48" t="n"/>
      <c r="AO607" s="48" t="n"/>
      <c r="AP607" s="48" t="n"/>
      <c r="AQ607" s="48" t="n"/>
      <c r="AR607" s="48" t="n"/>
      <c r="AS607" s="48" t="n"/>
      <c r="AT607" s="48" t="n"/>
      <c r="AU607" s="48" t="n"/>
      <c r="AV607" s="48" t="n"/>
      <c r="AW607" s="48" t="n"/>
      <c r="AX607" s="48" t="n"/>
      <c r="AY607" s="48" t="n"/>
      <c r="AZ607" s="48" t="n"/>
      <c r="BA607" s="48" t="n"/>
      <c r="BB607" s="48" t="n"/>
      <c r="BC607" s="48" t="n"/>
      <c r="BD607" s="48" t="n"/>
      <c r="BE607" s="48" t="n"/>
      <c r="BF607" s="48" t="n"/>
      <c r="BG607" s="48" t="n"/>
      <c r="BH607" s="48" t="n"/>
      <c r="BI607" s="48" t="n"/>
      <c r="BJ607" s="48" t="n"/>
      <c r="BK607" s="48" t="n"/>
      <c r="BL607" s="48" t="n"/>
      <c r="BM607" s="48" t="n"/>
      <c r="BN607" s="48" t="n"/>
    </row>
    <row r="608">
      <c r="A608" s="47" t="n"/>
      <c r="B608" s="48" t="n"/>
      <c r="C608" s="48" t="n"/>
      <c r="D608" s="49" t="n"/>
      <c r="E608" s="48" t="n"/>
      <c r="F608" s="48" t="n"/>
      <c r="G608" s="50" t="n"/>
      <c r="H608" s="51" t="n"/>
      <c r="I608" s="51" t="n"/>
      <c r="J608" s="48" t="n"/>
      <c r="K608" s="52" t="n"/>
      <c r="L608" s="48" t="n"/>
      <c r="M608" s="48" t="n"/>
      <c r="N608" s="48" t="n"/>
      <c r="O608" s="48" t="n"/>
      <c r="P608" s="48" t="n"/>
      <c r="Q608" s="48" t="n"/>
      <c r="R608" s="48" t="n"/>
      <c r="S608" s="48" t="n"/>
      <c r="T608" s="48" t="n"/>
      <c r="U608" s="48" t="n"/>
      <c r="V608" s="48" t="n"/>
      <c r="W608" s="48" t="n"/>
      <c r="X608" s="48" t="n"/>
      <c r="Y608" s="48" t="n"/>
      <c r="Z608" s="48" t="n"/>
      <c r="AA608" s="48" t="n"/>
      <c r="AB608" s="48" t="n"/>
      <c r="AC608" s="48" t="n"/>
      <c r="AD608" s="48" t="n"/>
      <c r="AE608" s="48" t="n"/>
      <c r="AF608" s="48" t="n"/>
      <c r="AG608" s="48" t="n"/>
      <c r="AH608" s="48" t="n"/>
      <c r="AI608" s="48" t="n"/>
      <c r="AJ608" s="48" t="n"/>
      <c r="AK608" s="48" t="n"/>
      <c r="AL608" s="53" t="n"/>
      <c r="AM608" s="52" t="n"/>
      <c r="AN608" s="48" t="n"/>
      <c r="AO608" s="48" t="n"/>
      <c r="AP608" s="48" t="n"/>
      <c r="AQ608" s="48" t="n"/>
      <c r="AR608" s="48" t="n"/>
      <c r="AS608" s="48" t="n"/>
      <c r="AT608" s="48" t="n"/>
      <c r="AU608" s="48" t="n"/>
      <c r="AV608" s="48" t="n"/>
      <c r="AW608" s="48" t="n"/>
      <c r="AX608" s="48" t="n"/>
      <c r="AY608" s="48" t="n"/>
      <c r="AZ608" s="48" t="n"/>
      <c r="BA608" s="48" t="n"/>
      <c r="BB608" s="48" t="n"/>
      <c r="BC608" s="48" t="n"/>
      <c r="BD608" s="48" t="n"/>
      <c r="BE608" s="48" t="n"/>
      <c r="BF608" s="48" t="n"/>
      <c r="BG608" s="48" t="n"/>
      <c r="BH608" s="48" t="n"/>
      <c r="BI608" s="48" t="n"/>
      <c r="BJ608" s="48" t="n"/>
      <c r="BK608" s="48" t="n"/>
      <c r="BL608" s="48" t="n"/>
      <c r="BM608" s="48" t="n"/>
      <c r="BN608" s="48" t="n"/>
    </row>
    <row r="609">
      <c r="A609" s="47" t="n"/>
      <c r="B609" s="48" t="n"/>
      <c r="C609" s="48" t="n"/>
      <c r="D609" s="49" t="n"/>
      <c r="E609" s="48" t="n"/>
      <c r="F609" s="48" t="n"/>
      <c r="G609" s="50" t="n"/>
      <c r="H609" s="51" t="n"/>
      <c r="I609" s="51" t="n"/>
      <c r="J609" s="48" t="n"/>
      <c r="K609" s="52" t="n"/>
      <c r="L609" s="48" t="n"/>
      <c r="M609" s="48" t="n"/>
      <c r="N609" s="48" t="n"/>
      <c r="O609" s="48" t="n"/>
      <c r="P609" s="48" t="n"/>
      <c r="Q609" s="48" t="n"/>
      <c r="R609" s="48" t="n"/>
      <c r="S609" s="48" t="n"/>
      <c r="T609" s="48" t="n"/>
      <c r="U609" s="48" t="n"/>
      <c r="V609" s="48" t="n"/>
      <c r="W609" s="48" t="n"/>
      <c r="X609" s="48" t="n"/>
      <c r="Y609" s="48" t="n"/>
      <c r="Z609" s="48" t="n"/>
      <c r="AA609" s="48" t="n"/>
      <c r="AB609" s="48" t="n"/>
      <c r="AC609" s="48" t="n"/>
      <c r="AD609" s="48" t="n"/>
      <c r="AE609" s="48" t="n"/>
      <c r="AF609" s="48" t="n"/>
      <c r="AG609" s="48" t="n"/>
      <c r="AH609" s="48" t="n"/>
      <c r="AI609" s="48" t="n"/>
      <c r="AJ609" s="48" t="n"/>
      <c r="AK609" s="48" t="n"/>
      <c r="AL609" s="53" t="n"/>
      <c r="AM609" s="52" t="n"/>
      <c r="AN609" s="48" t="n"/>
      <c r="AO609" s="48" t="n"/>
      <c r="AP609" s="48" t="n"/>
      <c r="AQ609" s="48" t="n"/>
      <c r="AR609" s="48" t="n"/>
      <c r="AS609" s="48" t="n"/>
      <c r="AT609" s="48" t="n"/>
      <c r="AU609" s="48" t="n"/>
      <c r="AV609" s="48" t="n"/>
      <c r="AW609" s="48" t="n"/>
      <c r="AX609" s="48" t="n"/>
      <c r="AY609" s="48" t="n"/>
      <c r="AZ609" s="48" t="n"/>
      <c r="BA609" s="48" t="n"/>
      <c r="BB609" s="48" t="n"/>
      <c r="BC609" s="48" t="n"/>
      <c r="BD609" s="48" t="n"/>
      <c r="BE609" s="48" t="n"/>
      <c r="BF609" s="48" t="n"/>
      <c r="BG609" s="48" t="n"/>
      <c r="BH609" s="48" t="n"/>
      <c r="BI609" s="48" t="n"/>
      <c r="BJ609" s="48" t="n"/>
      <c r="BK609" s="48" t="n"/>
      <c r="BL609" s="48" t="n"/>
      <c r="BM609" s="48" t="n"/>
      <c r="BN609" s="48" t="n"/>
    </row>
    <row r="610">
      <c r="A610" s="47" t="n"/>
      <c r="B610" s="48" t="n"/>
      <c r="C610" s="48" t="n"/>
      <c r="D610" s="49" t="n"/>
      <c r="E610" s="48" t="n"/>
      <c r="F610" s="48" t="n"/>
      <c r="G610" s="50" t="n"/>
      <c r="H610" s="51" t="n"/>
      <c r="I610" s="51" t="n"/>
      <c r="J610" s="48" t="n"/>
      <c r="K610" s="52" t="n"/>
      <c r="L610" s="48" t="n"/>
      <c r="M610" s="48" t="n"/>
      <c r="N610" s="48" t="n"/>
      <c r="O610" s="48" t="n"/>
      <c r="P610" s="48" t="n"/>
      <c r="Q610" s="48" t="n"/>
      <c r="R610" s="48" t="n"/>
      <c r="S610" s="48" t="n"/>
      <c r="T610" s="48" t="n"/>
      <c r="U610" s="48" t="n"/>
      <c r="V610" s="48" t="n"/>
      <c r="W610" s="48" t="n"/>
      <c r="X610" s="48" t="n"/>
      <c r="Y610" s="48" t="n"/>
      <c r="Z610" s="48" t="n"/>
      <c r="AA610" s="48" t="n"/>
      <c r="AB610" s="48" t="n"/>
      <c r="AC610" s="48" t="n"/>
      <c r="AD610" s="48" t="n"/>
      <c r="AE610" s="48" t="n"/>
      <c r="AF610" s="48" t="n"/>
      <c r="AG610" s="48" t="n"/>
      <c r="AH610" s="48" t="n"/>
      <c r="AI610" s="48" t="n"/>
      <c r="AJ610" s="48" t="n"/>
      <c r="AK610" s="48" t="n"/>
      <c r="AL610" s="53" t="n"/>
      <c r="AM610" s="52" t="n"/>
      <c r="AN610" s="48" t="n"/>
      <c r="AO610" s="48" t="n"/>
      <c r="AP610" s="48" t="n"/>
      <c r="AQ610" s="48" t="n"/>
      <c r="AR610" s="48" t="n"/>
      <c r="AS610" s="48" t="n"/>
      <c r="AT610" s="48" t="n"/>
      <c r="AU610" s="48" t="n"/>
      <c r="AV610" s="48" t="n"/>
      <c r="AW610" s="48" t="n"/>
      <c r="AX610" s="48" t="n"/>
      <c r="AY610" s="48" t="n"/>
      <c r="AZ610" s="48" t="n"/>
      <c r="BA610" s="48" t="n"/>
      <c r="BB610" s="48" t="n"/>
      <c r="BC610" s="48" t="n"/>
      <c r="BD610" s="48" t="n"/>
      <c r="BE610" s="48" t="n"/>
      <c r="BF610" s="48" t="n"/>
      <c r="BG610" s="48" t="n"/>
      <c r="BH610" s="48" t="n"/>
      <c r="BI610" s="48" t="n"/>
      <c r="BJ610" s="48" t="n"/>
      <c r="BK610" s="48" t="n"/>
      <c r="BL610" s="48" t="n"/>
      <c r="BM610" s="48" t="n"/>
      <c r="BN610" s="48" t="n"/>
    </row>
    <row r="611">
      <c r="A611" s="47" t="n"/>
      <c r="B611" s="48" t="n"/>
      <c r="C611" s="48" t="n"/>
      <c r="D611" s="49" t="n"/>
      <c r="E611" s="48" t="n"/>
      <c r="F611" s="48" t="n"/>
      <c r="G611" s="50" t="n"/>
      <c r="H611" s="51" t="n"/>
      <c r="I611" s="51" t="n"/>
      <c r="J611" s="48" t="n"/>
      <c r="K611" s="52" t="n"/>
      <c r="L611" s="48" t="n"/>
      <c r="M611" s="48" t="n"/>
      <c r="N611" s="48" t="n"/>
      <c r="O611" s="48" t="n"/>
      <c r="P611" s="48" t="n"/>
      <c r="Q611" s="48" t="n"/>
      <c r="R611" s="48" t="n"/>
      <c r="S611" s="48" t="n"/>
      <c r="T611" s="48" t="n"/>
      <c r="U611" s="48" t="n"/>
      <c r="V611" s="48" t="n"/>
      <c r="W611" s="48" t="n"/>
      <c r="X611" s="48" t="n"/>
      <c r="Y611" s="48" t="n"/>
      <c r="Z611" s="48" t="n"/>
      <c r="AA611" s="48" t="n"/>
      <c r="AB611" s="48" t="n"/>
      <c r="AC611" s="48" t="n"/>
      <c r="AD611" s="48" t="n"/>
      <c r="AE611" s="48" t="n"/>
      <c r="AF611" s="48" t="n"/>
      <c r="AG611" s="48" t="n"/>
      <c r="AH611" s="48" t="n"/>
      <c r="AI611" s="48" t="n"/>
      <c r="AJ611" s="48" t="n"/>
      <c r="AK611" s="48" t="n"/>
      <c r="AL611" s="53" t="n"/>
      <c r="AM611" s="52" t="n"/>
      <c r="AN611" s="48" t="n"/>
      <c r="AO611" s="48" t="n"/>
      <c r="AP611" s="48" t="n"/>
      <c r="AQ611" s="48" t="n"/>
      <c r="AR611" s="48" t="n"/>
      <c r="AS611" s="48" t="n"/>
      <c r="AT611" s="48" t="n"/>
      <c r="AU611" s="48" t="n"/>
      <c r="AV611" s="48" t="n"/>
      <c r="AW611" s="48" t="n"/>
      <c r="AX611" s="48" t="n"/>
      <c r="AY611" s="48" t="n"/>
      <c r="AZ611" s="48" t="n"/>
      <c r="BA611" s="48" t="n"/>
      <c r="BB611" s="48" t="n"/>
      <c r="BC611" s="48" t="n"/>
      <c r="BD611" s="48" t="n"/>
      <c r="BE611" s="48" t="n"/>
      <c r="BF611" s="48" t="n"/>
      <c r="BG611" s="48" t="n"/>
      <c r="BH611" s="48" t="n"/>
      <c r="BI611" s="48" t="n"/>
      <c r="BJ611" s="48" t="n"/>
      <c r="BK611" s="48" t="n"/>
      <c r="BL611" s="48" t="n"/>
      <c r="BM611" s="48" t="n"/>
      <c r="BN611" s="48" t="n"/>
    </row>
    <row r="612">
      <c r="A612" s="47" t="n"/>
      <c r="B612" s="48" t="n"/>
      <c r="C612" s="48" t="n"/>
      <c r="D612" s="49" t="n"/>
      <c r="E612" s="48" t="n"/>
      <c r="F612" s="48" t="n"/>
      <c r="G612" s="50" t="n"/>
      <c r="H612" s="51" t="n"/>
      <c r="I612" s="51" t="n"/>
      <c r="J612" s="48" t="n"/>
      <c r="K612" s="52" t="n"/>
      <c r="L612" s="48" t="n"/>
      <c r="M612" s="48" t="n"/>
      <c r="N612" s="48" t="n"/>
      <c r="O612" s="48" t="n"/>
      <c r="P612" s="48" t="n"/>
      <c r="Q612" s="48" t="n"/>
      <c r="R612" s="48" t="n"/>
      <c r="S612" s="48" t="n"/>
      <c r="T612" s="48" t="n"/>
      <c r="U612" s="48" t="n"/>
      <c r="V612" s="48" t="n"/>
      <c r="W612" s="48" t="n"/>
      <c r="X612" s="48" t="n"/>
      <c r="Y612" s="48" t="n"/>
      <c r="Z612" s="48" t="n"/>
      <c r="AA612" s="48" t="n"/>
      <c r="AB612" s="48" t="n"/>
      <c r="AC612" s="48" t="n"/>
      <c r="AD612" s="48" t="n"/>
      <c r="AE612" s="48" t="n"/>
      <c r="AF612" s="48" t="n"/>
      <c r="AG612" s="48" t="n"/>
      <c r="AH612" s="48" t="n"/>
      <c r="AI612" s="48" t="n"/>
      <c r="AJ612" s="48" t="n"/>
      <c r="AK612" s="48" t="n"/>
      <c r="AL612" s="53" t="n"/>
      <c r="AM612" s="52" t="n"/>
      <c r="AN612" s="48" t="n"/>
      <c r="AO612" s="48" t="n"/>
      <c r="AP612" s="48" t="n"/>
      <c r="AQ612" s="48" t="n"/>
      <c r="AR612" s="48" t="n"/>
      <c r="AS612" s="48" t="n"/>
      <c r="AT612" s="48" t="n"/>
      <c r="AU612" s="48" t="n"/>
      <c r="AV612" s="48" t="n"/>
      <c r="AW612" s="48" t="n"/>
      <c r="AX612" s="48" t="n"/>
      <c r="AY612" s="48" t="n"/>
      <c r="AZ612" s="48" t="n"/>
      <c r="BA612" s="48" t="n"/>
      <c r="BB612" s="48" t="n"/>
      <c r="BC612" s="48" t="n"/>
      <c r="BD612" s="48" t="n"/>
      <c r="BE612" s="48" t="n"/>
      <c r="BF612" s="48" t="n"/>
      <c r="BG612" s="48" t="n"/>
      <c r="BH612" s="48" t="n"/>
      <c r="BI612" s="48" t="n"/>
      <c r="BJ612" s="48" t="n"/>
      <c r="BK612" s="48" t="n"/>
      <c r="BL612" s="48" t="n"/>
      <c r="BM612" s="48" t="n"/>
      <c r="BN612" s="48" t="n"/>
    </row>
    <row r="613">
      <c r="A613" s="47" t="n"/>
      <c r="B613" s="48" t="n"/>
      <c r="C613" s="48" t="n"/>
      <c r="D613" s="49" t="n"/>
      <c r="E613" s="48" t="n"/>
      <c r="F613" s="48" t="n"/>
      <c r="G613" s="50" t="n"/>
      <c r="H613" s="51" t="n"/>
      <c r="I613" s="51" t="n"/>
      <c r="J613" s="48" t="n"/>
      <c r="K613" s="52" t="n"/>
      <c r="L613" s="48" t="n"/>
      <c r="M613" s="48" t="n"/>
      <c r="N613" s="48" t="n"/>
      <c r="O613" s="48" t="n"/>
      <c r="P613" s="48" t="n"/>
      <c r="Q613" s="48" t="n"/>
      <c r="R613" s="48" t="n"/>
      <c r="S613" s="48" t="n"/>
      <c r="T613" s="48" t="n"/>
      <c r="U613" s="48" t="n"/>
      <c r="V613" s="48" t="n"/>
      <c r="W613" s="48" t="n"/>
      <c r="X613" s="48" t="n"/>
      <c r="Y613" s="48" t="n"/>
      <c r="Z613" s="48" t="n"/>
      <c r="AA613" s="48" t="n"/>
      <c r="AB613" s="48" t="n"/>
      <c r="AC613" s="48" t="n"/>
      <c r="AD613" s="48" t="n"/>
      <c r="AE613" s="48" t="n"/>
      <c r="AF613" s="48" t="n"/>
      <c r="AG613" s="48" t="n"/>
      <c r="AH613" s="48" t="n"/>
      <c r="AI613" s="48" t="n"/>
      <c r="AJ613" s="48" t="n"/>
      <c r="AK613" s="48" t="n"/>
      <c r="AL613" s="53" t="n"/>
      <c r="AM613" s="52" t="n"/>
      <c r="AN613" s="48" t="n"/>
      <c r="AO613" s="48" t="n"/>
      <c r="AP613" s="48" t="n"/>
      <c r="AQ613" s="48" t="n"/>
      <c r="AR613" s="48" t="n"/>
      <c r="AS613" s="48" t="n"/>
      <c r="AT613" s="48" t="n"/>
      <c r="AU613" s="48" t="n"/>
      <c r="AV613" s="48" t="n"/>
      <c r="AW613" s="48" t="n"/>
      <c r="AX613" s="48" t="n"/>
      <c r="AY613" s="48" t="n"/>
      <c r="AZ613" s="48" t="n"/>
      <c r="BA613" s="48" t="n"/>
      <c r="BB613" s="48" t="n"/>
      <c r="BC613" s="48" t="n"/>
      <c r="BD613" s="48" t="n"/>
      <c r="BE613" s="48" t="n"/>
      <c r="BF613" s="48" t="n"/>
      <c r="BG613" s="48" t="n"/>
      <c r="BH613" s="48" t="n"/>
      <c r="BI613" s="48" t="n"/>
      <c r="BJ613" s="48" t="n"/>
      <c r="BK613" s="48" t="n"/>
      <c r="BL613" s="48" t="n"/>
      <c r="BM613" s="48" t="n"/>
      <c r="BN613" s="48" t="n"/>
    </row>
    <row r="614">
      <c r="A614" s="47" t="n"/>
      <c r="B614" s="48" t="n"/>
      <c r="C614" s="48" t="n"/>
      <c r="D614" s="49" t="n"/>
      <c r="E614" s="48" t="n"/>
      <c r="F614" s="48" t="n"/>
      <c r="G614" s="50" t="n"/>
      <c r="H614" s="51" t="n"/>
      <c r="I614" s="51" t="n"/>
      <c r="J614" s="48" t="n"/>
      <c r="K614" s="52" t="n"/>
      <c r="L614" s="48" t="n"/>
      <c r="M614" s="48" t="n"/>
      <c r="N614" s="48" t="n"/>
      <c r="O614" s="48" t="n"/>
      <c r="P614" s="48" t="n"/>
      <c r="Q614" s="48" t="n"/>
      <c r="R614" s="48" t="n"/>
      <c r="S614" s="48" t="n"/>
      <c r="T614" s="48" t="n"/>
      <c r="U614" s="48" t="n"/>
      <c r="V614" s="48" t="n"/>
      <c r="W614" s="48" t="n"/>
      <c r="X614" s="48" t="n"/>
      <c r="Y614" s="48" t="n"/>
      <c r="Z614" s="48" t="n"/>
      <c r="AA614" s="48" t="n"/>
      <c r="AB614" s="48" t="n"/>
      <c r="AC614" s="48" t="n"/>
      <c r="AD614" s="48" t="n"/>
      <c r="AE614" s="48" t="n"/>
      <c r="AF614" s="48" t="n"/>
      <c r="AG614" s="48" t="n"/>
      <c r="AH614" s="48" t="n"/>
      <c r="AI614" s="48" t="n"/>
      <c r="AJ614" s="48" t="n"/>
      <c r="AK614" s="48" t="n"/>
      <c r="AL614" s="53" t="n"/>
      <c r="AM614" s="52" t="n"/>
      <c r="AN614" s="48" t="n"/>
      <c r="AO614" s="48" t="n"/>
      <c r="AP614" s="48" t="n"/>
      <c r="AQ614" s="48" t="n"/>
      <c r="AR614" s="48" t="n"/>
      <c r="AS614" s="48" t="n"/>
      <c r="AT614" s="48" t="n"/>
      <c r="AU614" s="48" t="n"/>
      <c r="AV614" s="48" t="n"/>
      <c r="AW614" s="48" t="n"/>
      <c r="AX614" s="48" t="n"/>
      <c r="AY614" s="48" t="n"/>
      <c r="AZ614" s="48" t="n"/>
      <c r="BA614" s="48" t="n"/>
      <c r="BB614" s="48" t="n"/>
      <c r="BC614" s="48" t="n"/>
      <c r="BD614" s="48" t="n"/>
      <c r="BE614" s="48" t="n"/>
      <c r="BF614" s="48" t="n"/>
      <c r="BG614" s="48" t="n"/>
      <c r="BH614" s="48" t="n"/>
      <c r="BI614" s="48" t="n"/>
      <c r="BJ614" s="48" t="n"/>
      <c r="BK614" s="48" t="n"/>
      <c r="BL614" s="48" t="n"/>
      <c r="BM614" s="48" t="n"/>
      <c r="BN614" s="48" t="n"/>
    </row>
    <row r="615">
      <c r="A615" s="47" t="n"/>
      <c r="B615" s="48" t="n"/>
      <c r="C615" s="48" t="n"/>
      <c r="D615" s="49" t="n"/>
      <c r="E615" s="48" t="n"/>
      <c r="F615" s="48" t="n"/>
      <c r="G615" s="50" t="n"/>
      <c r="H615" s="51" t="n"/>
      <c r="I615" s="51" t="n"/>
      <c r="J615" s="48" t="n"/>
      <c r="K615" s="52" t="n"/>
      <c r="L615" s="48" t="n"/>
      <c r="M615" s="48" t="n"/>
      <c r="N615" s="48" t="n"/>
      <c r="O615" s="48" t="n"/>
      <c r="P615" s="48" t="n"/>
      <c r="Q615" s="48" t="n"/>
      <c r="R615" s="48" t="n"/>
      <c r="S615" s="48" t="n"/>
      <c r="T615" s="48" t="n"/>
      <c r="U615" s="48" t="n"/>
      <c r="V615" s="48" t="n"/>
      <c r="W615" s="48" t="n"/>
      <c r="X615" s="48" t="n"/>
      <c r="Y615" s="48" t="n"/>
      <c r="Z615" s="48" t="n"/>
      <c r="AA615" s="48" t="n"/>
      <c r="AB615" s="48" t="n"/>
      <c r="AC615" s="48" t="n"/>
      <c r="AD615" s="48" t="n"/>
      <c r="AE615" s="48" t="n"/>
      <c r="AF615" s="48" t="n"/>
      <c r="AG615" s="48" t="n"/>
      <c r="AH615" s="48" t="n"/>
      <c r="AI615" s="48" t="n"/>
      <c r="AJ615" s="48" t="n"/>
      <c r="AK615" s="48" t="n"/>
      <c r="AL615" s="53" t="n"/>
      <c r="AM615" s="52" t="n"/>
      <c r="AN615" s="48" t="n"/>
      <c r="AO615" s="48" t="n"/>
      <c r="AP615" s="48" t="n"/>
      <c r="AQ615" s="48" t="n"/>
      <c r="AR615" s="48" t="n"/>
      <c r="AS615" s="48" t="n"/>
      <c r="AT615" s="48" t="n"/>
      <c r="AU615" s="48" t="n"/>
      <c r="AV615" s="48" t="n"/>
      <c r="AW615" s="48" t="n"/>
      <c r="AX615" s="48" t="n"/>
      <c r="AY615" s="48" t="n"/>
      <c r="AZ615" s="48" t="n"/>
      <c r="BA615" s="48" t="n"/>
      <c r="BB615" s="48" t="n"/>
      <c r="BC615" s="48" t="n"/>
      <c r="BD615" s="48" t="n"/>
      <c r="BE615" s="48" t="n"/>
      <c r="BF615" s="48" t="n"/>
      <c r="BG615" s="48" t="n"/>
      <c r="BH615" s="48" t="n"/>
      <c r="BI615" s="48" t="n"/>
      <c r="BJ615" s="48" t="n"/>
      <c r="BK615" s="48" t="n"/>
      <c r="BL615" s="48" t="n"/>
      <c r="BM615" s="48" t="n"/>
      <c r="BN615" s="48" t="n"/>
    </row>
    <row r="616">
      <c r="A616" s="47" t="n"/>
      <c r="B616" s="48" t="n"/>
      <c r="C616" s="48" t="n"/>
      <c r="D616" s="49" t="n"/>
      <c r="E616" s="48" t="n"/>
      <c r="F616" s="48" t="n"/>
      <c r="G616" s="50" t="n"/>
      <c r="H616" s="51" t="n"/>
      <c r="I616" s="51" t="n"/>
      <c r="J616" s="48" t="n"/>
      <c r="K616" s="52" t="n"/>
      <c r="L616" s="48" t="n"/>
      <c r="M616" s="48" t="n"/>
      <c r="N616" s="48" t="n"/>
      <c r="O616" s="48" t="n"/>
      <c r="P616" s="48" t="n"/>
      <c r="Q616" s="48" t="n"/>
      <c r="R616" s="48" t="n"/>
      <c r="S616" s="48" t="n"/>
      <c r="T616" s="48" t="n"/>
      <c r="U616" s="48" t="n"/>
      <c r="V616" s="48" t="n"/>
      <c r="W616" s="48" t="n"/>
      <c r="X616" s="48" t="n"/>
      <c r="Y616" s="48" t="n"/>
      <c r="Z616" s="48" t="n"/>
      <c r="AA616" s="48" t="n"/>
      <c r="AB616" s="48" t="n"/>
      <c r="AC616" s="48" t="n"/>
      <c r="AD616" s="48" t="n"/>
      <c r="AE616" s="48" t="n"/>
      <c r="AF616" s="48" t="n"/>
      <c r="AG616" s="48" t="n"/>
      <c r="AH616" s="48" t="n"/>
      <c r="AI616" s="48" t="n"/>
      <c r="AJ616" s="48" t="n"/>
      <c r="AK616" s="48" t="n"/>
      <c r="AL616" s="53" t="n"/>
      <c r="AM616" s="52" t="n"/>
      <c r="AN616" s="48" t="n"/>
      <c r="AO616" s="48" t="n"/>
      <c r="AP616" s="48" t="n"/>
      <c r="AQ616" s="48" t="n"/>
      <c r="AR616" s="48" t="n"/>
      <c r="AS616" s="48" t="n"/>
      <c r="AT616" s="48" t="n"/>
      <c r="AU616" s="48" t="n"/>
      <c r="AV616" s="48" t="n"/>
      <c r="AW616" s="48" t="n"/>
      <c r="AX616" s="48" t="n"/>
      <c r="AY616" s="48" t="n"/>
      <c r="AZ616" s="48" t="n"/>
      <c r="BA616" s="48" t="n"/>
      <c r="BB616" s="48" t="n"/>
      <c r="BC616" s="48" t="n"/>
      <c r="BD616" s="48" t="n"/>
      <c r="BE616" s="48" t="n"/>
      <c r="BF616" s="48" t="n"/>
      <c r="BG616" s="48" t="n"/>
      <c r="BH616" s="48" t="n"/>
      <c r="BI616" s="48" t="n"/>
      <c r="BJ616" s="48" t="n"/>
      <c r="BK616" s="48" t="n"/>
      <c r="BL616" s="48" t="n"/>
      <c r="BM616" s="48" t="n"/>
      <c r="BN616" s="48" t="n"/>
    </row>
    <row r="617">
      <c r="A617" s="47" t="n"/>
      <c r="B617" s="48" t="n"/>
      <c r="C617" s="48" t="n"/>
      <c r="D617" s="49" t="n"/>
      <c r="E617" s="48" t="n"/>
      <c r="F617" s="48" t="n"/>
      <c r="G617" s="50" t="n"/>
      <c r="H617" s="51" t="n"/>
      <c r="I617" s="51" t="n"/>
      <c r="J617" s="48" t="n"/>
      <c r="K617" s="52" t="n"/>
      <c r="L617" s="48" t="n"/>
      <c r="M617" s="48" t="n"/>
      <c r="N617" s="48" t="n"/>
      <c r="O617" s="48" t="n"/>
      <c r="P617" s="48" t="n"/>
      <c r="Q617" s="48" t="n"/>
      <c r="R617" s="48" t="n"/>
      <c r="S617" s="48" t="n"/>
      <c r="T617" s="48" t="n"/>
      <c r="U617" s="48" t="n"/>
      <c r="V617" s="48" t="n"/>
      <c r="W617" s="48" t="n"/>
      <c r="X617" s="48" t="n"/>
      <c r="Y617" s="48" t="n"/>
      <c r="Z617" s="48" t="n"/>
      <c r="AA617" s="48" t="n"/>
      <c r="AB617" s="48" t="n"/>
      <c r="AC617" s="48" t="n"/>
      <c r="AD617" s="48" t="n"/>
      <c r="AE617" s="48" t="n"/>
      <c r="AF617" s="48" t="n"/>
      <c r="AG617" s="48" t="n"/>
      <c r="AH617" s="48" t="n"/>
      <c r="AI617" s="48" t="n"/>
      <c r="AJ617" s="48" t="n"/>
      <c r="AK617" s="48" t="n"/>
      <c r="AL617" s="53" t="n"/>
      <c r="AM617" s="52" t="n"/>
      <c r="AN617" s="48" t="n"/>
      <c r="AO617" s="48" t="n"/>
      <c r="AP617" s="48" t="n"/>
      <c r="AQ617" s="48" t="n"/>
      <c r="AR617" s="48" t="n"/>
      <c r="AS617" s="48" t="n"/>
      <c r="AT617" s="48" t="n"/>
      <c r="AU617" s="48" t="n"/>
      <c r="AV617" s="48" t="n"/>
      <c r="AW617" s="48" t="n"/>
      <c r="AX617" s="48" t="n"/>
      <c r="AY617" s="48" t="n"/>
      <c r="AZ617" s="48" t="n"/>
      <c r="BA617" s="48" t="n"/>
      <c r="BB617" s="48" t="n"/>
      <c r="BC617" s="48" t="n"/>
      <c r="BD617" s="48" t="n"/>
      <c r="BE617" s="48" t="n"/>
      <c r="BF617" s="48" t="n"/>
      <c r="BG617" s="48" t="n"/>
      <c r="BH617" s="48" t="n"/>
      <c r="BI617" s="48" t="n"/>
      <c r="BJ617" s="48" t="n"/>
      <c r="BK617" s="48" t="n"/>
      <c r="BL617" s="48" t="n"/>
      <c r="BM617" s="48" t="n"/>
      <c r="BN617" s="48" t="n"/>
    </row>
    <row r="618">
      <c r="A618" s="47" t="n"/>
      <c r="B618" s="48" t="n"/>
      <c r="C618" s="48" t="n"/>
      <c r="D618" s="49" t="n"/>
      <c r="E618" s="48" t="n"/>
      <c r="F618" s="48" t="n"/>
      <c r="G618" s="50" t="n"/>
      <c r="H618" s="51" t="n"/>
      <c r="I618" s="51" t="n"/>
      <c r="J618" s="48" t="n"/>
      <c r="K618" s="52" t="n"/>
      <c r="L618" s="48" t="n"/>
      <c r="M618" s="48" t="n"/>
      <c r="N618" s="48" t="n"/>
      <c r="O618" s="48" t="n"/>
      <c r="P618" s="48" t="n"/>
      <c r="Q618" s="48" t="n"/>
      <c r="R618" s="48" t="n"/>
      <c r="S618" s="48" t="n"/>
      <c r="T618" s="48" t="n"/>
      <c r="U618" s="48" t="n"/>
      <c r="V618" s="48" t="n"/>
      <c r="W618" s="48" t="n"/>
      <c r="X618" s="48" t="n"/>
      <c r="Y618" s="48" t="n"/>
      <c r="Z618" s="48" t="n"/>
      <c r="AA618" s="48" t="n"/>
      <c r="AB618" s="48" t="n"/>
      <c r="AC618" s="48" t="n"/>
      <c r="AD618" s="48" t="n"/>
      <c r="AE618" s="48" t="n"/>
      <c r="AF618" s="48" t="n"/>
      <c r="AG618" s="48" t="n"/>
      <c r="AH618" s="48" t="n"/>
      <c r="AI618" s="48" t="n"/>
      <c r="AJ618" s="48" t="n"/>
      <c r="AK618" s="48" t="n"/>
      <c r="AL618" s="53" t="n"/>
      <c r="AM618" s="52" t="n"/>
      <c r="AN618" s="48" t="n"/>
      <c r="AO618" s="48" t="n"/>
      <c r="AP618" s="48" t="n"/>
      <c r="AQ618" s="48" t="n"/>
      <c r="AR618" s="48" t="n"/>
      <c r="AS618" s="48" t="n"/>
      <c r="AT618" s="48" t="n"/>
      <c r="AU618" s="48" t="n"/>
      <c r="AV618" s="48" t="n"/>
      <c r="AW618" s="48" t="n"/>
      <c r="AX618" s="48" t="n"/>
      <c r="AY618" s="48" t="n"/>
      <c r="AZ618" s="48" t="n"/>
      <c r="BA618" s="48" t="n"/>
      <c r="BB618" s="48" t="n"/>
      <c r="BC618" s="48" t="n"/>
      <c r="BD618" s="48" t="n"/>
      <c r="BE618" s="48" t="n"/>
      <c r="BF618" s="48" t="n"/>
      <c r="BG618" s="48" t="n"/>
      <c r="BH618" s="48" t="n"/>
      <c r="BI618" s="48" t="n"/>
      <c r="BJ618" s="48" t="n"/>
      <c r="BK618" s="48" t="n"/>
      <c r="BL618" s="48" t="n"/>
      <c r="BM618" s="48" t="n"/>
      <c r="BN618" s="48" t="n"/>
    </row>
    <row r="619">
      <c r="A619" s="47" t="n"/>
      <c r="B619" s="48" t="n"/>
      <c r="C619" s="48" t="n"/>
      <c r="D619" s="49" t="n"/>
      <c r="E619" s="48" t="n"/>
      <c r="F619" s="48" t="n"/>
      <c r="G619" s="50" t="n"/>
      <c r="H619" s="51" t="n"/>
      <c r="I619" s="51" t="n"/>
      <c r="J619" s="48" t="n"/>
      <c r="K619" s="52" t="n"/>
      <c r="L619" s="48" t="n"/>
      <c r="M619" s="48" t="n"/>
      <c r="N619" s="48" t="n"/>
      <c r="O619" s="48" t="n"/>
      <c r="P619" s="48" t="n"/>
      <c r="Q619" s="48" t="n"/>
      <c r="R619" s="48" t="n"/>
      <c r="S619" s="48" t="n"/>
      <c r="T619" s="48" t="n"/>
      <c r="U619" s="48" t="n"/>
      <c r="V619" s="48" t="n"/>
      <c r="W619" s="48" t="n"/>
      <c r="X619" s="48" t="n"/>
      <c r="Y619" s="48" t="n"/>
      <c r="Z619" s="48" t="n"/>
      <c r="AA619" s="48" t="n"/>
      <c r="AB619" s="48" t="n"/>
      <c r="AC619" s="48" t="n"/>
      <c r="AD619" s="48" t="n"/>
      <c r="AE619" s="48" t="n"/>
      <c r="AF619" s="48" t="n"/>
      <c r="AG619" s="48" t="n"/>
      <c r="AH619" s="48" t="n"/>
      <c r="AI619" s="48" t="n"/>
      <c r="AJ619" s="48" t="n"/>
      <c r="AK619" s="48" t="n"/>
      <c r="AL619" s="53" t="n"/>
      <c r="AM619" s="52" t="n"/>
      <c r="AN619" s="48" t="n"/>
      <c r="AO619" s="48" t="n"/>
      <c r="AP619" s="48" t="n"/>
      <c r="AQ619" s="48" t="n"/>
      <c r="AR619" s="48" t="n"/>
      <c r="AS619" s="48" t="n"/>
      <c r="AT619" s="48" t="n"/>
      <c r="AU619" s="48" t="n"/>
      <c r="AV619" s="48" t="n"/>
      <c r="AW619" s="48" t="n"/>
      <c r="AX619" s="48" t="n"/>
      <c r="AY619" s="48" t="n"/>
      <c r="AZ619" s="48" t="n"/>
      <c r="BA619" s="48" t="n"/>
      <c r="BB619" s="48" t="n"/>
      <c r="BC619" s="48" t="n"/>
      <c r="BD619" s="48" t="n"/>
      <c r="BE619" s="48" t="n"/>
      <c r="BF619" s="48" t="n"/>
      <c r="BG619" s="48" t="n"/>
      <c r="BH619" s="48" t="n"/>
      <c r="BI619" s="48" t="n"/>
      <c r="BJ619" s="48" t="n"/>
      <c r="BK619" s="48" t="n"/>
      <c r="BL619" s="48" t="n"/>
      <c r="BM619" s="48" t="n"/>
      <c r="BN619" s="48" t="n"/>
    </row>
    <row r="620">
      <c r="A620" s="47" t="n"/>
      <c r="B620" s="48" t="n"/>
      <c r="C620" s="48" t="n"/>
      <c r="D620" s="49" t="n"/>
      <c r="E620" s="48" t="n"/>
      <c r="F620" s="48" t="n"/>
      <c r="G620" s="50" t="n"/>
      <c r="H620" s="51" t="n"/>
      <c r="I620" s="51" t="n"/>
      <c r="J620" s="48" t="n"/>
      <c r="K620" s="52" t="n"/>
      <c r="L620" s="48" t="n"/>
      <c r="M620" s="48" t="n"/>
      <c r="N620" s="48" t="n"/>
      <c r="O620" s="48" t="n"/>
      <c r="P620" s="48" t="n"/>
      <c r="Q620" s="48" t="n"/>
      <c r="R620" s="48" t="n"/>
      <c r="S620" s="48" t="n"/>
      <c r="T620" s="48" t="n"/>
      <c r="U620" s="48" t="n"/>
      <c r="V620" s="48" t="n"/>
      <c r="W620" s="48" t="n"/>
      <c r="X620" s="48" t="n"/>
      <c r="Y620" s="48" t="n"/>
      <c r="Z620" s="48" t="n"/>
      <c r="AA620" s="48" t="n"/>
      <c r="AB620" s="48" t="n"/>
      <c r="AC620" s="48" t="n"/>
      <c r="AD620" s="48" t="n"/>
      <c r="AE620" s="48" t="n"/>
      <c r="AF620" s="48" t="n"/>
      <c r="AG620" s="48" t="n"/>
      <c r="AH620" s="48" t="n"/>
      <c r="AI620" s="48" t="n"/>
      <c r="AJ620" s="48" t="n"/>
      <c r="AK620" s="48" t="n"/>
      <c r="AL620" s="53" t="n"/>
      <c r="AM620" s="52" t="n"/>
      <c r="AN620" s="48" t="n"/>
      <c r="AO620" s="48" t="n"/>
      <c r="AP620" s="48" t="n"/>
      <c r="AQ620" s="48" t="n"/>
      <c r="AR620" s="48" t="n"/>
      <c r="AS620" s="48" t="n"/>
      <c r="AT620" s="48" t="n"/>
      <c r="AU620" s="48" t="n"/>
      <c r="AV620" s="48" t="n"/>
      <c r="AW620" s="48" t="n"/>
      <c r="AX620" s="48" t="n"/>
      <c r="AY620" s="48" t="n"/>
      <c r="AZ620" s="48" t="n"/>
      <c r="BA620" s="48" t="n"/>
      <c r="BB620" s="48" t="n"/>
      <c r="BC620" s="48" t="n"/>
      <c r="BD620" s="48" t="n"/>
      <c r="BE620" s="48" t="n"/>
      <c r="BF620" s="48" t="n"/>
      <c r="BG620" s="48" t="n"/>
      <c r="BH620" s="48" t="n"/>
      <c r="BI620" s="48" t="n"/>
      <c r="BJ620" s="48" t="n"/>
      <c r="BK620" s="48" t="n"/>
      <c r="BL620" s="48" t="n"/>
      <c r="BM620" s="48" t="n"/>
      <c r="BN620" s="48" t="n"/>
    </row>
    <row r="621">
      <c r="A621" s="47" t="n"/>
      <c r="B621" s="48" t="n"/>
      <c r="C621" s="48" t="n"/>
      <c r="D621" s="49" t="n"/>
      <c r="E621" s="48" t="n"/>
      <c r="F621" s="48" t="n"/>
      <c r="G621" s="50" t="n"/>
      <c r="H621" s="51" t="n"/>
      <c r="I621" s="51" t="n"/>
      <c r="J621" s="48" t="n"/>
      <c r="K621" s="52" t="n"/>
      <c r="L621" s="48" t="n"/>
      <c r="M621" s="48" t="n"/>
      <c r="N621" s="48" t="n"/>
      <c r="O621" s="48" t="n"/>
      <c r="P621" s="48" t="n"/>
      <c r="Q621" s="48" t="n"/>
      <c r="R621" s="48" t="n"/>
      <c r="S621" s="48" t="n"/>
      <c r="T621" s="48" t="n"/>
      <c r="U621" s="48" t="n"/>
      <c r="V621" s="48" t="n"/>
      <c r="W621" s="48" t="n"/>
      <c r="X621" s="48" t="n"/>
      <c r="Y621" s="48" t="n"/>
      <c r="Z621" s="48" t="n"/>
      <c r="AA621" s="48" t="n"/>
      <c r="AB621" s="48" t="n"/>
      <c r="AC621" s="48" t="n"/>
      <c r="AD621" s="48" t="n"/>
      <c r="AE621" s="48" t="n"/>
      <c r="AF621" s="48" t="n"/>
      <c r="AG621" s="48" t="n"/>
      <c r="AH621" s="48" t="n"/>
      <c r="AI621" s="48" t="n"/>
      <c r="AJ621" s="48" t="n"/>
      <c r="AK621" s="48" t="n"/>
      <c r="AL621" s="53" t="n"/>
      <c r="AM621" s="52" t="n"/>
      <c r="AN621" s="48" t="n"/>
      <c r="AO621" s="48" t="n"/>
      <c r="AP621" s="48" t="n"/>
      <c r="AQ621" s="48" t="n"/>
      <c r="AR621" s="48" t="n"/>
      <c r="AS621" s="48" t="n"/>
      <c r="AT621" s="48" t="n"/>
      <c r="AU621" s="48" t="n"/>
      <c r="AV621" s="48" t="n"/>
      <c r="AW621" s="48" t="n"/>
      <c r="AX621" s="48" t="n"/>
      <c r="AY621" s="48" t="n"/>
      <c r="AZ621" s="48" t="n"/>
      <c r="BA621" s="48" t="n"/>
      <c r="BB621" s="48" t="n"/>
      <c r="BC621" s="48" t="n"/>
      <c r="BD621" s="48" t="n"/>
      <c r="BE621" s="48" t="n"/>
      <c r="BF621" s="48" t="n"/>
      <c r="BG621" s="48" t="n"/>
      <c r="BH621" s="48" t="n"/>
      <c r="BI621" s="48" t="n"/>
      <c r="BJ621" s="48" t="n"/>
      <c r="BK621" s="48" t="n"/>
      <c r="BL621" s="48" t="n"/>
      <c r="BM621" s="48" t="n"/>
      <c r="BN621" s="48" t="n"/>
    </row>
    <row r="622">
      <c r="A622" s="47" t="n"/>
      <c r="B622" s="48" t="n"/>
      <c r="C622" s="48" t="n"/>
      <c r="D622" s="49" t="n"/>
      <c r="E622" s="48" t="n"/>
      <c r="F622" s="48" t="n"/>
      <c r="G622" s="50" t="n"/>
      <c r="H622" s="51" t="n"/>
      <c r="I622" s="51" t="n"/>
      <c r="J622" s="48" t="n"/>
      <c r="K622" s="52" t="n"/>
      <c r="L622" s="48" t="n"/>
      <c r="M622" s="48" t="n"/>
      <c r="N622" s="48" t="n"/>
      <c r="O622" s="48" t="n"/>
      <c r="P622" s="48" t="n"/>
      <c r="Q622" s="48" t="n"/>
      <c r="R622" s="48" t="n"/>
      <c r="S622" s="48" t="n"/>
      <c r="T622" s="48" t="n"/>
      <c r="U622" s="48" t="n"/>
      <c r="V622" s="48" t="n"/>
      <c r="W622" s="48" t="n"/>
      <c r="X622" s="48" t="n"/>
      <c r="Y622" s="48" t="n"/>
      <c r="Z622" s="48" t="n"/>
      <c r="AA622" s="48" t="n"/>
      <c r="AB622" s="48" t="n"/>
      <c r="AC622" s="48" t="n"/>
      <c r="AD622" s="48" t="n"/>
      <c r="AE622" s="48" t="n"/>
      <c r="AF622" s="48" t="n"/>
      <c r="AG622" s="48" t="n"/>
      <c r="AH622" s="48" t="n"/>
      <c r="AI622" s="48" t="n"/>
      <c r="AJ622" s="48" t="n"/>
      <c r="AK622" s="48" t="n"/>
      <c r="AL622" s="53" t="n"/>
      <c r="AM622" s="52" t="n"/>
      <c r="AN622" s="48" t="n"/>
      <c r="AO622" s="48" t="n"/>
      <c r="AP622" s="48" t="n"/>
      <c r="AQ622" s="48" t="n"/>
      <c r="AR622" s="48" t="n"/>
      <c r="AS622" s="48" t="n"/>
      <c r="AT622" s="48" t="n"/>
      <c r="AU622" s="48" t="n"/>
      <c r="AV622" s="48" t="n"/>
      <c r="AW622" s="48" t="n"/>
      <c r="AX622" s="48" t="n"/>
      <c r="AY622" s="48" t="n"/>
      <c r="AZ622" s="48" t="n"/>
      <c r="BA622" s="48" t="n"/>
      <c r="BB622" s="48" t="n"/>
      <c r="BC622" s="48" t="n"/>
      <c r="BD622" s="48" t="n"/>
      <c r="BE622" s="48" t="n"/>
      <c r="BF622" s="48" t="n"/>
      <c r="BG622" s="48" t="n"/>
      <c r="BH622" s="48" t="n"/>
      <c r="BI622" s="48" t="n"/>
      <c r="BJ622" s="48" t="n"/>
      <c r="BK622" s="48" t="n"/>
      <c r="BL622" s="48" t="n"/>
      <c r="BM622" s="48" t="n"/>
      <c r="BN622" s="48" t="n"/>
    </row>
    <row r="623">
      <c r="A623" s="47" t="n"/>
      <c r="B623" s="48" t="n"/>
      <c r="C623" s="48" t="n"/>
      <c r="D623" s="49" t="n"/>
      <c r="E623" s="48" t="n"/>
      <c r="F623" s="48" t="n"/>
      <c r="G623" s="50" t="n"/>
      <c r="H623" s="51" t="n"/>
      <c r="I623" s="51" t="n"/>
      <c r="J623" s="48" t="n"/>
      <c r="K623" s="52" t="n"/>
      <c r="L623" s="48" t="n"/>
      <c r="M623" s="48" t="n"/>
      <c r="N623" s="48" t="n"/>
      <c r="O623" s="48" t="n"/>
      <c r="P623" s="48" t="n"/>
      <c r="Q623" s="48" t="n"/>
      <c r="R623" s="48" t="n"/>
      <c r="S623" s="48" t="n"/>
      <c r="T623" s="48" t="n"/>
      <c r="U623" s="48" t="n"/>
      <c r="V623" s="48" t="n"/>
      <c r="W623" s="48" t="n"/>
      <c r="X623" s="48" t="n"/>
      <c r="Y623" s="48" t="n"/>
      <c r="Z623" s="48" t="n"/>
      <c r="AA623" s="48" t="n"/>
      <c r="AB623" s="48" t="n"/>
      <c r="AC623" s="48" t="n"/>
      <c r="AD623" s="48" t="n"/>
      <c r="AE623" s="48" t="n"/>
      <c r="AF623" s="48" t="n"/>
      <c r="AG623" s="48" t="n"/>
      <c r="AH623" s="48" t="n"/>
      <c r="AI623" s="48" t="n"/>
      <c r="AJ623" s="48" t="n"/>
      <c r="AK623" s="48" t="n"/>
      <c r="AL623" s="53" t="n"/>
      <c r="AM623" s="52" t="n"/>
      <c r="AN623" s="48" t="n"/>
      <c r="AO623" s="48" t="n"/>
      <c r="AP623" s="48" t="n"/>
      <c r="AQ623" s="48" t="n"/>
      <c r="AR623" s="48" t="n"/>
      <c r="AS623" s="48" t="n"/>
      <c r="AT623" s="48" t="n"/>
      <c r="AU623" s="48" t="n"/>
      <c r="AV623" s="48" t="n"/>
      <c r="AW623" s="48" t="n"/>
      <c r="AX623" s="48" t="n"/>
      <c r="AY623" s="48" t="n"/>
      <c r="AZ623" s="48" t="n"/>
      <c r="BA623" s="48" t="n"/>
      <c r="BB623" s="48" t="n"/>
      <c r="BC623" s="48" t="n"/>
      <c r="BD623" s="48" t="n"/>
      <c r="BE623" s="48" t="n"/>
      <c r="BF623" s="48" t="n"/>
      <c r="BG623" s="48" t="n"/>
      <c r="BH623" s="48" t="n"/>
      <c r="BI623" s="48" t="n"/>
      <c r="BJ623" s="48" t="n"/>
      <c r="BK623" s="48" t="n"/>
      <c r="BL623" s="48" t="n"/>
      <c r="BM623" s="48" t="n"/>
      <c r="BN623" s="48" t="n"/>
    </row>
    <row r="624">
      <c r="A624" s="47" t="n"/>
      <c r="B624" s="48" t="n"/>
      <c r="C624" s="48" t="n"/>
      <c r="D624" s="49" t="n"/>
      <c r="E624" s="48" t="n"/>
      <c r="F624" s="48" t="n"/>
      <c r="G624" s="50" t="n"/>
      <c r="H624" s="51" t="n"/>
      <c r="I624" s="51" t="n"/>
      <c r="J624" s="48" t="n"/>
      <c r="K624" s="52" t="n"/>
      <c r="L624" s="48" t="n"/>
      <c r="M624" s="48" t="n"/>
      <c r="N624" s="48" t="n"/>
      <c r="O624" s="48" t="n"/>
      <c r="P624" s="48" t="n"/>
      <c r="Q624" s="48" t="n"/>
      <c r="R624" s="48" t="n"/>
      <c r="S624" s="48" t="n"/>
      <c r="T624" s="48" t="n"/>
      <c r="U624" s="48" t="n"/>
      <c r="V624" s="48" t="n"/>
      <c r="W624" s="48" t="n"/>
      <c r="X624" s="48" t="n"/>
      <c r="Y624" s="48" t="n"/>
      <c r="Z624" s="48" t="n"/>
      <c r="AA624" s="48" t="n"/>
      <c r="AB624" s="48" t="n"/>
      <c r="AC624" s="48" t="n"/>
      <c r="AD624" s="48" t="n"/>
      <c r="AE624" s="48" t="n"/>
      <c r="AF624" s="48" t="n"/>
      <c r="AG624" s="48" t="n"/>
      <c r="AH624" s="48" t="n"/>
      <c r="AI624" s="48" t="n"/>
      <c r="AJ624" s="48" t="n"/>
      <c r="AK624" s="48" t="n"/>
      <c r="AL624" s="53" t="n"/>
      <c r="AM624" s="52" t="n"/>
      <c r="AN624" s="48" t="n"/>
      <c r="AO624" s="48" t="n"/>
      <c r="AP624" s="48" t="n"/>
      <c r="AQ624" s="48" t="n"/>
      <c r="AR624" s="48" t="n"/>
      <c r="AS624" s="48" t="n"/>
      <c r="AT624" s="48" t="n"/>
      <c r="AU624" s="48" t="n"/>
      <c r="AV624" s="48" t="n"/>
      <c r="AW624" s="48" t="n"/>
      <c r="AX624" s="48" t="n"/>
      <c r="AY624" s="48" t="n"/>
      <c r="AZ624" s="48" t="n"/>
      <c r="BA624" s="48" t="n"/>
      <c r="BB624" s="48" t="n"/>
      <c r="BC624" s="48" t="n"/>
      <c r="BD624" s="48" t="n"/>
      <c r="BE624" s="48" t="n"/>
      <c r="BF624" s="48" t="n"/>
      <c r="BG624" s="48" t="n"/>
      <c r="BH624" s="48" t="n"/>
      <c r="BI624" s="48" t="n"/>
      <c r="BJ624" s="48" t="n"/>
      <c r="BK624" s="48" t="n"/>
      <c r="BL624" s="48" t="n"/>
      <c r="BM624" s="48" t="n"/>
      <c r="BN624" s="48" t="n"/>
    </row>
  </sheetData>
  <conditionalFormatting sqref="K2:AL194">
    <cfRule type="expression" priority="1" dxfId="6">
      <formula>AM2=0</formula>
    </cfRule>
  </conditionalFormatting>
  <dataValidations count="2">
    <dataValidation sqref="E2:F194" showDropDown="0" showInputMessage="0" showErrorMessage="0" allowBlank="1" type="list">
      <formula1>"YES"</formula1>
    </dataValidation>
    <dataValidation sqref="I2:I194 K2:Q194 AL2:AL194"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9.75" customWidth="1" style="93" min="1" max="1"/>
    <col width="12.63" customWidth="1" style="93" min="2" max="2"/>
    <col width="37.63" customWidth="1" style="93" min="3" max="4"/>
    <col width="11.38" customWidth="1" style="93" min="5" max="5"/>
    <col width="37.63" customWidth="1" style="93" min="6" max="6"/>
    <col width="20.13" customWidth="1" style="93" min="7" max="7"/>
    <col width="17.88" customWidth="1" style="93" min="8" max="8"/>
    <col width="25.13" customWidth="1" style="93" min="9" max="10"/>
    <col width="14.63" customWidth="1" style="93" min="11" max="11"/>
    <col width="15.5" customWidth="1" style="93" min="12" max="13"/>
  </cols>
  <sheetData>
    <row r="1" ht="22.5" customHeight="1" s="93">
      <c r="A1" s="54" t="inlineStr">
        <is>
          <t>#</t>
        </is>
      </c>
      <c r="B1" s="55" t="inlineStr">
        <is>
          <t>Part</t>
        </is>
      </c>
      <c r="C1" s="56" t="inlineStr">
        <is>
          <t>Stimulus</t>
        </is>
      </c>
      <c r="D1" s="56" t="inlineStr">
        <is>
          <t>Question</t>
        </is>
      </c>
      <c r="E1" s="57" t="inlineStr">
        <is>
          <t>Answer</t>
        </is>
      </c>
      <c r="F1" s="58" t="inlineStr">
        <is>
          <t>Full Answer</t>
        </is>
      </c>
      <c r="G1" s="57" t="inlineStr">
        <is>
          <t>Stimulus Type</t>
        </is>
      </c>
      <c r="H1" s="58" t="inlineStr">
        <is>
          <t>Source Type</t>
        </is>
      </c>
      <c r="I1" s="56" t="inlineStr">
        <is>
          <t>Task Model</t>
        </is>
      </c>
      <c r="J1" s="59" t="inlineStr">
        <is>
          <t>Skill</t>
        </is>
      </c>
      <c r="K1" s="60" t="inlineStr">
        <is>
          <t>Content</t>
        </is>
      </c>
      <c r="L1" s="55" t="inlineStr">
        <is>
          <t>Need OI?</t>
        </is>
      </c>
      <c r="M1" s="55" t="inlineStr">
        <is>
          <t>Point Biserial</t>
        </is>
      </c>
      <c r="N1" t="inlineStr">
        <is>
          <t>Option 1</t>
        </is>
      </c>
      <c r="O1" t="inlineStr">
        <is>
          <t>Option 2</t>
        </is>
      </c>
      <c r="P1" t="inlineStr">
        <is>
          <t>Option 3</t>
        </is>
      </c>
      <c r="Q1" t="inlineStr">
        <is>
          <t>Option 4</t>
        </is>
      </c>
    </row>
    <row r="2" ht="22.5" customHeight="1" s="93">
      <c r="A2" s="61" t="n">
        <v>1</v>
      </c>
      <c r="B2" s="84" t="inlineStr">
        <is>
          <t>Part I</t>
        </is>
      </c>
      <c r="C2" s="85" t="inlineStr">
        <is>
          <t>John W. Dower, “Throwing Off  Asia ,” Massachusetts Institute of Technology, 2008</t>
        </is>
      </c>
      <c r="D2" s="85" t="inlineStr">
        <is>
          <t>What claim is best supported by this passage?</t>
        </is>
      </c>
      <c r="E2" s="64" t="n">
        <v>4</v>
      </c>
      <c r="F2" s="65" t="inlineStr">
        <is>
          <t>Japan experienced a period of cultural development despite its isolation.</t>
        </is>
      </c>
      <c r="G2" s="85" t="inlineStr">
        <is>
          <t>Text-based</t>
        </is>
      </c>
      <c r="H2" s="85" t="inlineStr">
        <is>
          <t>Secondary</t>
        </is>
      </c>
      <c r="I2" s="85" t="inlineStr">
        <is>
          <t>4. Claim Validity (Without Outside Information)</t>
        </is>
      </c>
      <c r="J2" s="86" t="n"/>
      <c r="K2" s="83" t="inlineStr">
        <is>
          <t>10.01b.1</t>
        </is>
      </c>
      <c r="L2" s="69" t="inlineStr">
        <is>
          <t>No</t>
        </is>
      </c>
      <c r="M2" s="70">
        <f>IFERROR(PEARSON(Scores[MC Score],Scores[Question 1]),"")</f>
        <v/>
      </c>
      <c r="N2" t="inlineStr">
        <is>
          <t>Japan challenged China for supremacy in Asia.</t>
        </is>
      </c>
      <c r="O2" t="inlineStr">
        <is>
          <t>Japan relied on natural resources for industrial growth.</t>
        </is>
      </c>
      <c r="P2" t="inlineStr">
        <is>
          <t>Japan made great industrial and territorial gains that rivaled world powers.</t>
        </is>
      </c>
      <c r="Q2" t="inlineStr">
        <is>
          <t>Japan experienced a period of cultural development despite its isolation.</t>
        </is>
      </c>
    </row>
    <row r="3" ht="22.5" customHeight="1" s="93">
      <c r="A3" s="71" t="n">
        <v>2</v>
      </c>
      <c r="B3" s="84" t="inlineStr">
        <is>
          <t>Part I</t>
        </is>
      </c>
      <c r="C3" s="85" t="inlineStr">
        <is>
          <t>John W. Dower, “Throwing Off  Asia ,” Massachusetts Institute of Technology, 2008</t>
        </is>
      </c>
      <c r="D3" s="74" t="inlineStr">
        <is>
          <t>This passage best describes which development in Japanese history?</t>
        </is>
      </c>
      <c r="E3" s="73" t="n">
        <v>1</v>
      </c>
      <c r="F3" s="65" t="inlineStr">
        <is>
          <t>the rule of the Tokugawa Shogunate</t>
        </is>
      </c>
      <c r="G3" s="85" t="inlineStr">
        <is>
          <t>Text-based</t>
        </is>
      </c>
      <c r="H3" s="74" t="inlineStr">
        <is>
          <t>Secondary</t>
        </is>
      </c>
      <c r="I3" s="74" t="inlineStr">
        <is>
          <t>1. Best Use</t>
        </is>
      </c>
      <c r="J3" s="82" t="n"/>
      <c r="K3" s="87" t="inlineStr">
        <is>
          <t>10.01b.1</t>
        </is>
      </c>
      <c r="L3" s="77" t="inlineStr">
        <is>
          <t>Yes</t>
        </is>
      </c>
      <c r="M3" s="70">
        <f>IFERROR(PEARSON(Scores[MC Score],Scores[Question 2]),"")</f>
        <v/>
      </c>
      <c r="N3" t="inlineStr">
        <is>
          <t>the rule of the Tokugawa Shogunate</t>
        </is>
      </c>
      <c r="O3" t="inlineStr">
        <is>
          <t>the arrival of Commodore Matthew Perry</t>
        </is>
      </c>
      <c r="P3" t="inlineStr">
        <is>
          <t>the Meiji Restoration</t>
        </is>
      </c>
      <c r="Q3" t="inlineStr">
        <is>
          <t>the annexation of Korea</t>
        </is>
      </c>
    </row>
    <row r="4" ht="22.5" customHeight="1" s="93">
      <c r="A4" s="61" t="n">
        <v>3</v>
      </c>
      <c r="B4" s="84" t="inlineStr">
        <is>
          <t>Part I</t>
        </is>
      </c>
      <c r="C4" s="85" t="inlineStr">
        <is>
          <t>Declaration of the Rights of Man and of the Citizen, 1789</t>
        </is>
      </c>
      <c r="D4" s="65" t="inlineStr">
        <is>
          <t>Which group would be most likely to support the ideas presented in this document?</t>
        </is>
      </c>
      <c r="E4" s="64" t="n">
        <v>3</v>
      </c>
      <c r="F4" s="65" t="inlineStr">
        <is>
          <t>the Third Estate</t>
        </is>
      </c>
      <c r="G4" s="85" t="inlineStr">
        <is>
          <t>Text-based</t>
        </is>
      </c>
      <c r="H4" s="85" t="inlineStr">
        <is>
          <t>Primary</t>
        </is>
      </c>
      <c r="I4" s="86" t="inlineStr">
        <is>
          <t>14. Stakeholder Issue</t>
        </is>
      </c>
      <c r="J4" s="86" t="n"/>
      <c r="K4" s="83" t="inlineStr">
        <is>
          <t>10.02c.1</t>
        </is>
      </c>
      <c r="L4" s="69" t="inlineStr">
        <is>
          <t>Yes</t>
        </is>
      </c>
      <c r="M4" s="70">
        <f>IFERROR(PEARSON(Scores[MC Score],Scores[Question 3]),"")</f>
        <v/>
      </c>
      <c r="N4" t="inlineStr">
        <is>
          <t>the nobility</t>
        </is>
      </c>
      <c r="O4" t="inlineStr">
        <is>
          <t>the clergy</t>
        </is>
      </c>
      <c r="P4" t="inlineStr">
        <is>
          <t>the Third Estate</t>
        </is>
      </c>
      <c r="Q4" t="inlineStr">
        <is>
          <t>the royal officials</t>
        </is>
      </c>
    </row>
    <row r="5" ht="22.5" customHeight="1" s="93">
      <c r="A5" s="71" t="n">
        <v>4</v>
      </c>
      <c r="B5" s="84" t="inlineStr">
        <is>
          <t>Part I</t>
        </is>
      </c>
      <c r="C5" s="74" t="inlineStr">
        <is>
          <t>Declaration of the Rights of Man and of the Citizen, 1789</t>
        </is>
      </c>
      <c r="D5" s="65" t="inlineStr">
        <is>
          <t>Which claim is best supported by this document?</t>
        </is>
      </c>
      <c r="E5" s="73" t="n">
        <v>2</v>
      </c>
      <c r="F5" s="65" t="inlineStr">
        <is>
          <t>The rights of all citizens should be respected with fairness and justice.</t>
        </is>
      </c>
      <c r="G5" s="85" t="inlineStr">
        <is>
          <t>Text-based</t>
        </is>
      </c>
      <c r="H5" s="74" t="inlineStr">
        <is>
          <t>Primary</t>
        </is>
      </c>
      <c r="I5" s="74" t="inlineStr">
        <is>
          <t>4. Claim Validity (Without Outside Information)</t>
        </is>
      </c>
      <c r="J5" s="82" t="n"/>
      <c r="K5" s="87" t="inlineStr">
        <is>
          <t>10.02c.1</t>
        </is>
      </c>
      <c r="L5" s="77" t="inlineStr">
        <is>
          <t>No</t>
        </is>
      </c>
      <c r="M5" s="70">
        <f>IFERROR(PEARSON(Scores[MC Score],Scores[Question 6]),"")</f>
        <v/>
      </c>
      <c r="N5" t="inlineStr">
        <is>
          <t>People arrested should be presumed guilty until proven innocent.</t>
        </is>
      </c>
      <c r="O5" t="inlineStr">
        <is>
          <t>The rights of all citizens should be respected with fairness and justice.</t>
        </is>
      </c>
      <c r="P5" t="inlineStr">
        <is>
          <t>Religious practices should be limited by the government.</t>
        </is>
      </c>
      <c r="Q5" t="inlineStr">
        <is>
          <t>Freedom of speech should be restricted for the public good.</t>
        </is>
      </c>
    </row>
    <row r="6" ht="22.5" customHeight="1" s="93">
      <c r="A6" s="61" t="n">
        <v>5</v>
      </c>
      <c r="B6" s="84" t="inlineStr">
        <is>
          <t>Part I</t>
        </is>
      </c>
      <c r="C6" s="85" t="inlineStr">
        <is>
          <t>Henry Brun et al., Global History and Geography, Amsco, 2004 (adapted)</t>
        </is>
      </c>
      <c r="D6" s="65" t="inlineStr">
        <is>
          <t>The situation shown on this map was most infl uenced by the</t>
        </is>
      </c>
      <c r="E6" s="64" t="n">
        <v>1</v>
      </c>
      <c r="F6" s="65" t="inlineStr">
        <is>
          <t>French Revolution</t>
        </is>
      </c>
      <c r="G6" s="83" t="inlineStr">
        <is>
          <t>Map-based</t>
        </is>
      </c>
      <c r="H6" s="85" t="inlineStr">
        <is>
          <t>Secondary</t>
        </is>
      </c>
      <c r="I6" s="86" t="inlineStr">
        <is>
          <t>7. Cause</t>
        </is>
      </c>
      <c r="J6" s="86" t="n"/>
      <c r="K6" s="83" t="inlineStr">
        <is>
          <t>10.02c.2</t>
        </is>
      </c>
      <c r="L6" s="69" t="inlineStr">
        <is>
          <t>Yes</t>
        </is>
      </c>
      <c r="M6" s="70">
        <f>IFERROR(PEARSON(Scores[MC Score],Scores[Question 8]),"")</f>
        <v/>
      </c>
      <c r="N6" t="inlineStr">
        <is>
          <t>French Revolution</t>
        </is>
      </c>
      <c r="O6" t="inlineStr">
        <is>
          <t>German Unification</t>
        </is>
      </c>
      <c r="P6" t="inlineStr">
        <is>
          <t>Balfour Declaration</t>
        </is>
      </c>
      <c r="Q6" t="inlineStr">
        <is>
          <t>Treaty of Versailles</t>
        </is>
      </c>
    </row>
    <row r="7" ht="22.5" customHeight="1" s="93">
      <c r="A7" s="71" t="n">
        <v>6</v>
      </c>
      <c r="B7" s="84" t="inlineStr">
        <is>
          <t>Part I</t>
        </is>
      </c>
      <c r="C7" s="74" t="inlineStr">
        <is>
          <t>Henry Brun et al., Global History and Geography, Amsco, 2004 (adapted)</t>
        </is>
      </c>
      <c r="D7" s="65" t="inlineStr">
        <is>
          <t>Which claim about Latin America is best supported by the information on this map?</t>
        </is>
      </c>
      <c r="E7" s="73" t="n">
        <v>3</v>
      </c>
      <c r="F7" s="65" t="inlineStr">
        <is>
          <t>Nationalism became a growing force during the 19th century.</t>
        </is>
      </c>
      <c r="G7" s="83" t="inlineStr">
        <is>
          <t>Map-based</t>
        </is>
      </c>
      <c r="H7" s="74" t="inlineStr">
        <is>
          <t>Secondary</t>
        </is>
      </c>
      <c r="I7" s="74" t="inlineStr">
        <is>
          <t>13. Interpret Visual Data</t>
        </is>
      </c>
      <c r="J7" s="82" t="n"/>
      <c r="K7" s="87" t="inlineStr">
        <is>
          <t>10.02c.2</t>
        </is>
      </c>
      <c r="L7" s="77" t="inlineStr">
        <is>
          <t>No</t>
        </is>
      </c>
      <c r="M7" s="70">
        <f>IFERROR(PEARSON(Scores[MC Score],Scores[Question 4]),"")</f>
        <v/>
      </c>
      <c r="N7" t="inlineStr">
        <is>
          <t>European countries had control over most of the region until World War I.</t>
        </is>
      </c>
      <c r="O7" t="inlineStr">
        <is>
          <t>Most independence movements occurred in the 20th century.</t>
        </is>
      </c>
      <c r="P7" t="inlineStr">
        <is>
          <t>Nationalism became a growing force during the 19th century.</t>
        </is>
      </c>
      <c r="Q7" t="inlineStr">
        <is>
          <t>Most countries gained independence before the Haitian Revolution.</t>
        </is>
      </c>
    </row>
    <row r="8" ht="22.5" customHeight="1" s="93">
      <c r="A8" s="61" t="n">
        <v>7</v>
      </c>
      <c r="B8" s="84" t="inlineStr">
        <is>
          <t>Part I</t>
        </is>
      </c>
      <c r="C8" s="85" t="inlineStr">
        <is>
          <t>“The Industrial Revolution and the Changing Face of Britain,” The British Museum online</t>
        </is>
      </c>
      <c r="D8" s="65" t="inlineStr">
        <is>
          <t>This passage would be most useful for</t>
        </is>
      </c>
      <c r="E8" s="64" t="n">
        <v>2</v>
      </c>
      <c r="F8" s="65" t="inlineStr">
        <is>
          <t>explaining the economic benefi ts of the Agricultural Revolution in Britain</t>
        </is>
      </c>
      <c r="G8" s="85" t="inlineStr">
        <is>
          <t>Text-based</t>
        </is>
      </c>
      <c r="H8" s="85" t="inlineStr">
        <is>
          <t>Secondary</t>
        </is>
      </c>
      <c r="I8" s="86" t="inlineStr">
        <is>
          <t>1. Best Use</t>
        </is>
      </c>
      <c r="J8" s="86" t="n"/>
      <c r="K8" s="83" t="inlineStr">
        <is>
          <t>10.03a.1</t>
        </is>
      </c>
      <c r="L8" s="69" t="inlineStr">
        <is>
          <t>Yes</t>
        </is>
      </c>
      <c r="M8" s="70">
        <f>IFERROR(PEARSON(Scores[MC Score],Scores[Question 5]),"")</f>
        <v/>
      </c>
      <c r="N8" t="inlineStr">
        <is>
          <t>studying how urbanization affected British government policies</t>
        </is>
      </c>
      <c r="O8" t="inlineStr">
        <is>
          <t>explaining the economic benefits of the Agricultural Revolution in Britain</t>
        </is>
      </c>
      <c r="P8" t="inlineStr">
        <is>
          <t>analyzing the distribution of natural resources in Britain</t>
        </is>
      </c>
      <c r="Q8" t="inlineStr">
        <is>
          <t>understanding how the Agricultural Revolution led to British imperialism</t>
        </is>
      </c>
    </row>
    <row r="9" ht="22.5" customHeight="1" s="93">
      <c r="A9" s="71" t="n">
        <v>8</v>
      </c>
      <c r="B9" s="84" t="inlineStr">
        <is>
          <t>Part I</t>
        </is>
      </c>
      <c r="C9" s="74" t="inlineStr">
        <is>
          <t>“The Industrial Revolution and the Changing Face of Britain,” The British Museum online</t>
        </is>
      </c>
      <c r="D9" s="65" t="inlineStr">
        <is>
          <t>What was one way British farmers responded to the changes described in this passage?</t>
        </is>
      </c>
      <c r="E9" s="81" t="n">
        <v>3</v>
      </c>
      <c r="F9" s="65" t="inlineStr">
        <is>
          <t>Farmers specialized based on their location</t>
        </is>
      </c>
      <c r="G9" s="85" t="inlineStr">
        <is>
          <t>Text-based</t>
        </is>
      </c>
      <c r="H9" s="74" t="inlineStr">
        <is>
          <t>Secondary</t>
        </is>
      </c>
      <c r="I9" s="82" t="inlineStr">
        <is>
          <t>18. Response to Problem</t>
        </is>
      </c>
      <c r="J9" s="82" t="n"/>
      <c r="K9" s="87" t="inlineStr">
        <is>
          <t>10.03a.1</t>
        </is>
      </c>
      <c r="L9" s="77" t="inlineStr">
        <is>
          <t>No</t>
        </is>
      </c>
      <c r="M9" s="70">
        <f>IFERROR(PEARSON(Scores[MC Score],Scores[Question 8]),"")</f>
        <v/>
      </c>
      <c r="N9" t="inlineStr">
        <is>
          <t>The enclosure system was eliminated.</t>
        </is>
      </c>
      <c r="O9" t="inlineStr">
        <is>
          <t>Agricultural productivity in Britain decreased.</t>
        </is>
      </c>
      <c r="P9" t="inlineStr">
        <is>
          <t>Farmers specialized based on their location.</t>
        </is>
      </c>
      <c r="Q9" t="inlineStr">
        <is>
          <t>Most farmers in the provinces fled to the countryside.</t>
        </is>
      </c>
    </row>
    <row r="10" ht="22.5" customHeight="1" s="93">
      <c r="A10" s="61" t="n">
        <v>9</v>
      </c>
      <c r="B10" s="84" t="inlineStr">
        <is>
          <t>Part I</t>
        </is>
      </c>
      <c r="C10" s="85" t="inlineStr">
        <is>
          <t>Punch, July 3, 1858</t>
        </is>
      </c>
      <c r="D10" s="65" t="inlineStr">
        <is>
          <t>Which statement best explains the cartoonist’s perspective of conditions in London during this time period?</t>
        </is>
      </c>
      <c r="E10" s="64" t="n">
        <v>1</v>
      </c>
      <c r="F10" s="65" t="inlineStr">
        <is>
          <t>Industrialization led to contamination of water supplies and illness.</t>
        </is>
      </c>
      <c r="G10" s="83" t="inlineStr">
        <is>
          <t>Visual-based</t>
        </is>
      </c>
      <c r="H10" s="85" t="inlineStr">
        <is>
          <t>Primary</t>
        </is>
      </c>
      <c r="I10" s="86" t="inlineStr">
        <is>
          <t>2. POV</t>
        </is>
      </c>
      <c r="J10" s="86" t="n"/>
      <c r="K10" s="83" t="inlineStr">
        <is>
          <t>10.09c.3</t>
        </is>
      </c>
      <c r="L10" s="69" t="inlineStr">
        <is>
          <t>No</t>
        </is>
      </c>
      <c r="M10" s="70">
        <f>IFERROR(PEARSON(Scores[MC Score],Scores[Question 9]),"")</f>
        <v/>
      </c>
      <c r="N10" t="inlineStr">
        <is>
          <t>Industrialization led to contamination of water supplies and illness.</t>
        </is>
      </c>
      <c r="O10" t="inlineStr">
        <is>
          <t>The growth of factories contributed to poor working conditions.</t>
        </is>
      </c>
      <c r="P10" t="inlineStr">
        <is>
          <t>Urbanization caused a scarcity of food and mass starvation.</t>
        </is>
      </c>
      <c r="Q10" t="inlineStr">
        <is>
          <t>The church offered support to those living in urban poverty.</t>
        </is>
      </c>
    </row>
    <row r="11" ht="22.5" customHeight="1" s="93">
      <c r="A11" s="71" t="n">
        <v>10</v>
      </c>
      <c r="B11" s="84" t="inlineStr">
        <is>
          <t>Part I</t>
        </is>
      </c>
      <c r="C11" s="74" t="inlineStr">
        <is>
          <t>Punch, July 3, 1858</t>
        </is>
      </c>
      <c r="D11" s="65" t="inlineStr">
        <is>
          <t>What was the cartoonist’s purpose in creating this illustration?</t>
        </is>
      </c>
      <c r="E11" s="73" t="n">
        <v>3</v>
      </c>
      <c r="F11" s="65" t="inlineStr">
        <is>
          <t>to encourage the government to make reforms</t>
        </is>
      </c>
      <c r="G11" s="83" t="inlineStr">
        <is>
          <t>Visual-based</t>
        </is>
      </c>
      <c r="H11" s="74" t="inlineStr">
        <is>
          <t>Primary</t>
        </is>
      </c>
      <c r="I11" s="82" t="inlineStr">
        <is>
          <t>2. POV</t>
        </is>
      </c>
      <c r="J11" s="82" t="n"/>
      <c r="K11" s="87" t="inlineStr">
        <is>
          <t>10.09c.3</t>
        </is>
      </c>
      <c r="L11" s="77" t="inlineStr">
        <is>
          <t>No</t>
        </is>
      </c>
      <c r="M11" s="70">
        <f>IFERROR(PEARSON(Scores[MC Score],Scores[Question 10]),"")</f>
        <v/>
      </c>
      <c r="N11" t="inlineStr">
        <is>
          <t>to attract people to settle in London</t>
        </is>
      </c>
      <c r="O11" t="inlineStr">
        <is>
          <t>to promote Queen Victoria's humanitarian efforts</t>
        </is>
      </c>
      <c r="P11" t="inlineStr">
        <is>
          <t>to encourage the government to make reforms</t>
        </is>
      </c>
      <c r="Q11" t="inlineStr">
        <is>
          <t>to raise public awareness of the impacts of irrigation</t>
        </is>
      </c>
    </row>
    <row r="12" ht="22.5" customHeight="1" s="93">
      <c r="A12" s="61" t="n">
        <v>11</v>
      </c>
      <c r="B12" s="84" t="inlineStr">
        <is>
          <t>Part I</t>
        </is>
      </c>
      <c r="C12" s="85" t="inlineStr">
        <is>
          <t>Kevin Reilly, Worlds of History, Bedford/St. Martin’s, 2007 (adapted)</t>
        </is>
      </c>
      <c r="D12" s="65" t="inlineStr">
        <is>
          <t>Based on this map, which two countries acquired the most foreign territory?</t>
        </is>
      </c>
      <c r="E12" s="84" t="n">
        <v>1</v>
      </c>
      <c r="F12" s="65" t="inlineStr">
        <is>
          <t>Great Britain and France</t>
        </is>
      </c>
      <c r="G12" s="85" t="inlineStr">
        <is>
          <t>Map-based</t>
        </is>
      </c>
      <c r="H12" s="85" t="inlineStr">
        <is>
          <t>Secondary</t>
        </is>
      </c>
      <c r="I12" s="86" t="inlineStr">
        <is>
          <t>13. Interpret Visual Data</t>
        </is>
      </c>
      <c r="J12" s="86" t="n"/>
      <c r="K12" s="83" t="inlineStr">
        <is>
          <t>10.04a.2</t>
        </is>
      </c>
      <c r="L12" s="69" t="inlineStr">
        <is>
          <t>No</t>
        </is>
      </c>
      <c r="M12" s="70">
        <f>IFERROR(PEARSON(Scores[MC Score],Scores[Question 11]),"")</f>
        <v/>
      </c>
      <c r="N12" t="inlineStr">
        <is>
          <t>Great Britain and France</t>
        </is>
      </c>
      <c r="O12" t="inlineStr">
        <is>
          <t>the Netherlands and Belgium</t>
        </is>
      </c>
      <c r="P12" t="inlineStr">
        <is>
          <t>Spain and Portugal</t>
        </is>
      </c>
      <c r="Q12" t="inlineStr">
        <is>
          <t>Germany and Italy</t>
        </is>
      </c>
    </row>
    <row r="13" ht="22.5" customHeight="1" s="93">
      <c r="A13" s="71" t="n">
        <v>12</v>
      </c>
      <c r="B13" s="84" t="inlineStr">
        <is>
          <t>Part I</t>
        </is>
      </c>
      <c r="C13" s="74" t="inlineStr">
        <is>
          <t>Kevin Reilly, Worlds of History, Bedford/St. Martin’s, 2007 (adapted)</t>
        </is>
      </c>
      <c r="D13" s="65" t="inlineStr">
        <is>
          <t>The situation shown on this map was caused in part by European nations’ desire to</t>
        </is>
      </c>
      <c r="E13" s="81" t="n">
        <v>4</v>
      </c>
      <c r="F13" s="65" t="inlineStr">
        <is>
          <t>obtain raw materials for their industries</t>
        </is>
      </c>
      <c r="G13" s="85" t="inlineStr">
        <is>
          <t>Map-based</t>
        </is>
      </c>
      <c r="H13" s="74" t="inlineStr">
        <is>
          <t>Secondary</t>
        </is>
      </c>
      <c r="I13" s="82" t="inlineStr">
        <is>
          <t>7. Cause</t>
        </is>
      </c>
      <c r="J13" s="82" t="n"/>
      <c r="K13" s="87" t="inlineStr">
        <is>
          <t>10.04a.2</t>
        </is>
      </c>
      <c r="L13" s="77" t="inlineStr">
        <is>
          <t>Yes</t>
        </is>
      </c>
      <c r="M13" s="70">
        <f>IFERROR(PEARSON(Scores[MC Score],Scores[Question 12]),"")</f>
        <v/>
      </c>
      <c r="N13" t="inlineStr">
        <is>
          <t>import factory-made goods</t>
        </is>
      </c>
      <c r="O13" t="inlineStr">
        <is>
          <t>encourage immigration into their countries</t>
        </is>
      </c>
      <c r="P13" t="inlineStr">
        <is>
          <t>establish democratic governments worldwide</t>
        </is>
      </c>
      <c r="Q13" t="inlineStr">
        <is>
          <t>obtain raw materials for their industries</t>
        </is>
      </c>
    </row>
    <row r="14" ht="22.5" customHeight="1" s="93">
      <c r="A14" s="61" t="n">
        <v>13</v>
      </c>
      <c r="B14" s="84" t="inlineStr">
        <is>
          <t>Part I</t>
        </is>
      </c>
      <c r="C14" s="85" t="inlineStr">
        <is>
          <t>Philip Dorf, Visualized World History, Oxford, 1948 (adapted)</t>
        </is>
      </c>
      <c r="D14" s="65" t="inlineStr">
        <is>
          <t>Which empire’s decline is depicted in this illustration?</t>
        </is>
      </c>
      <c r="E14" s="84" t="n">
        <v>2</v>
      </c>
      <c r="F14" s="65" t="inlineStr">
        <is>
          <t>Ottoman Empire</t>
        </is>
      </c>
      <c r="G14" s="85" t="inlineStr">
        <is>
          <t>Visual-based</t>
        </is>
      </c>
      <c r="H14" s="85" t="inlineStr">
        <is>
          <t>Primary</t>
        </is>
      </c>
      <c r="I14" s="86" t="inlineStr">
        <is>
          <t>1. Best Use</t>
        </is>
      </c>
      <c r="J14" s="86" t="n"/>
      <c r="K14" s="83" t="inlineStr">
        <is>
          <t>10.02d.1</t>
        </is>
      </c>
      <c r="L14" s="69" t="inlineStr">
        <is>
          <t>Yes</t>
        </is>
      </c>
      <c r="M14" s="70">
        <f>IFERROR(PEARSON(Scores[MC Score],Scores[Question 13]),"")</f>
        <v/>
      </c>
      <c r="N14" t="inlineStr">
        <is>
          <t>Mughal Empire</t>
        </is>
      </c>
      <c r="O14" t="inlineStr">
        <is>
          <t>Ottoman Empire</t>
        </is>
      </c>
      <c r="P14" t="inlineStr">
        <is>
          <t>Austro-Hungarian Empire</t>
        </is>
      </c>
      <c r="Q14" t="inlineStr">
        <is>
          <t>British Empire</t>
        </is>
      </c>
    </row>
    <row r="15" ht="22.5" customHeight="1" s="93">
      <c r="A15" s="71" t="n">
        <v>14</v>
      </c>
      <c r="B15" s="84" t="inlineStr">
        <is>
          <t>Part I</t>
        </is>
      </c>
      <c r="C15" s="74" t="inlineStr">
        <is>
          <t>Philip Dorf, Visualized World History, Oxford, 1948 (adapted)</t>
        </is>
      </c>
      <c r="D15" s="65" t="inlineStr">
        <is>
          <t>The conditions shown in this illustration played a major role in bringing about the</t>
        </is>
      </c>
      <c r="E15" s="81" t="n">
        <v>2</v>
      </c>
      <c r="F15" s="65" t="inlineStr">
        <is>
          <t>start of World War I</t>
        </is>
      </c>
      <c r="G15" s="85" t="inlineStr">
        <is>
          <t>Visual-based</t>
        </is>
      </c>
      <c r="H15" s="74" t="inlineStr">
        <is>
          <t>Primary</t>
        </is>
      </c>
      <c r="I15" s="82" t="inlineStr">
        <is>
          <t>7. Cause</t>
        </is>
      </c>
      <c r="J15" s="82" t="n"/>
      <c r="K15" s="87" t="inlineStr">
        <is>
          <t>10.05a.1</t>
        </is>
      </c>
      <c r="L15" s="77" t="inlineStr">
        <is>
          <t>Yes</t>
        </is>
      </c>
      <c r="M15" s="70">
        <f>IFERROR(PEARSON(Scores[MC Score],Scores[Question 14]),"")</f>
        <v/>
      </c>
      <c r="N15" t="inlineStr">
        <is>
          <t>unification of Italy</t>
        </is>
      </c>
      <c r="O15" t="inlineStr">
        <is>
          <t>start of World War I</t>
        </is>
      </c>
      <c r="P15" t="inlineStr">
        <is>
          <t>Potsdam Conference</t>
        </is>
      </c>
      <c r="Q15" t="inlineStr">
        <is>
          <t>signing of the Warsaw Pact</t>
        </is>
      </c>
    </row>
    <row r="16" ht="22.5" customHeight="1" s="93">
      <c r="A16" s="61" t="n">
        <v>15</v>
      </c>
      <c r="B16" s="84" t="inlineStr">
        <is>
          <t>Part I</t>
        </is>
      </c>
      <c r="C16" s="85" t="inlineStr">
        <is>
          <t>“Armenians Are Sent to Perish in Desert,” New York Times, August 18, 1915</t>
        </is>
      </c>
      <c r="D16" s="65" t="inlineStr">
        <is>
          <t>Which group faced treatment most similar to the group addressed in this article?</t>
        </is>
      </c>
      <c r="E16" s="84" t="n">
        <v>4</v>
      </c>
      <c r="F16" s="65" t="inlineStr">
        <is>
          <t>Jews in Nazi Germany</t>
        </is>
      </c>
      <c r="G16" s="83" t="inlineStr">
        <is>
          <t>Text-based</t>
        </is>
      </c>
      <c r="H16" s="85" t="inlineStr">
        <is>
          <t>Primary</t>
        </is>
      </c>
      <c r="I16" s="86" t="inlineStr">
        <is>
          <t>10. Compare</t>
        </is>
      </c>
      <c r="J16" s="86" t="n"/>
      <c r="K16" s="83" t="inlineStr">
        <is>
          <t>10.05e.1</t>
        </is>
      </c>
      <c r="L16" s="69" t="inlineStr">
        <is>
          <t>Yes</t>
        </is>
      </c>
      <c r="M16" s="70">
        <f>IFERROR(PEARSON(Scores[MC Score],Scores[Question 15]),"")</f>
        <v/>
      </c>
      <c r="N16" t="inlineStr">
        <is>
          <t>the First Estate in pre-revolutionary France</t>
        </is>
      </c>
      <c r="O16" t="inlineStr">
        <is>
          <t>the French in Haiti</t>
        </is>
      </c>
      <c r="P16" t="inlineStr">
        <is>
          <t>Indians under the British Raj</t>
        </is>
      </c>
      <c r="Q16" t="inlineStr">
        <is>
          <t>Jews in Nazi Germany</t>
        </is>
      </c>
    </row>
    <row r="17" ht="22.5" customHeight="1" s="93">
      <c r="A17" s="71" t="n">
        <v>16</v>
      </c>
      <c r="B17" s="84" t="inlineStr">
        <is>
          <t>Part I</t>
        </is>
      </c>
      <c r="C17" s="74" t="inlineStr">
        <is>
          <t>“Armenians Are Sent to Perish in Desert,” New York Times, August 18, 1915</t>
        </is>
      </c>
      <c r="D17" s="65" t="inlineStr">
        <is>
          <t>A historian would fi nd this article most useful for</t>
        </is>
      </c>
      <c r="E17" s="81" t="n">
        <v>3</v>
      </c>
      <c r="F17" s="65" t="inlineStr">
        <is>
          <t>supporting the claim that a genocide took place</t>
        </is>
      </c>
      <c r="G17" s="83" t="inlineStr">
        <is>
          <t>Text-based</t>
        </is>
      </c>
      <c r="H17" s="74" t="inlineStr">
        <is>
          <t>Primary</t>
        </is>
      </c>
      <c r="I17" s="82" t="inlineStr">
        <is>
          <t>1. Best Use</t>
        </is>
      </c>
      <c r="J17" s="82" t="n"/>
      <c r="K17" s="87" t="inlineStr">
        <is>
          <t>10.05e.1</t>
        </is>
      </c>
      <c r="L17" s="77" t="inlineStr">
        <is>
          <t>No</t>
        </is>
      </c>
      <c r="M17" s="70">
        <f>IFERROR(PEARSON(Scores[MC Score],Scores[Question 16]),"")</f>
        <v/>
      </c>
      <c r="N17" t="inlineStr">
        <is>
          <t>identifying the cause of the incident</t>
        </is>
      </c>
      <c r="O17" t="inlineStr">
        <is>
          <t>researching the geography of Turkey</t>
        </is>
      </c>
      <c r="P17" t="inlineStr">
        <is>
          <t>supporting the claim that a genocide took place</t>
        </is>
      </c>
      <c r="Q17" t="inlineStr">
        <is>
          <t>determining the number of people affected by the incident</t>
        </is>
      </c>
    </row>
    <row r="18" ht="22.5" customHeight="1" s="93">
      <c r="A18" s="61" t="n">
        <v>17</v>
      </c>
      <c r="B18" s="84" t="inlineStr">
        <is>
          <t>Part I</t>
        </is>
      </c>
      <c r="C18" s="85" t="inlineStr">
        <is>
          <t>Speech by Ho Chi Minh, February 18, 1930</t>
        </is>
      </c>
      <c r="D18" s="65" t="inlineStr">
        <is>
          <t>Which claim is best supported by the evidence in this speech?</t>
        </is>
      </c>
      <c r="E18" s="84" t="n">
        <v>4</v>
      </c>
      <c r="F18" s="65" t="inlineStr">
        <is>
          <t>Ho Chi Minh intended to reclaim what the French had taken from his people.</t>
        </is>
      </c>
      <c r="G18" s="83" t="inlineStr">
        <is>
          <t>Text-based</t>
        </is>
      </c>
      <c r="H18" s="85" t="inlineStr">
        <is>
          <t>Primary</t>
        </is>
      </c>
      <c r="I18" s="86" t="inlineStr">
        <is>
          <t>4. Claim Validity (Without Outside Information)</t>
        </is>
      </c>
      <c r="J18" s="86" t="n"/>
      <c r="K18" s="83" t="inlineStr">
        <is>
          <t>10.07a.2</t>
        </is>
      </c>
      <c r="L18" s="69" t="inlineStr">
        <is>
          <t>No</t>
        </is>
      </c>
      <c r="M18" s="70">
        <f>IFERROR(PEARSON(Scores[MC Score],Scores[Question 17]),"")</f>
        <v/>
      </c>
      <c r="N18" t="inlineStr">
        <is>
          <t>Under French control, the Vietnamese economy had grown.</t>
        </is>
      </c>
      <c r="O18" t="inlineStr">
        <is>
          <t>The French had established education systems throughout Indochina.</t>
        </is>
      </c>
      <c r="P18" t="inlineStr">
        <is>
          <t>Ho Chi Minh gained Western support for a democratic republic in Vietnam.</t>
        </is>
      </c>
      <c r="Q18" t="inlineStr">
        <is>
          <t>Ho Chi Minh intended to reclaim what the French had taken from his people.</t>
        </is>
      </c>
    </row>
    <row r="19" ht="22.5" customHeight="1" s="93">
      <c r="A19" s="71" t="n">
        <v>18</v>
      </c>
      <c r="B19" s="84" t="inlineStr">
        <is>
          <t>Part I</t>
        </is>
      </c>
      <c r="C19" s="74" t="inlineStr">
        <is>
          <t>Speech by Ho Chi Minh, February 18, 1930</t>
        </is>
      </c>
      <c r="D19" s="65" t="inlineStr">
        <is>
          <t>Which statement best describes the author’s purpose in delivering this speech?</t>
        </is>
      </c>
      <c r="E19" s="81" t="n">
        <v>3</v>
      </c>
      <c r="F19" s="65" t="inlineStr">
        <is>
          <t>to explain the goals of a Vietnamese nationalist movement</t>
        </is>
      </c>
      <c r="G19" s="83" t="inlineStr">
        <is>
          <t>Text-based</t>
        </is>
      </c>
      <c r="H19" s="74" t="inlineStr">
        <is>
          <t>Primary</t>
        </is>
      </c>
      <c r="I19" s="82" t="inlineStr">
        <is>
          <t>2. POV</t>
        </is>
      </c>
      <c r="J19" s="82" t="n"/>
      <c r="K19" s="87" t="inlineStr">
        <is>
          <t>10.07a.2</t>
        </is>
      </c>
      <c r="L19" s="77" t="inlineStr">
        <is>
          <t>No</t>
        </is>
      </c>
      <c r="M19" s="70">
        <f>IFERROR(PEARSON(Scores[MC Score],Scores[Question 18]),"")</f>
        <v/>
      </c>
      <c r="N19" t="inlineStr">
        <is>
          <t>to explain why he is supporting the Communist Revolution in Russia</t>
        </is>
      </c>
      <c r="O19" t="inlineStr">
        <is>
          <t>to ask the French for independence</t>
        </is>
      </c>
      <c r="P19" t="inlineStr">
        <is>
          <t>to explain the goals of a Vietnamese nationalist movement</t>
        </is>
      </c>
      <c r="Q19" t="inlineStr">
        <is>
          <t>to ask for international support for his revolution</t>
        </is>
      </c>
    </row>
    <row r="20" ht="22.5" customHeight="1" s="93">
      <c r="A20" s="61" t="n">
        <v>19</v>
      </c>
      <c r="B20" s="84" t="inlineStr">
        <is>
          <t>Part I</t>
        </is>
      </c>
      <c r="C20" s="85" t="inlineStr">
        <is>
          <t>John Hersey, Hiroshima, Alfred A. Knopf, 1946</t>
        </is>
      </c>
      <c r="D20" s="65" t="inlineStr">
        <is>
          <t>How could a historian best use this passage?</t>
        </is>
      </c>
      <c r="E20" s="84" t="n">
        <v>1</v>
      </c>
      <c r="F20" s="65" t="inlineStr">
        <is>
          <t>to understand how the atomic bomb affected civilians</t>
        </is>
      </c>
      <c r="G20" s="83" t="inlineStr">
        <is>
          <t>Text-based</t>
        </is>
      </c>
      <c r="H20" s="85" t="inlineStr">
        <is>
          <t>Primary</t>
        </is>
      </c>
      <c r="I20" s="86" t="inlineStr">
        <is>
          <t>1. Best Use</t>
        </is>
      </c>
      <c r="J20" s="86" t="n"/>
      <c r="K20" s="83" t="inlineStr">
        <is>
          <t>10.05b.1</t>
        </is>
      </c>
      <c r="L20" s="69" t="inlineStr">
        <is>
          <t>No</t>
        </is>
      </c>
      <c r="M20" s="70">
        <f>IFERROR(PEARSON(Scores[MC Score],Scores[Question 19]),"")</f>
        <v/>
      </c>
      <c r="N20" t="inlineStr">
        <is>
          <t>to understand how the atomic bomb affected civilians</t>
        </is>
      </c>
      <c r="O20" t="inlineStr">
        <is>
          <t>to investigate why the military dropped the atomic bomb</t>
        </is>
      </c>
      <c r="P20" t="inlineStr">
        <is>
          <t>to illustrate how the war effort was affected by the atomic bomb</t>
        </is>
      </c>
      <c r="Q20" t="inlineStr">
        <is>
          <t>to show how the atomic bomb changed government policy</t>
        </is>
      </c>
    </row>
    <row r="21" ht="22.5" customHeight="1" s="93">
      <c r="A21" s="71" t="n">
        <v>20</v>
      </c>
      <c r="B21" s="84" t="inlineStr">
        <is>
          <t>Part I</t>
        </is>
      </c>
      <c r="C21" s="74" t="inlineStr">
        <is>
          <t>John Hersey, Hiroshima, Alfred A. Knopf, 1946</t>
        </is>
      </c>
      <c r="D21" s="65" t="inlineStr">
        <is>
          <t>The events described in the passage led to the</t>
        </is>
      </c>
      <c r="E21" s="81" t="n">
        <v>3</v>
      </c>
      <c r="F21" s="65" t="inlineStr">
        <is>
          <t>Japanese surrender in World War II</t>
        </is>
      </c>
      <c r="G21" s="83" t="inlineStr">
        <is>
          <t>Text-based</t>
        </is>
      </c>
      <c r="H21" s="74" t="inlineStr">
        <is>
          <t>Primary</t>
        </is>
      </c>
      <c r="I21" s="82" t="inlineStr">
        <is>
          <t>8. Effect</t>
        </is>
      </c>
      <c r="J21" s="82" t="n"/>
      <c r="K21" s="87" t="inlineStr">
        <is>
          <t>10.05b.1</t>
        </is>
      </c>
      <c r="L21" s="77" t="inlineStr">
        <is>
          <t>Yes</t>
        </is>
      </c>
      <c r="M21" s="70">
        <f>IFERROR(PEARSON(Scores[MC Score],Scores[Question 20]),"")</f>
        <v/>
      </c>
      <c r="N21" t="inlineStr">
        <is>
          <t>creation of spheres of influence in China</t>
        </is>
      </c>
      <c r="O21" t="inlineStr">
        <is>
          <t>D-Day invasion of Normandy</t>
        </is>
      </c>
      <c r="P21" t="inlineStr">
        <is>
          <t>Japanese surrender in World War II</t>
        </is>
      </c>
      <c r="Q21" t="inlineStr">
        <is>
          <t>collapse of the Soviet Union</t>
        </is>
      </c>
    </row>
    <row r="22" ht="22.5" customHeight="1" s="93">
      <c r="A22" s="61" t="n">
        <v>21</v>
      </c>
      <c r="B22" s="84" t="inlineStr">
        <is>
          <t>Part I</t>
        </is>
      </c>
      <c r="C22" s="85" t="inlineStr">
        <is>
          <t>New York Times Upfront, December 11, 2017</t>
        </is>
      </c>
      <c r="D22" s="65" t="inlineStr">
        <is>
          <t>What claim is best supported by the evidence included in this article?</t>
        </is>
      </c>
      <c r="E22" s="84" t="n">
        <v>4</v>
      </c>
      <c r="F22" s="65" t="inlineStr">
        <is>
          <t>Cold War confl icts in Afghanistan contributed to the rise of the Taliban.</t>
        </is>
      </c>
      <c r="G22" s="83" t="inlineStr">
        <is>
          <t>Text-based</t>
        </is>
      </c>
      <c r="H22" s="85" t="inlineStr">
        <is>
          <t>Secondary</t>
        </is>
      </c>
      <c r="I22" s="86" t="inlineStr">
        <is>
          <t>3. Claim Validity (With Outside Information)</t>
        </is>
      </c>
      <c r="J22" s="86" t="n"/>
      <c r="K22" s="83" t="inlineStr">
        <is>
          <t>10.06b.1</t>
        </is>
      </c>
      <c r="L22" s="69" t="inlineStr">
        <is>
          <t>Yes</t>
        </is>
      </c>
      <c r="M22" s="70">
        <f>IFERROR(PEARSON(Scores[MC Score],Scores[Question 21]),"")</f>
        <v/>
      </c>
      <c r="N22" t="inlineStr">
        <is>
          <t>The United States attempted to eliminate the mujahedeen in the 1980s.</t>
        </is>
      </c>
      <c r="O22" t="inlineStr">
        <is>
          <t>The invasion of Afghanistan secured Soviet influence in the region.</t>
        </is>
      </c>
      <c r="P22" t="inlineStr">
        <is>
          <t>The mujahedeen supported the pro-communist government in Afghanistan.</t>
        </is>
      </c>
      <c r="Q22" t="inlineStr">
        <is>
          <t>Cold War conflicts in Afghanistan contributed to the rise of the Taliban.</t>
        </is>
      </c>
    </row>
    <row r="23" ht="22.5" customHeight="1" s="93">
      <c r="A23" s="71" t="n">
        <v>22</v>
      </c>
      <c r="B23" s="84" t="inlineStr">
        <is>
          <t>Part I</t>
        </is>
      </c>
      <c r="C23" s="74" t="inlineStr">
        <is>
          <t>New York Times Upfront, December 11, 2017</t>
        </is>
      </c>
      <c r="D23" s="65" t="inlineStr">
        <is>
          <t>The American actions described in this article are an example of which policy?</t>
        </is>
      </c>
      <c r="E23" s="81" t="n">
        <v>2</v>
      </c>
      <c r="F23" s="65" t="inlineStr">
        <is>
          <t>containment</t>
        </is>
      </c>
      <c r="G23" s="83" t="inlineStr">
        <is>
          <t>Text-based</t>
        </is>
      </c>
      <c r="H23" s="74" t="inlineStr">
        <is>
          <t>Secondary</t>
        </is>
      </c>
      <c r="I23" s="82" t="inlineStr">
        <is>
          <t>1. Best Use</t>
        </is>
      </c>
      <c r="J23" s="82" t="n"/>
      <c r="K23" s="87" t="inlineStr">
        <is>
          <t>10.06b.1</t>
        </is>
      </c>
      <c r="L23" s="77" t="inlineStr">
        <is>
          <t>Yes</t>
        </is>
      </c>
      <c r="M23" s="70">
        <f>IFERROR(PEARSON(Scores[MC Score],Scores[Question 22]),"")</f>
        <v/>
      </c>
      <c r="N23" t="inlineStr">
        <is>
          <t>perestroika</t>
        </is>
      </c>
      <c r="O23" t="inlineStr">
        <is>
          <t>containment</t>
        </is>
      </c>
      <c r="P23" t="inlineStr">
        <is>
          <t>globalization</t>
        </is>
      </c>
      <c r="Q23" t="inlineStr">
        <is>
          <t>collectivization</t>
        </is>
      </c>
    </row>
    <row r="24" ht="22.5" customHeight="1" s="93">
      <c r="A24" s="61" t="n">
        <v>23</v>
      </c>
      <c r="B24" s="84" t="inlineStr">
        <is>
          <t>Part I</t>
        </is>
      </c>
      <c r="C24" s="85" t="inlineStr">
        <is>
          <t>Mikhail Gorbachev’s resignation speech, December 25, 1991</t>
        </is>
      </c>
      <c r="D24" s="65" t="inlineStr">
        <is>
          <t>The policies described by Mikhail Gorbachev in this speech refer to</t>
        </is>
      </c>
      <c r="E24" s="84" t="n">
        <v>2</v>
      </c>
      <c r="F24" s="65" t="inlineStr">
        <is>
          <t>glasnost</t>
        </is>
      </c>
      <c r="G24" s="83" t="inlineStr">
        <is>
          <t>Text-based</t>
        </is>
      </c>
      <c r="H24" s="85" t="inlineStr">
        <is>
          <t>Primary</t>
        </is>
      </c>
      <c r="I24" s="86" t="inlineStr">
        <is>
          <t>1. Best Use</t>
        </is>
      </c>
      <c r="J24" s="86" t="n"/>
      <c r="K24" s="83" t="inlineStr">
        <is>
          <t>10.06c.1</t>
        </is>
      </c>
      <c r="L24" s="69" t="inlineStr">
        <is>
          <t>Yes</t>
        </is>
      </c>
      <c r="M24" s="70">
        <f>IFERROR(PEARSON(Scores[MC Score],Scores[Question 23]),"")</f>
        <v/>
      </c>
      <c r="N24" t="inlineStr">
        <is>
          <t>nuclear proliferation</t>
        </is>
      </c>
      <c r="O24" t="inlineStr">
        <is>
          <t>glasnost</t>
        </is>
      </c>
      <c r="P24" t="inlineStr">
        <is>
          <t>détente</t>
        </is>
      </c>
      <c r="Q24" t="inlineStr">
        <is>
          <t>nonalignment</t>
        </is>
      </c>
    </row>
    <row r="25" ht="22.5" customHeight="1" s="93">
      <c r="A25" s="71" t="n">
        <v>24</v>
      </c>
      <c r="B25" s="84" t="inlineStr">
        <is>
          <t>Part I</t>
        </is>
      </c>
      <c r="C25" s="74" t="inlineStr">
        <is>
          <t>Mikhail Gorbachev’s resignation speech, December 25, 1991</t>
        </is>
      </c>
      <c r="D25" s="65" t="inlineStr">
        <is>
          <t>This speech is most closely associated with the end of which international confl ict?</t>
        </is>
      </c>
      <c r="E25" s="81" t="n">
        <v>3</v>
      </c>
      <c r="F25" s="65" t="inlineStr">
        <is>
          <t>the Cold War</t>
        </is>
      </c>
      <c r="G25" s="83" t="inlineStr">
        <is>
          <t>Text-based</t>
        </is>
      </c>
      <c r="H25" s="74" t="inlineStr">
        <is>
          <t>Primary</t>
        </is>
      </c>
      <c r="I25" s="82" t="inlineStr">
        <is>
          <t>8. Effect</t>
        </is>
      </c>
      <c r="J25" s="82" t="n"/>
      <c r="K25" s="87" t="inlineStr">
        <is>
          <t>10.06c.2</t>
        </is>
      </c>
      <c r="L25" s="77" t="inlineStr">
        <is>
          <t>Yes</t>
        </is>
      </c>
      <c r="M25" s="70">
        <f>IFERROR(PEARSON(Scores[MC Score],Scores[Question 24]),"")</f>
        <v/>
      </c>
      <c r="N25" t="inlineStr">
        <is>
          <t>the Vietnam War</t>
        </is>
      </c>
      <c r="O25" t="inlineStr">
        <is>
          <t>the Korean War</t>
        </is>
      </c>
      <c r="P25" t="inlineStr">
        <is>
          <t>the Cold War</t>
        </is>
      </c>
      <c r="Q25" t="inlineStr">
        <is>
          <t>the Persian Gulf War</t>
        </is>
      </c>
    </row>
    <row r="26" ht="22.5" customHeight="1" s="93">
      <c r="A26" s="61" t="n">
        <v>25</v>
      </c>
      <c r="B26" s="84" t="inlineStr">
        <is>
          <t>Part I</t>
        </is>
      </c>
      <c r="C26" s="85" t="inlineStr">
        <is>
          <t>Newsweek, October 18, 2010 (adapted)</t>
        </is>
      </c>
      <c r="D26" s="65" t="inlineStr">
        <is>
          <t>Based on this infographic, which region is experiencing the greatest freshwater shortage?</t>
        </is>
      </c>
      <c r="E26" s="84" t="n">
        <v>2</v>
      </c>
      <c r="F26" s="65" t="inlineStr">
        <is>
          <t>Southwest Asia</t>
        </is>
      </c>
      <c r="G26" s="83" t="inlineStr">
        <is>
          <t>Map-based</t>
        </is>
      </c>
      <c r="H26" s="85" t="inlineStr">
        <is>
          <t>Secondary</t>
        </is>
      </c>
      <c r="I26" s="86" t="inlineStr">
        <is>
          <t>13. Interpret Visual Data</t>
        </is>
      </c>
      <c r="J26" s="86" t="n"/>
      <c r="K26" s="83" t="inlineStr">
        <is>
          <t>10.09c.3</t>
        </is>
      </c>
      <c r="L26" s="69" t="inlineStr">
        <is>
          <t>No</t>
        </is>
      </c>
      <c r="M26" s="70">
        <f>IFERROR(PEARSON(Scores[MC Score],Scores[Question 25]),"")</f>
        <v/>
      </c>
      <c r="N26" t="inlineStr">
        <is>
          <t>Eastern Europe</t>
        </is>
      </c>
      <c r="O26" t="inlineStr">
        <is>
          <t>Southwest Asia</t>
        </is>
      </c>
      <c r="P26" t="inlineStr">
        <is>
          <t>South America</t>
        </is>
      </c>
      <c r="Q26" t="inlineStr">
        <is>
          <t>Australia</t>
        </is>
      </c>
    </row>
    <row r="27" ht="22.5" customHeight="1" s="93">
      <c r="A27" s="71" t="n">
        <v>26</v>
      </c>
      <c r="B27" s="84" t="inlineStr">
        <is>
          <t>Part I</t>
        </is>
      </c>
      <c r="C27" s="74" t="inlineStr">
        <is>
          <t>Sarah Pruitt, “10 Memorable Moments in United Nations History,” The History Channel Online, 2015 (adapted)</t>
        </is>
      </c>
      <c r="D27" s="65" t="inlineStr">
        <is>
          <t>This timeline would be most useful to a person attempting to prove</t>
        </is>
      </c>
      <c r="E27" s="81" t="n">
        <v>4</v>
      </c>
      <c r="F27" s="65" t="inlineStr">
        <is>
          <t>the range of United Nations efforts maintaining peace and providing humanitarian aid</t>
        </is>
      </c>
      <c r="G27" s="87" t="inlineStr">
        <is>
          <t>Text-based</t>
        </is>
      </c>
      <c r="H27" s="74" t="inlineStr">
        <is>
          <t>Secondary</t>
        </is>
      </c>
      <c r="I27" s="82" t="inlineStr">
        <is>
          <t>4. Claim Validity (Without Outside Information)</t>
        </is>
      </c>
      <c r="J27" s="82" t="n"/>
      <c r="K27" s="87" t="inlineStr">
        <is>
          <t>10.09d.1</t>
        </is>
      </c>
      <c r="L27" s="77" t="inlineStr">
        <is>
          <t>No</t>
        </is>
      </c>
      <c r="M27" s="70">
        <f>IFERROR(PEARSON(Scores[MC Score],Scores[Question 26]),"")</f>
        <v/>
      </c>
      <c r="N27" t="inlineStr">
        <is>
          <t>how effective the work of the United Nations has been in addressing epidemic disease outbreaks over time</t>
        </is>
      </c>
      <c r="O27" t="inlineStr">
        <is>
          <t>the degree to which the United Nations has been able to promote women's rights in developing regions</t>
        </is>
      </c>
      <c r="P27" t="inlineStr">
        <is>
          <t>the extent to which environmental policy has been supported by member states of the United Nations</t>
        </is>
      </c>
      <c r="Q27" t="inlineStr">
        <is>
          <t>the range of United Nations efforts maintaining peace and providing humanitarian aid</t>
        </is>
      </c>
    </row>
    <row r="28" ht="22.5" customHeight="1" s="93">
      <c r="A28" s="61" t="n">
        <v>27</v>
      </c>
      <c r="B28" s="84" t="inlineStr">
        <is>
          <t>Part I</t>
        </is>
      </c>
      <c r="C28" s="85" t="inlineStr">
        <is>
          <t>Carlotta Gall, “Erdogan’s Plan to Raise a ‘Pious Generation’ Divides Parents in Turkey,” New York Times, June 18, 2018</t>
        </is>
      </c>
      <c r="D28" s="65" t="inlineStr">
        <is>
          <t>What is the central issue described in this article?</t>
        </is>
      </c>
      <c r="E28" s="84" t="n">
        <v>1</v>
      </c>
      <c r="F28" s="65" t="inlineStr">
        <is>
          <t>conflict over Turkey’s cultural identity</t>
        </is>
      </c>
      <c r="G28" s="87" t="inlineStr">
        <is>
          <t>Text-based</t>
        </is>
      </c>
      <c r="H28" s="85" t="inlineStr">
        <is>
          <t>Primary</t>
        </is>
      </c>
      <c r="I28" s="86" t="inlineStr">
        <is>
          <t>17. Problem</t>
        </is>
      </c>
      <c r="J28" s="86" t="n"/>
      <c r="K28" s="83" t="inlineStr">
        <is>
          <t>10.08b.1</t>
        </is>
      </c>
      <c r="L28" s="69" t="inlineStr">
        <is>
          <t>No</t>
        </is>
      </c>
      <c r="M28" s="70">
        <f>IFERROR(PEARSON(Scores[MC Score],Scores[Question 27]),"")</f>
        <v/>
      </c>
      <c r="N28" t="inlineStr">
        <is>
          <t>conflict over Turkey's cultural identity</t>
        </is>
      </c>
      <c r="O28" t="inlineStr">
        <is>
          <t>fighting between Kemal Atatürk and Turkey's President Erdogan</t>
        </is>
      </c>
      <c r="P28" t="inlineStr">
        <is>
          <t>passing aggressive reforms to restore Turkey's democratic institutions</t>
        </is>
      </c>
      <c r="Q28" t="inlineStr">
        <is>
          <t>crackdown on protests by Turkish troops</t>
        </is>
      </c>
    </row>
    <row r="29" ht="22.5" customHeight="1" s="93">
      <c r="A29" s="71" t="n">
        <v>28</v>
      </c>
      <c r="B29" s="84" t="inlineStr">
        <is>
          <t>Part I</t>
        </is>
      </c>
      <c r="C29" s="74" t="inlineStr">
        <is>
          <t>Carlotta Gall, “Erdogan’s Plan to Raise a ‘Pious Generation’ Divides Parents in Turkey,” New York Times, June 18, 2018</t>
        </is>
      </c>
      <c r="D29" s="65" t="inlineStr">
        <is>
          <t>Which event led to changes similar to those described in this article?</t>
        </is>
      </c>
      <c r="E29" s="81" t="n">
        <v>2</v>
      </c>
      <c r="F29" s="65" t="inlineStr">
        <is>
          <t>the Islamic Revolution of 1979 in Iran</t>
        </is>
      </c>
      <c r="G29" s="87" t="inlineStr">
        <is>
          <t>Text-based</t>
        </is>
      </c>
      <c r="H29" s="74" t="inlineStr">
        <is>
          <t>Primary</t>
        </is>
      </c>
      <c r="I29" s="82" t="inlineStr">
        <is>
          <t>10. Compare</t>
        </is>
      </c>
      <c r="J29" s="82" t="n"/>
      <c r="K29" s="87" t="inlineStr">
        <is>
          <t>10.08b.1</t>
        </is>
      </c>
      <c r="L29" s="77" t="inlineStr">
        <is>
          <t>Yes</t>
        </is>
      </c>
      <c r="M29" s="70">
        <f>IFERROR(PEARSON(Scores[MC Score],Scores[Question 28]),"")</f>
        <v/>
      </c>
      <c r="N29" t="inlineStr">
        <is>
          <t>the seizing of the Suez Canal by Gamal Nasser</t>
        </is>
      </c>
      <c r="O29" t="inlineStr">
        <is>
          <t>the Islamic Revolution of 1979 in Iran</t>
        </is>
      </c>
      <c r="P29" t="inlineStr">
        <is>
          <t>the collapse of the Austrian Empire</t>
        </is>
      </c>
      <c r="Q29" t="inlineStr">
        <is>
          <t>the partition of India in 1948</t>
        </is>
      </c>
    </row>
  </sheetData>
  <dataValidations count="7">
    <dataValidation sqref="B2:B29" showDropDown="0" showInputMessage="0" showErrorMessage="0" allowBlank="1" type="list">
      <formula1>"Part I,Part II,Part IIIA,Part IIIB"</formula1>
    </dataValidation>
    <dataValidation sqref="M2:M29" showDropDown="1" showInputMessage="0" showErrorMessage="0" allowBlank="1" type="custom">
      <formula1>AND(ISNUMBER(M2),(NOT(OR(NOT(ISERROR(DATEVALUE(M2))), AND(ISNUMBER(M2), LEFT(CELL("format", M2))="D")))))</formula1>
    </dataValidation>
    <dataValidation sqref="L2:L29" showDropDown="0" showInputMessage="0" showErrorMessage="0" allowBlank="1" type="list">
      <formula1>"Yes,No"</formula1>
    </dataValidation>
    <dataValidation sqref="I2:I29"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G2:G29" showDropDown="0" showInputMessage="0" showErrorMessage="0" allowBlank="1" type="list">
      <formula1>"Text-based,Map-based,Data-based,Visual-based"</formula1>
    </dataValidation>
    <dataValidation sqref="J2:K29" showDropDown="0" showInputMessage="0" showErrorMessage="0" allowBlank="1" type="list">
      <formula1>#REF!</formula1>
    </dataValidation>
    <dataValidation sqref="H2:H29" showDropDown="0" showInputMessage="0" showErrorMessage="0" allowBlank="1" type="list">
      <formula1>"Primary,Secondary,Both"</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E158"/>
  <sheetViews>
    <sheetView workbookViewId="0">
      <pane ySplit="1" topLeftCell="A2" activePane="bottomLeft" state="frozen"/>
      <selection pane="bottomLeft" activeCell="B3" sqref="B3"/>
    </sheetView>
  </sheetViews>
  <sheetFormatPr baseColWidth="8" defaultColWidth="12.63" defaultRowHeight="15.75" customHeight="1"/>
  <cols>
    <col width="8.75" customWidth="1" style="93" min="1" max="1"/>
    <col width="25.13" customWidth="1" style="93" min="2" max="2"/>
    <col hidden="1" width="50.13" customWidth="1" style="93" min="3" max="3"/>
    <col width="50.13" customWidth="1" style="93" min="4" max="5"/>
  </cols>
  <sheetData>
    <row r="1" ht="22.5" customHeight="1" s="93">
      <c r="A1" s="88" t="inlineStr">
        <is>
          <t>#</t>
        </is>
      </c>
      <c r="B1" s="89" t="inlineStr">
        <is>
          <t>Unit / Concept / Content</t>
        </is>
      </c>
      <c r="C1" s="89" t="inlineStr">
        <is>
          <t>Unit</t>
        </is>
      </c>
      <c r="D1" s="89" t="inlineStr">
        <is>
          <t>Conceptual Understanding</t>
        </is>
      </c>
      <c r="E1" s="89" t="inlineStr">
        <is>
          <t>Specifications</t>
        </is>
      </c>
    </row>
    <row r="2" hidden="1" ht="22.5" customHeight="1" s="93">
      <c r="A2" s="88" t="n">
        <v>11.01</v>
      </c>
      <c r="B2" s="90" t="inlineStr">
        <is>
          <t>Colonial Foundations (1607-1763)</t>
        </is>
      </c>
      <c r="C2" s="91"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91"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E2" s="91" t="n"/>
    </row>
    <row r="3" ht="22.5" customHeight="1" s="93">
      <c r="A3" s="88" t="n">
        <v>10.01</v>
      </c>
      <c r="B3" s="89" t="inlineStr">
        <is>
          <t>The World in 1750</t>
        </is>
      </c>
      <c r="C3" s="91" t="inlineStr">
        <is>
          <t>THE WORLD in 1750</t>
        </is>
      </c>
      <c r="D3" s="91"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c r="E3" s="91"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row>
    <row r="4" ht="22.5" customHeight="1" s="93">
      <c r="A4" s="88" t="inlineStr">
        <is>
          <t>10.01a</t>
        </is>
      </c>
      <c r="B4" s="89" t="inlineStr">
        <is>
          <t>Eurasian States and Empires ca. 1750</t>
        </is>
      </c>
      <c r="C4" s="91" t="inlineStr">
        <is>
          <t>THE WORLD in 1750</t>
        </is>
      </c>
      <c r="D4" s="91" t="inlineStr">
        <is>
          <t>Powerful Eurasian states and empires faced and responded to challenges ca. 1750.</t>
        </is>
      </c>
      <c r="E4" s="91" t="inlineStr">
        <is>
          <t>Powerful Eurasian states and empires faced and responded to challenges ca. 1750.</t>
        </is>
      </c>
    </row>
    <row r="5" ht="22.5" customHeight="1" s="93">
      <c r="A5" s="88" t="inlineStr">
        <is>
          <t>10.01a.1</t>
        </is>
      </c>
      <c r="B5" s="89" t="inlineStr">
        <is>
          <t>Mughal &amp; Ottoman (c. 1750)</t>
        </is>
      </c>
      <c r="C5" s="91" t="inlineStr">
        <is>
          <t>THE WORLD in 1750</t>
        </is>
      </c>
      <c r="D5" s="91" t="inlineStr">
        <is>
          <t>Powerful Eurasian states and empires faced and responded to challenges ca. 1750.</t>
        </is>
      </c>
      <c r="E5" s="91" t="inlineStr">
        <is>
          <t>Students will compare and contrast the Mughal Empire and the Ottoman Empire in 1750 in terms of religious and ethnic tolerance, political organization, and commercial activity.</t>
        </is>
      </c>
    </row>
    <row r="6" ht="22.5" customHeight="1" s="93">
      <c r="A6" s="88" t="inlineStr">
        <is>
          <t>10.01a.2</t>
        </is>
      </c>
      <c r="B6" s="89" t="inlineStr">
        <is>
          <t>Tokugawa Shogunate</t>
        </is>
      </c>
      <c r="C6" s="91" t="inlineStr">
        <is>
          <t>THE WORLD in 1750</t>
        </is>
      </c>
      <c r="D6" s="91" t="inlineStr">
        <is>
          <t>Powerful Eurasian states and empires faced and responded to challenges ca. 1750.</t>
        </is>
      </c>
      <c r="E6" s="91" t="inlineStr">
        <is>
          <t>Students will examine efforts to unify, stabilize, and centralize Japan under the rule of the Tokugawa Shogunate.</t>
        </is>
      </c>
    </row>
    <row r="7" ht="22.5" customHeight="1" s="93">
      <c r="A7" s="88" t="inlineStr">
        <is>
          <t>10.01a.3</t>
        </is>
      </c>
      <c r="B7" s="89" t="inlineStr">
        <is>
          <t>Comparing Tokugawa Shogunate &amp; Bourbon Dynasty</t>
        </is>
      </c>
      <c r="C7" s="91" t="inlineStr">
        <is>
          <t>THE WORLD in 1750</t>
        </is>
      </c>
      <c r="D7" s="91" t="inlineStr">
        <is>
          <t>Powerful Eurasian states and empires faced and responded to challenges ca. 1750.</t>
        </is>
      </c>
      <c r="E7" s="91" t="inlineStr">
        <is>
          <t>Students will compare and contrast the Tokugawa Shogunate in Japan with France under the rule of the Bourbon Dynasty, looking at the role of Edo and Paris/Versailles, attempts to control the daimyo and nobles, and the development of bureaucracies.</t>
        </is>
      </c>
    </row>
    <row r="8" ht="22.5" customHeight="1" s="93">
      <c r="A8" s="88" t="inlineStr">
        <is>
          <t>10.01b</t>
        </is>
      </c>
      <c r="B8" s="89" t="inlineStr">
        <is>
          <t>Interactions with Outsiders Eurasian States and Empire ca. 1750</t>
        </is>
      </c>
      <c r="C8" s="91" t="inlineStr">
        <is>
          <t>THE WORLD in 1750</t>
        </is>
      </c>
      <c r="D8" s="91" t="inlineStr">
        <is>
          <t>Perceptions of outsiders and interactions with them varied across Eurasia.</t>
        </is>
      </c>
      <c r="E8" s="91" t="inlineStr">
        <is>
          <t>Perceptions of outsiders and interactions with them varied across Eurasia.</t>
        </is>
      </c>
    </row>
    <row r="9" ht="22.5" customHeight="1" s="93">
      <c r="A9" s="88" t="inlineStr">
        <is>
          <t>10.01b.1</t>
        </is>
      </c>
      <c r="B9" s="89" t="inlineStr">
        <is>
          <t>Tokugawa &amp; Mughal Responses to Outsiders</t>
        </is>
      </c>
      <c r="C9" s="91" t="inlineStr">
        <is>
          <t>THE WORLD in 1750</t>
        </is>
      </c>
      <c r="D9" s="91" t="inlineStr">
        <is>
          <t>Perceptions of outsiders and interactions with them varied across Eurasia.</t>
        </is>
      </c>
      <c r="E9" s="91" t="inlineStr">
        <is>
          <t>Students will compare and contrast the Tokugawa and Mughal responses to outsiders, with attention to the impacts of those decisions.</t>
        </is>
      </c>
    </row>
    <row r="10" ht="22.5" customHeight="1" s="93">
      <c r="A10" s="88" t="inlineStr">
        <is>
          <t>10.01b.2</t>
        </is>
      </c>
      <c r="B10" s="89" t="inlineStr">
        <is>
          <t>Eurasia World Map</t>
        </is>
      </c>
      <c r="C10" s="91" t="inlineStr">
        <is>
          <t>THE WORLD in 1750</t>
        </is>
      </c>
      <c r="D10" s="91" t="inlineStr">
        <is>
          <t>Perceptions of outsiders and interactions with them varied across Eurasia.</t>
        </is>
      </c>
      <c r="E10" s="91" t="inlineStr">
        <is>
          <t>Students will create a world map showing the extent of European maritime empires, the Russian Empire, the Ottoman Empire, Mughal Empire, China under the Qing Dynasty, Japan under the Tokugawa Shogunate, Ashanti, Benin, and Dahomey ca. 1750.</t>
        </is>
      </c>
    </row>
    <row r="11" ht="22.5" customHeight="1" s="93">
      <c r="A11" s="88" t="inlineStr">
        <is>
          <t>10.01b.3</t>
        </is>
      </c>
      <c r="B11" s="89" t="inlineStr">
        <is>
          <t>Comparing Empire's Geography &amp; Power</t>
        </is>
      </c>
      <c r="C11" s="91" t="inlineStr">
        <is>
          <t>THE WORLD in 1750</t>
        </is>
      </c>
      <c r="D11" s="91" t="inlineStr">
        <is>
          <t>Perceptions of outsiders and interactions with them varied across Eurasia.</t>
        </is>
      </c>
      <c r="E11" s="91" t="inlineStr">
        <is>
          <t>Students will compare the size of these states, empires, and kingdoms relative to the power they wielded in their regions and in the world.</t>
        </is>
      </c>
    </row>
    <row r="12" ht="22.5" customHeight="1" s="93">
      <c r="A12" s="88" t="n">
        <v>10.02</v>
      </c>
      <c r="B12" s="89" t="inlineStr">
        <is>
          <t>Enlightenment, Revolution, &amp; Nationalism</t>
        </is>
      </c>
      <c r="C12" s="91" t="inlineStr">
        <is>
          <t>ENLIGHTENMENT, REVOLUTION, AND NATIONALISM</t>
        </is>
      </c>
      <c r="D12" s="91"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c r="E12" s="91"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row>
    <row r="13" hidden="1" ht="22.5" customHeight="1" s="93">
      <c r="A13" s="88" t="n">
        <v>11.02</v>
      </c>
      <c r="B13" s="90" t="inlineStr">
        <is>
          <t>Constitutional Foundations (1763–1824)</t>
        </is>
      </c>
      <c r="C13" s="91" t="inlineStr">
        <is>
          <t>Growing political and economic tensions led the American colonists to declare their independence from Great Britain. Once independent, the new nation confronted the challenge of creating a stable federal republic.</t>
        </is>
      </c>
      <c r="D13" s="91" t="inlineStr">
        <is>
          <t>Growing political and economic tensions led the American colonists to declare their independence from Great Britain. Once independent, the new nation confronted the challenge of creating a stable federal republic.</t>
        </is>
      </c>
      <c r="E13" s="91" t="n"/>
    </row>
    <row r="14" ht="22.5" customHeight="1" s="93">
      <c r="A14" s="88" t="inlineStr">
        <is>
          <t>10.02a</t>
        </is>
      </c>
      <c r="B14" s="89" t="inlineStr">
        <is>
          <t>Political Philosophies</t>
        </is>
      </c>
      <c r="C14" s="91" t="inlineStr">
        <is>
          <t>ENLIGHTENMENT, REVOLUTION, AND NATIONALISM</t>
        </is>
      </c>
      <c r="D14" s="91" t="inlineStr">
        <is>
          <t>Enlightenment thinkers developed political philosophies based on natural laws, which included the concepts of social contract, consent of the governed, and the rights of citizens.</t>
        </is>
      </c>
      <c r="E14" s="91" t="inlineStr">
        <is>
          <t>Enlightenment thinkers developed political philosophies based on natural laws, which included the concepts of social contract, consent of the governed, and the rights of citizens.</t>
        </is>
      </c>
    </row>
    <row r="15" ht="22.5" customHeight="1" s="93">
      <c r="A15" s="88" t="inlineStr">
        <is>
          <t>10.02a.1</t>
        </is>
      </c>
      <c r="B15" s="89" t="inlineStr">
        <is>
          <t>Political Philosophies</t>
        </is>
      </c>
      <c r="C15" s="91" t="inlineStr">
        <is>
          <t>ENLIGHTENMENT, REVOLUTION, AND NATIONALISM</t>
        </is>
      </c>
      <c r="D15" s="91" t="inlineStr">
        <is>
          <t>Enlightenment thinkers developed political philosophies based on natural laws, which included the concepts of social contract, consent of the governed, and the rights of citizens.</t>
        </is>
      </c>
      <c r="E15" s="91" t="inlineStr">
        <is>
          <t>Students will examine at least three Enlightenment thinkers, including John Locke, Baron de Montesquieu, and Jean-Jacques Rousseau, and key ideas from their written works.</t>
        </is>
      </c>
    </row>
    <row r="16" ht="22.5" customHeight="1" s="93">
      <c r="A16" s="88" t="inlineStr">
        <is>
          <t>10.02b</t>
        </is>
      </c>
      <c r="B16" s="89" t="inlineStr">
        <is>
          <t>Challenging Tradition</t>
        </is>
      </c>
      <c r="C16" s="91" t="inlineStr">
        <is>
          <t>ENLIGHTENMENT, REVOLUTION, AND NATIONALISM</t>
        </is>
      </c>
      <c r="D16" s="91" t="inlineStr">
        <is>
          <t>Individuals used Enlightenment ideals to challenge traditional beliefs and secure people’s rights in reform movements, such as women’s rights and abolition; some leaders may be considered enlightened despots.</t>
        </is>
      </c>
      <c r="E16" s="91" t="inlineStr">
        <is>
          <t>Individuals used Enlightenment ideals to challenge traditional beliefs and secure people’s rights in reform movements, such as women’s rights and abolition; some leaders may be considered enlightened despots.</t>
        </is>
      </c>
    </row>
    <row r="17" ht="22.5" customHeight="1" s="93">
      <c r="A17" s="88" t="inlineStr">
        <is>
          <t>10.02b.1</t>
        </is>
      </c>
      <c r="B17" s="89" t="inlineStr">
        <is>
          <t>Gender &amp; Abolition</t>
        </is>
      </c>
      <c r="C17" s="91" t="inlineStr">
        <is>
          <t>ENLIGHTENMENT, REVOLUTION, AND NATIONALISM</t>
        </is>
      </c>
      <c r="D17" s="91" t="inlineStr">
        <is>
          <t>Individuals used Enlightenment ideals to challenge traditional beliefs and secure people’s rights in reform movements, such as women’s rights and abolition; some leaders may be considered enlightened despots.</t>
        </is>
      </c>
      <c r="E17" s="91" t="inlineStr">
        <is>
          <t>Students will explore the influence of Enlightenment ideals on issues of gender and abolition by examining the ideas of individuals such as Mary Wollstonecraft and William Wilberforce.</t>
        </is>
      </c>
    </row>
    <row r="18" ht="22.5" customHeight="1" s="93">
      <c r="A18" s="88" t="inlineStr">
        <is>
          <t>10.02b.2</t>
        </is>
      </c>
      <c r="B18" s="89" t="inlineStr">
        <is>
          <t>Enlightened Despots</t>
        </is>
      </c>
      <c r="C18" s="91" t="inlineStr">
        <is>
          <t>ENLIGHTENMENT, REVOLUTION, AND NATIONALISM</t>
        </is>
      </c>
      <c r="D18" s="91" t="inlineStr">
        <is>
          <t>Individuals used Enlightenment ideals to challenge traditional beliefs and secure people’s rights in reform movements, such as women’s rights and abolition; some leaders may be considered enlightened despots.</t>
        </is>
      </c>
      <c r="E18" s="91" t="inlineStr">
        <is>
          <t>Students will examine enlightened despots including Catherine the Great.</t>
        </is>
      </c>
    </row>
    <row r="19" ht="22.5" customHeight="1" s="93">
      <c r="A19" s="88" t="inlineStr">
        <is>
          <t>10.02c</t>
        </is>
      </c>
      <c r="B19" s="89" t="inlineStr">
        <is>
          <t>Political Revolutions</t>
        </is>
      </c>
      <c r="C19" s="91" t="inlineStr">
        <is>
          <t>ENLIGHTENMENT, REVOLUTION, AND NATIONALISM</t>
        </is>
      </c>
      <c r="D19" s="91" t="inlineStr">
        <is>
          <t>Individuals and groups drew upon principles of the Enlightenment to spread rebellions and call for revolutions in France and the Americas.</t>
        </is>
      </c>
      <c r="E19" s="91" t="inlineStr">
        <is>
          <t>Individuals and groups drew upon principles of the Enlightenment to spread rebellions and call for revolutions in France and the Americas.</t>
        </is>
      </c>
    </row>
    <row r="20" ht="22.5" customHeight="1" s="93">
      <c r="A20" s="88" t="inlineStr">
        <is>
          <t>10.02c.1</t>
        </is>
      </c>
      <c r="B20" s="89" t="inlineStr">
        <is>
          <t>French Revolutions</t>
        </is>
      </c>
      <c r="C20" s="91" t="inlineStr">
        <is>
          <t>ENLIGHTENMENT, REVOLUTION, AND NATIONALISM</t>
        </is>
      </c>
      <c r="D20" s="91" t="inlineStr">
        <is>
          <t>Individuals and groups drew upon principles of the Enlightenment to spread rebellions and call for revolutions in France and the Americas.</t>
        </is>
      </c>
      <c r="E20" s="91" t="inlineStr">
        <is>
          <t>Students will examine evidence related to the preconditions of the French Revolution and the course of the revolution, noting the roles of Olympe de Gouges, Maximilien Robespierre, and Napoleon Bonaparte.</t>
        </is>
      </c>
    </row>
    <row r="21" ht="22.5" customHeight="1" s="93">
      <c r="A21" s="88" t="inlineStr">
        <is>
          <t>10.02c.2</t>
        </is>
      </c>
      <c r="B21" s="89" t="inlineStr">
        <is>
          <t>Latin American Revolutions</t>
        </is>
      </c>
      <c r="C21" s="91" t="inlineStr">
        <is>
          <t>ENLIGHTENMENT, REVOLUTION, AND NATIONALISM</t>
        </is>
      </c>
      <c r="D21" s="91" t="inlineStr">
        <is>
          <t>Individuals and groups drew upon principles of the Enlightenment to spread rebellions and call for revolutions in France and the Americas.</t>
        </is>
      </c>
      <c r="E21" s="91" t="inlineStr">
        <is>
          <t>Students will examine the evidence related to the impacts of the French Revolution on resistance and revolutionary movements, noting the roles of Toussaint L'Ouverture and Simon Bolivar.</t>
        </is>
      </c>
    </row>
    <row r="22" ht="22.5" customHeight="1" s="93">
      <c r="A22" s="88" t="inlineStr">
        <is>
          <t>10.02d</t>
        </is>
      </c>
      <c r="B22" s="89" t="inlineStr">
        <is>
          <t>Cultural Identity and Nationalism</t>
        </is>
      </c>
      <c r="C22" s="91" t="inlineStr">
        <is>
          <t>ENLIGHTENMENT, REVOLUTION, AND NATIONALISM</t>
        </is>
      </c>
      <c r="D22" s="91" t="inlineStr">
        <is>
          <t>Cultural identity and nationalism inspired political movements that attempted to unify people into new nation-states and posed challenges to multinational states.</t>
        </is>
      </c>
      <c r="E22" s="91" t="inlineStr">
        <is>
          <t>Cultural identity and nationalism inspired political movements that attempted to unify people into new nation-states and posed challenges to multinational states.</t>
        </is>
      </c>
    </row>
    <row r="23" ht="22.5" customHeight="1" s="93">
      <c r="A23" s="88" t="inlineStr">
        <is>
          <t>10.02d.1</t>
        </is>
      </c>
      <c r="B23" s="89" t="inlineStr">
        <is>
          <t>Italy, Germany &amp; Ottoman, Austrian</t>
        </is>
      </c>
      <c r="C23" s="91" t="inlineStr">
        <is>
          <t>ENLIGHTENMENT, REVOLUTION, AND NATIONALISM</t>
        </is>
      </c>
      <c r="D23" s="91" t="inlineStr">
        <is>
          <t>Cultural identity and nationalism inspired political movements that attempted to unify people into new nation-states and posed challenges to multinational states.</t>
        </is>
      </c>
      <c r="E23" s="91" t="inlineStr">
        <is>
          <t>Students will investigate the role of cultural identity and nationalism in the unification of Italy and Germany and in the dissolution of the Ottoman and Austrian Empires.</t>
        </is>
      </c>
    </row>
    <row r="24" ht="22.5" customHeight="1" s="93">
      <c r="A24" s="88" t="n">
        <v>10.03</v>
      </c>
      <c r="B24" s="89" t="inlineStr">
        <is>
          <t>Industrial Revolution</t>
        </is>
      </c>
      <c r="C24" s="91" t="inlineStr">
        <is>
          <t>CAUSES AND EFFECTS OF THE INDUSTRIAL REVOLUTION</t>
        </is>
      </c>
      <c r="D24" s="91" t="inlineStr">
        <is>
          <t>Innovations in agriculture, production, and transportation led to the Industrial Revolution, which originated in Western Europe and spread over time to Japan and other regions. This led to major population shifts and transformed economic and social systems.</t>
        </is>
      </c>
      <c r="E24" s="91" t="inlineStr">
        <is>
          <t>Innovations in agriculture, production, and transportation led to the Industrial Revolution, which originated in Western Europe and spread over time to Japan and other regions. This led to major population shifts and transformed economic and social systems.</t>
        </is>
      </c>
    </row>
    <row r="25" ht="22.5" customHeight="1" s="93">
      <c r="A25" s="88" t="inlineStr">
        <is>
          <t>10.03a</t>
        </is>
      </c>
      <c r="B25" s="89" t="inlineStr">
        <is>
          <t>Economic and Social Revolutions</t>
        </is>
      </c>
      <c r="C25" s="91" t="inlineStr">
        <is>
          <t>CAUSES AND EFFECTS OF THE INDUSTRIAL REVOLUTION</t>
        </is>
      </c>
      <c r="D25" s="91" t="inlineStr">
        <is>
          <t>Agricultural innovations and technologies enabled people to alter their environment, allowing them to increase and support farming on a large scale.</t>
        </is>
      </c>
      <c r="E25" s="91" t="inlineStr">
        <is>
          <t>Agricultural innovations and technologies enabled people to alter their environment, allowing them to increase and support farming on a large scale.</t>
        </is>
      </c>
    </row>
    <row r="26" ht="22.5" customHeight="1" s="93">
      <c r="A26" s="88" t="inlineStr">
        <is>
          <t>10.03a.1</t>
        </is>
      </c>
      <c r="B26" s="89" t="inlineStr">
        <is>
          <t>British Agricultural Revolution</t>
        </is>
      </c>
      <c r="C26" s="91" t="inlineStr">
        <is>
          <t>CAUSES AND EFFECTS OF THE INDUSTRIAL REVOLUTION</t>
        </is>
      </c>
      <c r="D26" s="91" t="inlineStr">
        <is>
          <t>Agricultural innovations and technologies enabled people to alter their environment, allowing them to increase and support farming on a large scale.</t>
        </is>
      </c>
      <c r="E26" s="91" t="inlineStr">
        <is>
          <t>Students will examine the agricultural revolution in Great Britain.</t>
        </is>
      </c>
    </row>
    <row r="27" ht="22.5" customHeight="1" s="93">
      <c r="A27" s="88" t="inlineStr">
        <is>
          <t>10.03b</t>
        </is>
      </c>
      <c r="B27" s="89" t="inlineStr">
        <is>
          <t>Economics &amp; Innovations</t>
        </is>
      </c>
      <c r="C27" s="91" t="inlineStr">
        <is>
          <t>CAUSES AND EFFECTS OF THE INDUSTRIAL REVOLUTION</t>
        </is>
      </c>
      <c r="D27" s="91" t="inlineStr">
        <is>
          <t>Factors including new economic theories and practices, new sources of energy, and technological innovations influenced the development of new communication and transportation systems and new methods of production. These developments had numerous effects.</t>
        </is>
      </c>
      <c r="E27" s="91" t="inlineStr">
        <is>
          <t>Factors including new economic theories and practices, new sources of energy, and technological innovations influenced the development of new communication and transportation systems and new methods of production. These developments had numerous effects.</t>
        </is>
      </c>
    </row>
    <row r="28" ht="22.5" customHeight="1" s="93">
      <c r="A28" s="88" t="inlineStr">
        <is>
          <t>10.03b.1</t>
        </is>
      </c>
      <c r="B28" s="89" t="inlineStr">
        <is>
          <t>Industrial Production &amp; Economic Practices</t>
        </is>
      </c>
      <c r="C28" s="91" t="inlineStr">
        <is>
          <t>CAUSES AND EFFECTS OF THE INDUSTRIAL REVOLUTION</t>
        </is>
      </c>
      <c r="D28" s="91" t="inlineStr">
        <is>
          <t>Factors including new economic theories and practices, new sources of energy, and technological innovations influenced the development of new communication and transportation systems and new methods of production. These developments had numerous effects.</t>
        </is>
      </c>
      <c r="E28" s="91" t="inlineStr">
        <is>
          <t>Students will analyze the factors and conditions needed to industrialize and to expand industrial production, as well as shifts in economic practices.</t>
        </is>
      </c>
    </row>
    <row r="29" ht="22.5" customHeight="1" s="93">
      <c r="A29" s="88" t="inlineStr">
        <is>
          <t>10.03b.2</t>
        </is>
      </c>
      <c r="B29" s="89" t="inlineStr">
        <is>
          <t>Wealth of Nations</t>
        </is>
      </c>
      <c r="C29" s="91" t="inlineStr">
        <is>
          <t>CAUSES AND EFFECTS OF THE INDUSTRIAL REVOLUTION</t>
        </is>
      </c>
      <c r="D29" s="91" t="inlineStr">
        <is>
          <t>Factors including new economic theories and practices, new sources of energy, and technological innovations influenced the development of new communication and transportation systems and new methods of production. These developments had numerous effects.</t>
        </is>
      </c>
      <c r="E29" s="91" t="inlineStr">
        <is>
          <t>Students will examine the economic theory presented in The Wealth of Nations.</t>
        </is>
      </c>
    </row>
    <row r="30" hidden="1" ht="22.5" customHeight="1" s="93">
      <c r="A30" s="88" t="n">
        <v>11.03</v>
      </c>
      <c r="B30" s="90" t="inlineStr">
        <is>
          <t>Expansion, Nationalism, and Sectionalism (1800-1865)</t>
        </is>
      </c>
      <c r="C30" s="91" t="inlineStr">
        <is>
          <t>As the nation expanded, growing sectional tensions, especially over slavery, resulted in political and constitutional crises that culminated in the Civil War.</t>
        </is>
      </c>
      <c r="D30" s="91" t="inlineStr">
        <is>
          <t>As the nation expanded, growing sectional tensions, especially over slavery, resulted in political and constitutional crises that culminated in the Civil War.</t>
        </is>
      </c>
      <c r="E30" s="91" t="n"/>
    </row>
    <row r="31" ht="22.5" customHeight="1" s="93">
      <c r="A31" s="88" t="inlineStr">
        <is>
          <t>10.03b.3</t>
        </is>
      </c>
      <c r="B31" s="89" t="inlineStr">
        <is>
          <t>Energy, Technology, Communication, &amp; Transportation</t>
        </is>
      </c>
      <c r="C31" s="91" t="inlineStr">
        <is>
          <t>CAUSES AND EFFECTS OF THE INDUSTRIAL REVOLUTION</t>
        </is>
      </c>
      <c r="D31" s="91" t="inlineStr">
        <is>
          <t>Factors including new economic theories and practices, new sources of energy, and technological innovations influenced the development of new communication and transportation systems and new methods of production. These developments had numerous effects.</t>
        </is>
      </c>
      <c r="E31" s="91" t="inlineStr">
        <is>
          <t>Students will examine changes and innovations in energy, technology, communication, and transportation that enabled industrialization.</t>
        </is>
      </c>
    </row>
    <row r="32" ht="22.5" customHeight="1" s="93">
      <c r="A32" s="88" t="inlineStr">
        <is>
          <t>10.03c</t>
        </is>
      </c>
      <c r="B32" s="89" t="inlineStr">
        <is>
          <t>Urbanization &amp; Social Impact</t>
        </is>
      </c>
      <c r="C32" s="91" t="inlineStr">
        <is>
          <t>CAUSES AND EFFECTS OF THE INDUSTRIAL REVOLUTION</t>
        </is>
      </c>
      <c r="D32" s="91" t="inlineStr">
        <is>
          <t>Shifts in population from rural to urban areas led to social changes in class structure, family structure, and the daily lives of people.</t>
        </is>
      </c>
      <c r="E32" s="91" t="inlineStr">
        <is>
          <t>Shifts in population from rural to urban areas led to social changes in class structure, family structure, and the daily lives of people.</t>
        </is>
      </c>
    </row>
    <row r="33" ht="22.5" customHeight="1" s="93">
      <c r="A33" s="88" t="inlineStr">
        <is>
          <t>10.03c.1</t>
        </is>
      </c>
      <c r="B33" s="89" t="inlineStr">
        <is>
          <t>Comparing Victorian England &amp; Meiji Japan</t>
        </is>
      </c>
      <c r="C33" s="91" t="inlineStr">
        <is>
          <t>CAUSES AND EFFECTS OF THE INDUSTRIAL REVOLUTION</t>
        </is>
      </c>
      <c r="D33" s="91" t="inlineStr">
        <is>
          <t>Shifts in population from rural to urban areas led to social changes in class structure, family structure, and the daily lives of people.</t>
        </is>
      </c>
      <c r="E33" s="91" t="inlineStr">
        <is>
          <t>Students will investigate the social, political, and economic impacts of industrialization in Victorian England and Meiji Japan and compare and contrast them.</t>
        </is>
      </c>
    </row>
    <row r="34" ht="22.5" customHeight="1" s="93">
      <c r="A34" s="88" t="inlineStr">
        <is>
          <t>10.03d</t>
        </is>
      </c>
      <c r="B34" s="89" t="inlineStr">
        <is>
          <t>Social &amp; Political Reform</t>
        </is>
      </c>
      <c r="C34" s="91" t="inlineStr">
        <is>
          <t>CAUSES AND EFFECTS OF THE INDUSTRIAL REVOLUTION</t>
        </is>
      </c>
      <c r="D34" s="91" t="inlineStr">
        <is>
          <t>Social and political reform, as well as new ideologies, developed in response to industrial growth.</t>
        </is>
      </c>
      <c r="E34" s="91" t="inlineStr">
        <is>
          <t>Social and political reform, as well as new ideologies, developed in response to industrial growth.</t>
        </is>
      </c>
    </row>
    <row r="35" ht="22.5" customHeight="1" s="93">
      <c r="A35" s="88" t="inlineStr">
        <is>
          <t>10.03d.1</t>
        </is>
      </c>
      <c r="B35" s="89" t="inlineStr">
        <is>
          <t>Suffrage, Education/ Labor Reforms, &amp; Marxism</t>
        </is>
      </c>
      <c r="C35" s="91" t="inlineStr">
        <is>
          <t>CAUSES AND EFFECTS OF THE INDUSTRIAL REVOLUTION</t>
        </is>
      </c>
      <c r="D35" s="91" t="inlineStr">
        <is>
          <t>Social and political reform, as well as new ideologies, developed in response to industrial growth.</t>
        </is>
      </c>
      <c r="E35" s="91" t="inlineStr">
        <is>
          <t>Students will investigate suffrage, education, and labor reforms, as well as ideologies such as Marxism, that were intended to transform society.</t>
        </is>
      </c>
    </row>
    <row r="36" ht="22.5" customHeight="1" s="93">
      <c r="A36" s="88" t="inlineStr">
        <is>
          <t>10.03d.2</t>
        </is>
      </c>
      <c r="B36" s="89" t="inlineStr">
        <is>
          <t>Irish Potato Famine</t>
        </is>
      </c>
      <c r="C36" s="91" t="inlineStr">
        <is>
          <t>CAUSES AND EFFECTS OF THE INDUSTRIAL REVOLUTION</t>
        </is>
      </c>
      <c r="D36" s="91" t="inlineStr">
        <is>
          <t>Social and political reform, as well as new ideologies, developed in response to industrial growth.</t>
        </is>
      </c>
      <c r="E36" s="91" t="inlineStr">
        <is>
          <t>Students will examine the Irish potato famine within the context of the British agricultural revolution and Industrial Revolution.</t>
        </is>
      </c>
    </row>
    <row r="37" ht="22.5" customHeight="1" s="93">
      <c r="A37" s="88" t="n">
        <v>10.04</v>
      </c>
      <c r="B37" s="89" t="inlineStr">
        <is>
          <t>Imperialism</t>
        </is>
      </c>
      <c r="C37" s="91" t="inlineStr">
        <is>
          <t>IMPERIALISM</t>
        </is>
      </c>
      <c r="D37" s="91"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c r="E37" s="91"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row>
    <row r="38" ht="22.5" customHeight="1" s="93">
      <c r="A38" s="88" t="inlineStr">
        <is>
          <t>10.04a</t>
        </is>
      </c>
      <c r="B38" s="89" t="inlineStr">
        <is>
          <t>Europe/Japan &amp; Control of Resources</t>
        </is>
      </c>
      <c r="C38" s="91" t="inlineStr">
        <is>
          <t>IMPERIALISM</t>
        </is>
      </c>
      <c r="D38" s="91" t="inlineStr">
        <is>
          <t>European industrialized states and Japan sought to play a dominant role in the world and to control natural resources for political, economic, and cultural reasons.</t>
        </is>
      </c>
      <c r="E38" s="91" t="inlineStr">
        <is>
          <t>European industrialized states and Japan sought to play a dominant role in the world and to control natural resources for political, economic, and cultural reasons.</t>
        </is>
      </c>
    </row>
    <row r="39" ht="22.5" customHeight="1" s="93">
      <c r="A39" s="88" t="inlineStr">
        <is>
          <t>10.04a.1</t>
        </is>
      </c>
      <c r="B39" s="89" t="inlineStr">
        <is>
          <t>Perspectives on Imperialism</t>
        </is>
      </c>
      <c r="C39" s="91" t="inlineStr">
        <is>
          <t>IMPERIALISM</t>
        </is>
      </c>
      <c r="D39" s="91" t="inlineStr">
        <is>
          <t>European industrialized states and Japan sought to play a dominant role in the world and to control natural resources for political, economic, and cultural reasons.</t>
        </is>
      </c>
      <c r="E39" s="91" t="inlineStr">
        <is>
          <t>Students will explore imperialism from a variety of perspectives such as those of missionaries, indigenous peoples, women, merchants/business people, and government officials.</t>
        </is>
      </c>
    </row>
    <row r="40" ht="22.5" customHeight="1" s="93">
      <c r="A40" s="88" t="inlineStr">
        <is>
          <t>10.04a.2</t>
        </is>
      </c>
      <c r="B40" s="89" t="inlineStr">
        <is>
          <t>Control &amp; Spheres of Influence in Africa &amp; China</t>
        </is>
      </c>
      <c r="C40" s="91" t="inlineStr">
        <is>
          <t>IMPERIALISM</t>
        </is>
      </c>
      <c r="D40" s="91" t="inlineStr">
        <is>
          <t>European industrialized states and Japan sought to play a dominant role in the world and to control natural resources for political, economic, and cultural reasons.</t>
        </is>
      </c>
      <c r="E40" s="91" t="inlineStr">
        <is>
          <t>Students will trace how imperial powers politically and economically controlled territories and people, including direct and indirect rule in Africa (South Africa, Congo, and one other territory), India, Indochina, and spheres of influence in China.</t>
        </is>
      </c>
    </row>
    <row r="41" ht="22.5" customHeight="1" s="93">
      <c r="A41" s="88" t="inlineStr">
        <is>
          <t>10.04b</t>
        </is>
      </c>
      <c r="B41" s="89" t="inlineStr">
        <is>
          <t>Resistance &amp; Adaption to Colonial Rule</t>
        </is>
      </c>
      <c r="C41" s="91" t="inlineStr">
        <is>
          <t>IMPERIALISM</t>
        </is>
      </c>
      <c r="D41" s="91" t="inlineStr">
        <is>
          <t>Those who faced being colonized engaged in varying forms of resistance and adaptation to colonial rule with varying degrees of success.</t>
        </is>
      </c>
      <c r="E41" s="91" t="inlineStr">
        <is>
          <t>Those who faced being colonized engaged in varying forms of resistance and adaptation to colonial rule with varying degrees of success.</t>
        </is>
      </c>
    </row>
    <row r="42" ht="22.5" customHeight="1" s="93">
      <c r="A42" s="88" t="inlineStr">
        <is>
          <t>10.04b.1</t>
        </is>
      </c>
      <c r="B42" s="89" t="inlineStr">
        <is>
          <t>Resistance in Africa &amp; China</t>
        </is>
      </c>
      <c r="C42" s="91" t="inlineStr">
        <is>
          <t>IMPERIALISM</t>
        </is>
      </c>
      <c r="D42" s="91" t="inlineStr">
        <is>
          <t>Those who faced being colonized engaged in varying forms of resistance and adaptation to colonial rule with varying degrees of success.</t>
        </is>
      </c>
      <c r="E42" s="91" t="inlineStr">
        <is>
          <t>Students will investigate one example of resistance in Africa (Zulu, Ethiopia, or Southern Egypt/Sudan) and one in China (Taiping Rebellion or Boxer Rebellion and the role of Empress Dowager CiXi).</t>
        </is>
      </c>
    </row>
    <row r="43" ht="22.5" customHeight="1" s="93">
      <c r="A43" s="88" t="inlineStr">
        <is>
          <t>10.04b.2</t>
        </is>
      </c>
      <c r="B43" s="89" t="inlineStr">
        <is>
          <t>Japanese Reaction to Western Imperialism</t>
        </is>
      </c>
      <c r="C43" s="91" t="inlineStr">
        <is>
          <t>IMPERIALISM</t>
        </is>
      </c>
      <c r="D43" s="91" t="inlineStr">
        <is>
          <t>Those who faced being colonized engaged in varying forms of resistance and adaptation to colonial rule with varying degrees of success.</t>
        </is>
      </c>
      <c r="E43" s="91" t="inlineStr">
        <is>
          <t>Students will investigate how Japan reacted to the threat of Western imperialism in Asia.</t>
        </is>
      </c>
    </row>
    <row r="44" hidden="1" ht="22.5" customHeight="1" s="93">
      <c r="A44" s="88" t="n">
        <v>11.04</v>
      </c>
      <c r="B44" s="90" t="inlineStr">
        <is>
          <t>Post-Civil War Era (1865-1900)</t>
        </is>
      </c>
      <c r="C44" s="91" t="inlineStr">
        <is>
          <t>Reconstruction resulted in political reunion and expanded constitutional rights. However, those rights were undermined, and issues of inequality continued for African Americans, women, Native Americans, Mexican Americans, and Chinese immigrants.</t>
        </is>
      </c>
      <c r="D44" s="91" t="inlineStr">
        <is>
          <t>Reconstruction resulted in political reunion and expanded constitutional rights. However, those rights were undermined, and issues of inequality continued for African Americans, women, Native Americans, Mexican Americans, and Chinese immigrants.</t>
        </is>
      </c>
      <c r="E44" s="91" t="n"/>
    </row>
    <row r="45" ht="22.5" customHeight="1" s="93">
      <c r="A45" s="88" t="inlineStr">
        <is>
          <t>10.04c</t>
        </is>
      </c>
      <c r="B45" s="89" t="inlineStr">
        <is>
          <t>International Conflicts over Control (incl. Berlin Conference)</t>
        </is>
      </c>
      <c r="C45" s="91" t="inlineStr">
        <is>
          <t>IMPERIALISM</t>
        </is>
      </c>
      <c r="D45" s="91" t="inlineStr">
        <is>
          <t>International conflicts developed as imperial powers competed for control. Claims over land often resulted in borders being shifted on political maps, often with little regard for traditional cultures and commerce (e.g., Berlin Conference).</t>
        </is>
      </c>
      <c r="E45" s="91" t="inlineStr">
        <is>
          <t>International conflicts developed as imperial powers competed for control. Claims over land often resulted in borders being shifted on political maps, often with little regard for traditional cultures and commerce (e.g., Berlin Conference).</t>
        </is>
      </c>
    </row>
    <row r="46" ht="22.5" customHeight="1" s="93">
      <c r="A46" s="88" t="inlineStr">
        <is>
          <t>10.04c.1</t>
        </is>
      </c>
      <c r="B46" s="89" t="inlineStr">
        <is>
          <t>Comparing Geography of Africa (c. 1800-1914)</t>
        </is>
      </c>
      <c r="C46" s="91" t="inlineStr">
        <is>
          <t>IMPERIALISM</t>
        </is>
      </c>
      <c r="D46" s="91" t="inlineStr">
        <is>
          <t>International conflicts developed as imperial powers competed for control. Claims over land often resulted in borders being shifted on political maps, often with little regard for traditional cultures and commerce (e.g., Berlin Conference).</t>
        </is>
      </c>
      <c r="E46" s="91" t="inlineStr">
        <is>
          <t>Students will compare and contrast maps of Africa from ca. 1800 and ca. 1914, noting the changes and continuities of ethnic groups and regions, African states, and European claims.</t>
        </is>
      </c>
    </row>
    <row r="47" ht="22.5" customHeight="1" s="93">
      <c r="A47" s="88" t="n">
        <v>10.05</v>
      </c>
      <c r="B47" s="89" t="inlineStr">
        <is>
          <t>World Wars (1914-1945)</t>
        </is>
      </c>
      <c r="C47" s="91" t="inlineStr">
        <is>
          <t>UNRESOLVED GLOBAL CONFLICT (1914–1945)</t>
        </is>
      </c>
      <c r="D47" s="91" t="inlineStr">
        <is>
          <t>World War I and World War II led to geopolitical changes, human and environmental devastation, and attempts to bring stability and peace.</t>
        </is>
      </c>
      <c r="E47" s="91" t="inlineStr">
        <is>
          <t>World War I and World War II led to geopolitical changes, human and environmental devastation, and attempts to bring stability and peace.</t>
        </is>
      </c>
    </row>
    <row r="48" ht="22.5" customHeight="1" s="93">
      <c r="A48" s="88" t="inlineStr">
        <is>
          <t>10.05a</t>
        </is>
      </c>
      <c r="B48" s="89" t="inlineStr">
        <is>
          <t>Nationalism, Imperialism, &amp; Militarism</t>
        </is>
      </c>
      <c r="C48" s="91" t="inlineStr">
        <is>
          <t>UNRESOLVED GLOBAL CONFLICT (1914–1945)</t>
        </is>
      </c>
      <c r="D48" s="91" t="inlineStr">
        <is>
          <t>International competition, fueled by nationalism, imperialism, and militarism along with shifts in the balance of power and alliances, led to world wars.</t>
        </is>
      </c>
      <c r="E48" s="91" t="inlineStr">
        <is>
          <t>International competition, fueled by nationalism, imperialism, and militarism along with shifts in the balance of power and alliances, led to world wars.</t>
        </is>
      </c>
    </row>
    <row r="49" ht="22.5" customHeight="1" s="93">
      <c r="A49" s="88" t="inlineStr">
        <is>
          <t>10.05a.1</t>
        </is>
      </c>
      <c r="B49" s="89" t="inlineStr">
        <is>
          <t>Comparing Cause &amp; Effects of the World Wars</t>
        </is>
      </c>
      <c r="C49" s="91" t="inlineStr">
        <is>
          <t>UNRESOLVED GLOBAL CONFLICT (1914–1945)</t>
        </is>
      </c>
      <c r="D49" s="91" t="inlineStr">
        <is>
          <t>International competition, fueled by nationalism, imperialism, and militarism along with shifts in the balance of power and alliances, led to world wars.</t>
        </is>
      </c>
      <c r="E49" s="91" t="inlineStr">
        <is>
          <t>Students will compare and contrast long- and short-term causes and effects of World War I and World War II.</t>
        </is>
      </c>
    </row>
    <row r="50" ht="22.5" customHeight="1" s="93">
      <c r="A50" s="88" t="inlineStr">
        <is>
          <t>10.05b</t>
        </is>
      </c>
      <c r="B50" s="89" t="inlineStr">
        <is>
          <t>Technological Development</t>
        </is>
      </c>
      <c r="C50" s="91" t="inlineStr">
        <is>
          <t>UNRESOLVED GLOBAL CONFLICT (1914–1945)</t>
        </is>
      </c>
      <c r="D50" s="91" t="inlineStr">
        <is>
          <t>Technological developments increased the extent of damage and casualties in both World War I and World War II.</t>
        </is>
      </c>
      <c r="E50" s="91" t="inlineStr">
        <is>
          <t>Technological developments increased the extent of damage and casualties in both World War I and World War II.</t>
        </is>
      </c>
    </row>
    <row r="51" ht="22.5" customHeight="1" s="93">
      <c r="A51" s="88" t="inlineStr">
        <is>
          <t>10.05b.1</t>
        </is>
      </c>
      <c r="B51" s="89" t="inlineStr">
        <is>
          <t>Technological Development &amp; Devastation</t>
        </is>
      </c>
      <c r="C51" s="91" t="inlineStr">
        <is>
          <t>UNRESOLVED GLOBAL CONFLICT (1914–1945)</t>
        </is>
      </c>
      <c r="D51" s="91" t="inlineStr">
        <is>
          <t>Technological developments increased the extent of damage and casualties in both World War I and World War II.</t>
        </is>
      </c>
      <c r="E51" s="91" t="inlineStr">
        <is>
          <t>Students will compare and contrast the technologies utilized in both World War I and World War II, noting the human and environmental devastation.</t>
        </is>
      </c>
    </row>
    <row r="52" ht="22.5" customHeight="1" s="93">
      <c r="A52" s="88" t="inlineStr">
        <is>
          <t>10.05c</t>
        </is>
      </c>
      <c r="B52" s="89" t="inlineStr">
        <is>
          <t>Total War &amp; International Efforts for Peace</t>
        </is>
      </c>
      <c r="C52" s="91" t="inlineStr">
        <is>
          <t>UNRESOLVED GLOBAL CONFLICT (1914–1945)</t>
        </is>
      </c>
      <c r="D52" s="91" t="inlineStr">
        <is>
          <t>The devastation of the world wars and use of total war led people to explore ways to prevent future world wars.</t>
        </is>
      </c>
      <c r="E52" s="91" t="inlineStr">
        <is>
          <t>The devastation of the world wars and use of total war led people to explore ways to prevent future world wars.</t>
        </is>
      </c>
    </row>
    <row r="53" ht="22.5" customHeight="1" s="93">
      <c r="A53" s="88" t="inlineStr">
        <is>
          <t>10.05c.1</t>
        </is>
      </c>
      <c r="B53" s="89" t="inlineStr">
        <is>
          <t>Fourteen Points, the Treaty of Versailles, League of Nations, &amp; United Nations</t>
        </is>
      </c>
      <c r="C53" s="91" t="inlineStr">
        <is>
          <t>UNRESOLVED GLOBAL CONFLICT (1914–1945)</t>
        </is>
      </c>
      <c r="D53" s="91" t="inlineStr">
        <is>
          <t>The devastation of the world wars and use of total war led people to explore ways to prevent future world wars.</t>
        </is>
      </c>
      <c r="E53" s="91" t="inlineStr">
        <is>
          <t>Students will examine international efforts to work together to build stability and peace, including Wilson’s Fourteen Points, the Treaty of Versailles, the League of Nations, and the United Nations.</t>
        </is>
      </c>
    </row>
    <row r="54" ht="22.5" customHeight="1" s="93">
      <c r="A54" s="88" t="inlineStr">
        <is>
          <t>10.05d</t>
        </is>
      </c>
      <c r="B54" s="89" t="inlineStr">
        <is>
          <t>Interwar Nationalism &amp; Ideology</t>
        </is>
      </c>
      <c r="C54" s="91" t="inlineStr">
        <is>
          <t>UNRESOLVED GLOBAL CONFLICT (1914–1945)</t>
        </is>
      </c>
      <c r="D54" s="91" t="inlineStr">
        <is>
          <t>Nationalism and ideology played a significant role in shaping the period between the world wars.</t>
        </is>
      </c>
      <c r="E54" s="91" t="inlineStr">
        <is>
          <t>Nationalism and ideology played a significant role in shaping the period between the world wars.</t>
        </is>
      </c>
    </row>
    <row r="55" ht="22.5" customHeight="1" s="93">
      <c r="A55" s="88" t="inlineStr">
        <is>
          <t>10.05d.1</t>
        </is>
      </c>
      <c r="B55" s="89" t="inlineStr">
        <is>
          <t>Russian Revolution, Soviet Union, Lenin &amp; Stalin</t>
        </is>
      </c>
      <c r="C55" s="91" t="inlineStr">
        <is>
          <t>UNRESOLVED GLOBAL CONFLICT (1914–1945)</t>
        </is>
      </c>
      <c r="D55" s="91" t="inlineStr">
        <is>
          <t>Nationalism and ideology played a significant role in shaping the period between the world wars.</t>
        </is>
      </c>
      <c r="E55" s="91" t="inlineStr">
        <is>
          <t>Students will examine the Russian Revolution and the development of Soviet ideology and nationalism under Lenin and Stalin.</t>
        </is>
      </c>
    </row>
    <row r="56" ht="22.5" customHeight="1" s="93">
      <c r="A56" s="88" t="inlineStr">
        <is>
          <t>10.05d.2</t>
        </is>
      </c>
      <c r="B56" s="89" t="inlineStr">
        <is>
          <t>Nationalism, the Nazi Party, &amp; Hitler in Germany</t>
        </is>
      </c>
      <c r="C56" s="91" t="inlineStr">
        <is>
          <t>UNRESOLVED GLOBAL CONFLICT (1914–1945)</t>
        </is>
      </c>
      <c r="D56" s="91" t="inlineStr">
        <is>
          <t>Nationalism and ideology played a significant role in shaping the period between the world wars.</t>
        </is>
      </c>
      <c r="E56" s="91" t="inlineStr">
        <is>
          <t>Students will examine the role of nationalism and the development of the National Socialist state under Hitler in Germany.</t>
        </is>
      </c>
    </row>
    <row r="57" ht="22.5" customHeight="1" s="93">
      <c r="A57" s="88" t="inlineStr">
        <is>
          <t>10.05d.3</t>
        </is>
      </c>
      <c r="B57" s="89" t="inlineStr">
        <is>
          <t>Nationalism &amp; Militarism in Japan</t>
        </is>
      </c>
      <c r="C57" s="91" t="inlineStr">
        <is>
          <t>UNRESOLVED GLOBAL CONFLICT (1914–1945)</t>
        </is>
      </c>
      <c r="D57" s="91" t="inlineStr">
        <is>
          <t>Nationalism and ideology played a significant role in shaping the period between the world wars.</t>
        </is>
      </c>
      <c r="E57" s="91" t="inlineStr">
        <is>
          <t>Students will examine the role of nationalism and militarism in Japan.</t>
        </is>
      </c>
    </row>
    <row r="58" hidden="1" ht="22.5" customHeight="1" s="93">
      <c r="A58" s="88" t="n">
        <v>11.05</v>
      </c>
      <c r="B58" s="90" t="inlineStr">
        <is>
          <t>Industrialization and Urbanization (1870-1920)</t>
        </is>
      </c>
      <c r="C58" s="91"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91" t="inlineStr">
        <is>
          <t>The United States was transformed from an agrarian to an increasingly industrial and urbanized society. Although this transformation created new economic opportunities, it also created societal problems that were addressed by a variety of reform efforts.</t>
        </is>
      </c>
      <c r="E58" s="91" t="n"/>
    </row>
    <row r="59" ht="22.5" customHeight="1" s="93">
      <c r="A59" s="88" t="inlineStr">
        <is>
          <t>10.05d.4</t>
        </is>
      </c>
      <c r="B59" s="89" t="inlineStr">
        <is>
          <t>Great Depression &amp; Totalitarian Dictators</t>
        </is>
      </c>
      <c r="C59" s="91" t="inlineStr">
        <is>
          <t>UNRESOLVED GLOBAL CONFLICT (1914–1945)</t>
        </is>
      </c>
      <c r="D59" s="91" t="inlineStr">
        <is>
          <t>Nationalism and ideology played a significant role in shaping the period between the world wars.</t>
        </is>
      </c>
      <c r="E59" s="91" t="inlineStr">
        <is>
          <t>Students will investigate the causes of the Great Depression and its influence on the rise of totalitarian dictators and determine the common characteristics of these dictators.</t>
        </is>
      </c>
    </row>
    <row r="60" ht="22.5" customHeight="1" s="93">
      <c r="A60" s="88" t="inlineStr">
        <is>
          <t>10.05e</t>
        </is>
      </c>
      <c r="B60" s="89" t="inlineStr">
        <is>
          <t>Atrocities</t>
        </is>
      </c>
      <c r="C60" s="91" t="inlineStr">
        <is>
          <t>UNRESOLVED GLOBAL CONFLICT (1914–1945)</t>
        </is>
      </c>
      <c r="D60" s="91" t="inlineStr">
        <is>
          <t>Human atrocities and mass murders occurred in this time period.</t>
        </is>
      </c>
      <c r="E60" s="91" t="inlineStr">
        <is>
          <t>Human atrocities and mass murders occurred in this time period.</t>
        </is>
      </c>
    </row>
    <row r="61" ht="22.5" customHeight="1" s="93">
      <c r="A61" s="88" t="inlineStr">
        <is>
          <t>10.05e.1</t>
        </is>
      </c>
      <c r="B61" s="89" t="inlineStr">
        <is>
          <t>Armenian Genocide, Ukranian Holodomor, &amp; the Holocaust</t>
        </is>
      </c>
      <c r="C61" s="91" t="inlineStr">
        <is>
          <t>UNRESOLVED GLOBAL CONFLICT (1914–1945)</t>
        </is>
      </c>
      <c r="D61" s="91" t="inlineStr">
        <is>
          <t>Human atrocities and mass murders occurred in this time period.</t>
        </is>
      </c>
      <c r="E61" s="91" t="inlineStr">
        <is>
          <t>Students will examine the atrocities against the Armenians; examine the Ukrainian Holodomor, and examine the Holocaust.</t>
        </is>
      </c>
    </row>
    <row r="62" ht="22.5" customHeight="1" s="93">
      <c r="A62" s="88" t="n">
        <v>10.06</v>
      </c>
      <c r="B62" s="89" t="inlineStr">
        <is>
          <t>Cold War (1945-1991)</t>
        </is>
      </c>
      <c r="C62" s="91" t="inlineStr">
        <is>
          <t>UNRESOLVED GLOBAL CONFLICT (1945–1991: THE COLD WAR)</t>
        </is>
      </c>
      <c r="D62" s="91" t="inlineStr">
        <is>
          <t>The second half of the 20th century was shaped by the Cold War, a legacy of World War II. The United States and the Soviet Union emerged as global superpowers engaged in ideological, political, economic, and military competition.</t>
        </is>
      </c>
      <c r="E62" s="91" t="inlineStr">
        <is>
          <t>The second half of the 20th century was shaped by the Cold War, a legacy of World War II. The United States and the Soviet Union emerged as global superpowers engaged in ideological, political, economic, and military competition.</t>
        </is>
      </c>
    </row>
    <row r="63" ht="22.5" customHeight="1" s="93">
      <c r="A63" s="88" t="inlineStr">
        <is>
          <t>10.06a</t>
        </is>
      </c>
      <c r="B63" s="89" t="inlineStr">
        <is>
          <t>Cold War Balance of Power (1945-1991 C.E.)</t>
        </is>
      </c>
      <c r="C63" s="91" t="inlineStr">
        <is>
          <t>UNRESOLVED GLOBAL CONFLICT (1945–1991: THE COLD WAR)</t>
        </is>
      </c>
      <c r="D63" s="91" t="inlineStr">
        <is>
          <t>The Cold War originated from tensions near the end of World War II as plans for peace were made and implemented. The Cold War was characterized by competition for power and ideological differences between the United States and the Soviet Union.</t>
        </is>
      </c>
      <c r="E63" s="91" t="inlineStr">
        <is>
          <t>The Cold War originated from tensions near the end of World War II as plans for peace were made and implemented. The Cold War was characterized by competition for power and ideological differences between the United States and the Soviet Union.</t>
        </is>
      </c>
    </row>
    <row r="64" ht="22.5" customHeight="1" s="93">
      <c r="A64" s="88" t="inlineStr">
        <is>
          <t>10.06a.1</t>
        </is>
      </c>
      <c r="B64" s="89" t="inlineStr">
        <is>
          <t>Conceptions of Peace vs the Reality of Post-War Europe</t>
        </is>
      </c>
      <c r="C64" s="91" t="inlineStr">
        <is>
          <t>UNRESOLVED GLOBAL CONFLICT (1945–1991: THE COLD WAR)</t>
        </is>
      </c>
      <c r="D64" s="91" t="inlineStr">
        <is>
          <t>The Cold War originated from tensions near the end of World War II as plans for peace were made and implemented. The Cold War was characterized by competition for power and ideological differences between the United States and the Soviet Union.</t>
        </is>
      </c>
      <c r="E64" s="91" t="inlineStr">
        <is>
          <t>Students will compare and contrast how peace was conceived at Yalta and Potsdam with what happened in Europe in the four years after World War II (i.e., Soviet occupation of Eastern Europe, Truman Doctrine, Berlin blockade, NATO).</t>
        </is>
      </c>
    </row>
    <row r="65" ht="22.5" customHeight="1" s="93">
      <c r="A65" s="88" t="inlineStr">
        <is>
          <t>10.06b</t>
        </is>
      </c>
      <c r="B65" s="89" t="inlineStr">
        <is>
          <t>Cold War Confrontations and Attempts at Peace</t>
        </is>
      </c>
      <c r="C65" s="91" t="inlineStr">
        <is>
          <t>UNRESOLVED GLOBAL CONFLICT (1945–1991: THE COLD WAR)</t>
        </is>
      </c>
      <c r="D65" s="91" t="inlineStr">
        <is>
          <t>The Cold War was a period of confrontations and attempts at peaceful coexistence.</t>
        </is>
      </c>
      <c r="E65" s="91" t="inlineStr">
        <is>
          <t>The Cold War was a period of confrontations and attempts at peaceful coexistence.</t>
        </is>
      </c>
    </row>
    <row r="66" ht="22.5" customHeight="1" s="93">
      <c r="A66" s="88" t="inlineStr">
        <is>
          <t>10.06b.1</t>
        </is>
      </c>
      <c r="B66" s="89" t="inlineStr">
        <is>
          <t>Cuba, Vietnam, Afghanistan</t>
        </is>
      </c>
      <c r="C66" s="91" t="inlineStr">
        <is>
          <t>UNRESOLVED GLOBAL CONFLICT (1945–1991: THE COLD WAR)</t>
        </is>
      </c>
      <c r="D66" s="91" t="inlineStr">
        <is>
          <t>The Cold War was a period of confrontations and attempts at peaceful coexistence.</t>
        </is>
      </c>
      <c r="E66" s="91" t="inlineStr">
        <is>
          <t>Students will investigate the efforts to expand and contain communism in Cuba, Vietnam, and Afghanistan from multiple perspectives.</t>
        </is>
      </c>
    </row>
    <row r="67" ht="22.5" customHeight="1" s="93">
      <c r="A67" s="88" t="inlineStr">
        <is>
          <t>10.06b.2</t>
        </is>
      </c>
      <c r="B67" s="89" t="inlineStr">
        <is>
          <t>Military Alliances, Nuclear Proliferation, &amp; the Military-Industrial Complex</t>
        </is>
      </c>
      <c r="C67" s="91" t="inlineStr">
        <is>
          <t>UNRESOLVED GLOBAL CONFLICT (1945–1991: THE COLD WAR)</t>
        </is>
      </c>
      <c r="D67" s="91" t="inlineStr">
        <is>
          <t>The Cold War was a period of confrontations and attempts at peaceful coexistence.</t>
        </is>
      </c>
      <c r="E67" s="91" t="inlineStr">
        <is>
          <t>Students will examine the new military alliances, nuclear proliferation, and the rise of the military-industrial complex.</t>
        </is>
      </c>
    </row>
    <row r="68" ht="22.5" customHeight="1" s="93">
      <c r="A68" s="88" t="inlineStr">
        <is>
          <t>10.06b.3</t>
        </is>
      </c>
      <c r="B68" s="89" t="inlineStr">
        <is>
          <t>Nonalignment</t>
        </is>
      </c>
      <c r="C68" s="91" t="inlineStr">
        <is>
          <t>UNRESOLVED GLOBAL CONFLICT (1945–1991: THE COLD WAR)</t>
        </is>
      </c>
      <c r="D68" s="91" t="inlineStr">
        <is>
          <t>The Cold War was a period of confrontations and attempts at peaceful coexistence.</t>
        </is>
      </c>
      <c r="E68" s="91" t="inlineStr">
        <is>
          <t>Students will examine the reasons countries such as Egypt and India chose nonalignment.</t>
        </is>
      </c>
    </row>
    <row r="69" ht="22.5" customHeight="1" s="93">
      <c r="A69" s="88" t="inlineStr">
        <is>
          <t>10.06b.4</t>
        </is>
      </c>
      <c r="B69" s="89" t="inlineStr">
        <is>
          <t>Détente Perspectives</t>
        </is>
      </c>
      <c r="C69" s="91" t="inlineStr">
        <is>
          <t>UNRESOLVED GLOBAL CONFLICT (1945–1991: THE COLD WAR)</t>
        </is>
      </c>
      <c r="D69" s="91" t="inlineStr">
        <is>
          <t>The Cold War was a period of confrontations and attempts at peaceful coexistence.</t>
        </is>
      </c>
      <c r="E69" s="91" t="inlineStr">
        <is>
          <t>Students will explore the era of détente from both American and Soviet perspectives.</t>
        </is>
      </c>
    </row>
    <row r="70" ht="22.5" customHeight="1" s="93">
      <c r="A70" s="88" t="inlineStr">
        <is>
          <t>10.06c</t>
        </is>
      </c>
      <c r="B70" s="89" t="inlineStr">
        <is>
          <t>Collapse of Communism and the Breakup of the Soviet Union</t>
        </is>
      </c>
      <c r="C70" s="91" t="inlineStr">
        <is>
          <t>UNRESOLVED GLOBAL CONFLICT (1945–1991: THE COLD WAR)</t>
        </is>
      </c>
      <c r="D70" s="91" t="inlineStr">
        <is>
          <t>The end of the Cold War and the collapse of the communist bloc in Europe had a global impact.</t>
        </is>
      </c>
      <c r="E70" s="91" t="inlineStr">
        <is>
          <t>The end of the Cold War and the collapse of the communist bloc in Europe had a global impact.</t>
        </is>
      </c>
    </row>
    <row r="71" hidden="1" ht="22.5" customHeight="1" s="93">
      <c r="A71" s="88" t="n">
        <v>11.06</v>
      </c>
      <c r="B71" s="90" t="inlineStr">
        <is>
          <t>Rise of American Power (1890-1920)</t>
        </is>
      </c>
      <c r="C71" s="91"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91"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E71" s="91" t="n"/>
    </row>
    <row r="72" ht="22.5" customHeight="1" s="93">
      <c r="A72" s="88" t="inlineStr">
        <is>
          <t>10.06c.1</t>
        </is>
      </c>
      <c r="B72" s="89" t="inlineStr">
        <is>
          <t>Glasnost &amp; Perestroika Reforms</t>
        </is>
      </c>
      <c r="C72" s="91" t="inlineStr">
        <is>
          <t>UNRESOLVED GLOBAL CONFLICT (1945–1991: THE COLD WAR)</t>
        </is>
      </c>
      <c r="D72" s="91" t="inlineStr">
        <is>
          <t>The end of the Cold War and the collapse of the communist bloc in Europe had a global impact.</t>
        </is>
      </c>
      <c r="E72" s="91" t="inlineStr">
        <is>
          <t>Students will investigate the political reforms of glasnost and economic reforms of perestroika.</t>
        </is>
      </c>
    </row>
    <row r="73" ht="22.5" customHeight="1" s="93">
      <c r="A73" s="88" t="inlineStr">
        <is>
          <t>10.06c.2</t>
        </is>
      </c>
      <c r="B73" s="89" t="inlineStr">
        <is>
          <t>Impact of Reform on  the Soviet Union, Bloc, and the World</t>
        </is>
      </c>
      <c r="C73" s="91" t="inlineStr">
        <is>
          <t>UNRESOLVED GLOBAL CONFLICT (1945–1991: THE COLD WAR)</t>
        </is>
      </c>
      <c r="D73" s="91" t="inlineStr">
        <is>
          <t>The end of the Cold War and the collapse of the communist bloc in Europe had a global impact.</t>
        </is>
      </c>
      <c r="E73" s="91" t="inlineStr">
        <is>
          <t>Students will examine the impacts of those reforms within the Soviet Union, on the Soviet communist bloc, and in the world.</t>
        </is>
      </c>
    </row>
    <row r="74" ht="22.5" customHeight="1" s="93">
      <c r="A74" s="88" t="n">
        <v>10.07</v>
      </c>
      <c r="B74" s="89" t="inlineStr">
        <is>
          <t>Decolonization &amp; Nationalism (1900's)</t>
        </is>
      </c>
      <c r="C74" s="91" t="inlineStr">
        <is>
          <t>DECOLONIZATION AND NATIONALISM (1900–2000)</t>
        </is>
      </c>
      <c r="D74" s="91" t="inlineStr">
        <is>
          <t>Nationalist and decolonization movements employed a variety of methods, including nonviolent resistance and armed struggle. Tensions and conflicts often continued after independence as new challenges arose.</t>
        </is>
      </c>
      <c r="E74" s="91" t="inlineStr">
        <is>
          <t>Nationalist and decolonization movements employed a variety of methods, including nonviolent resistance and armed struggle. Tensions and conflicts often continued after independence as new challenges arose.</t>
        </is>
      </c>
    </row>
    <row r="75" ht="22.5" customHeight="1" s="93">
      <c r="A75" s="88" t="inlineStr">
        <is>
          <t>10.07a</t>
        </is>
      </c>
      <c r="B75" s="89" t="inlineStr">
        <is>
          <t>India and Indochina Independence (1931 – 1975 C.E.)</t>
        </is>
      </c>
      <c r="C75" s="91" t="inlineStr">
        <is>
          <t>DECOLONIZATION AND NATIONALISM (1900–2000)</t>
        </is>
      </c>
      <c r="D75" s="91" t="inlineStr">
        <is>
          <t>Independence movements in India and Indochina developed in response to European control.</t>
        </is>
      </c>
      <c r="E75" s="91" t="inlineStr">
        <is>
          <t>Independence movements in India and Indochina developed in response to European control.</t>
        </is>
      </c>
    </row>
    <row r="76" ht="22.5" customHeight="1" s="93">
      <c r="A76" s="88" t="inlineStr">
        <is>
          <t>10.07a.1</t>
        </is>
      </c>
      <c r="B76" s="89" t="inlineStr">
        <is>
          <t>Gandhi’s Nonviolent Nationalist Movement, the Muslim League, &amp; Partition</t>
        </is>
      </c>
      <c r="C76" s="91" t="inlineStr">
        <is>
          <t>DECOLONIZATION AND NATIONALISM (1900–2000)</t>
        </is>
      </c>
      <c r="D76" s="91" t="inlineStr">
        <is>
          <t>Independence movements in India and Indochina developed in response to European control.</t>
        </is>
      </c>
      <c r="E76" s="91" t="inlineStr">
        <is>
          <t>Students will explore Gandhi’s nonviolent nationalist movement and nationalist efforts led by the Muslim League aimed at the masses that resulted in a British-partitioned subcontinent.</t>
        </is>
      </c>
    </row>
    <row r="77" ht="22.5" customHeight="1" s="93">
      <c r="A77" s="88" t="inlineStr">
        <is>
          <t>10.07a.2</t>
        </is>
      </c>
      <c r="B77" s="89" t="inlineStr">
        <is>
          <t>Comparing Gandhi &amp; Ho Chi Minh</t>
        </is>
      </c>
      <c r="C77" s="91" t="inlineStr">
        <is>
          <t>DECOLONIZATION AND NATIONALISM (1900–2000)</t>
        </is>
      </c>
      <c r="D77" s="91" t="inlineStr">
        <is>
          <t>Independence movements in India and Indochina developed in response to European control.</t>
        </is>
      </c>
      <c r="E77" s="91" t="inlineStr">
        <is>
          <t>Students will compare and contrast the ideologies and methodologies of Gandhi and Ho Chi Minh as nationalist leaders.</t>
        </is>
      </c>
    </row>
    <row r="78" ht="22.5" customHeight="1" s="93">
      <c r="A78" s="88" t="inlineStr">
        <is>
          <t>10.07b</t>
        </is>
      </c>
      <c r="B78" s="89" t="inlineStr">
        <is>
          <t>African Independence Movements (1884 – 1994 C.E.)</t>
        </is>
      </c>
      <c r="C78" s="91" t="inlineStr">
        <is>
          <t>DECOLONIZATION AND NATIONALISM (1900–2000)</t>
        </is>
      </c>
      <c r="D78" s="91" t="inlineStr">
        <is>
          <t>African independence movements gained strength as European states struggled economically after World War II. European efforts to limit African nationalist movements were often unsuccessful.</t>
        </is>
      </c>
      <c r="E78" s="91" t="inlineStr">
        <is>
          <t>African independence movements gained strength as European states struggled economically after World War II. European efforts to limit African nationalist movements were often unsuccessful.</t>
        </is>
      </c>
    </row>
    <row r="79" ht="22.5" customHeight="1" s="93">
      <c r="A79" s="88" t="inlineStr">
        <is>
          <t>10.07b.1</t>
        </is>
      </c>
      <c r="B79" s="89" t="inlineStr">
        <is>
          <t>Ghana, Algeria, and/or Kenya</t>
        </is>
      </c>
      <c r="C79" s="91" t="inlineStr">
        <is>
          <t>DECOLONIZATION AND NATIONALISM (1900–2000)</t>
        </is>
      </c>
      <c r="D79" s="91" t="inlineStr">
        <is>
          <t>African independence movements gained strength as European states struggled economically after World War II. European efforts to limit African nationalist movements were often unsuccessful.</t>
        </is>
      </c>
      <c r="E79" s="91" t="inlineStr">
        <is>
          <t>Students will explore at least two of these three African independence movements: Ghana, Algeria, Kenya.</t>
        </is>
      </c>
    </row>
    <row r="80" ht="22.5" customHeight="1" s="93">
      <c r="A80" s="88" t="inlineStr">
        <is>
          <t>10.07c</t>
        </is>
      </c>
      <c r="B80" s="89" t="inlineStr">
        <is>
          <t>Conflicts and Change in Middle East</t>
        </is>
      </c>
      <c r="C80" s="91" t="inlineStr">
        <is>
          <t>DECOLONIZATION AND NATIONALISM (1900–2000)</t>
        </is>
      </c>
      <c r="D80" s="91" t="inlineStr">
        <is>
          <t>Nationalism in the Middle East was often influenced by factors such as religious beliefs and secularism.</t>
        </is>
      </c>
      <c r="E80" s="91" t="inlineStr">
        <is>
          <t>Nationalism in the Middle East was often influenced by factors such as religious beliefs and secularism.</t>
        </is>
      </c>
    </row>
    <row r="81" ht="22.5" customHeight="1" s="93">
      <c r="A81" s="88" t="inlineStr">
        <is>
          <t>10.07c.1</t>
        </is>
      </c>
      <c r="B81" s="89" t="inlineStr">
        <is>
          <t>Zionism, Mandates, &amp; Arab Nationalism</t>
        </is>
      </c>
      <c r="C81" s="91" t="inlineStr">
        <is>
          <t>DECOLONIZATION AND NATIONALISM (1900–2000)</t>
        </is>
      </c>
      <c r="D81" s="91" t="inlineStr">
        <is>
          <t>Nationalism in the Middle East was often influenced by factors such as religious beliefs and secularism.</t>
        </is>
      </c>
      <c r="E81" s="91" t="inlineStr">
        <is>
          <t>Students will investigate Zionism, the mandates created at the end of World War I, and Arab nationalism.</t>
        </is>
      </c>
    </row>
    <row r="82" ht="22.5" customHeight="1" s="93">
      <c r="A82" s="88" t="inlineStr">
        <is>
          <t>10.07c.2</t>
        </is>
      </c>
      <c r="B82" s="89" t="inlineStr">
        <is>
          <t>Arab-Israeli Conflict</t>
        </is>
      </c>
      <c r="C82" s="91" t="inlineStr">
        <is>
          <t>DECOLONIZATION AND NATIONALISM (1900–2000)</t>
        </is>
      </c>
      <c r="D82" s="91" t="inlineStr">
        <is>
          <t>Nationalism in the Middle East was often influenced by factors such as religious beliefs and secularism.</t>
        </is>
      </c>
      <c r="E82" s="91" t="inlineStr">
        <is>
          <t>Students will examine the creation of the State of Israel and the Arab-Israeli conflict.</t>
        </is>
      </c>
    </row>
    <row r="83" ht="22.5" customHeight="1" s="93">
      <c r="A83" s="88" t="inlineStr">
        <is>
          <t>10.07d</t>
        </is>
      </c>
      <c r="B83" s="89" t="inlineStr">
        <is>
          <t>Chinese Communist Revolution</t>
        </is>
      </c>
      <c r="C83" s="91" t="inlineStr">
        <is>
          <t>DECOLONIZATION AND NATIONALISM (1900–2000)</t>
        </is>
      </c>
      <c r="D83" s="91" t="inlineStr">
        <is>
          <t>Nationalism in China influenced the removal of the imperial regime, led to numerous conflicts, and resulted in the formation of the communist People’s Republic of China.</t>
        </is>
      </c>
      <c r="E83" s="91" t="inlineStr">
        <is>
          <t>Nationalism in China influenced the removal of the imperial regime, led to numerous conflicts, and resulted in the formation of the communist People’s Republic of China.</t>
        </is>
      </c>
    </row>
    <row r="84" ht="22.5" customHeight="1" s="93">
      <c r="A84" s="88" t="inlineStr">
        <is>
          <t>10.07d.1</t>
        </is>
      </c>
      <c r="B84" s="89" t="inlineStr">
        <is>
          <t>Chinese Civil War, Communist China, &amp; Nationalist Taiwan</t>
        </is>
      </c>
      <c r="C84" s="91" t="inlineStr">
        <is>
          <t>DECOLONIZATION AND NATIONALISM (1900–2000)</t>
        </is>
      </c>
      <c r="D84" s="91" t="inlineStr">
        <is>
          <t>Nationalism in China influenced the removal of the imperial regime, led to numerous conflicts, and resulted in the formation of the communist People’s Republic of China.</t>
        </is>
      </c>
      <c r="E84" s="91" t="inlineStr">
        <is>
          <t>Students will trace the Chinese Civil War, including the role of warlords, nationalists, communists, and the world wars that resulted in the division of China into a communist-run People’s Republic of China and a nationalist-run Taiwan.</t>
        </is>
      </c>
    </row>
    <row r="85" ht="22.5" customHeight="1" s="93">
      <c r="A85" s="88" t="inlineStr">
        <is>
          <t>10.07d.2</t>
        </is>
      </c>
      <c r="B85" s="89" t="inlineStr">
        <is>
          <t>Comparing Mao Zedong &amp; Deng Xiaoping</t>
        </is>
      </c>
      <c r="C85" s="91" t="inlineStr">
        <is>
          <t>DECOLONIZATION AND NATIONALISM (1900–2000)</t>
        </is>
      </c>
      <c r="D85" s="91" t="inlineStr">
        <is>
          <t>Nationalism in China influenced the removal of the imperial regime, led to numerous conflicts, and resulted in the formation of the communist People’s Republic of China.</t>
        </is>
      </c>
      <c r="E85" s="91" t="inlineStr">
        <is>
          <t>Students will investigate political, economic, and social policies under Mao Zedong and Deng Xiaoping and compare and contrast these policies.</t>
        </is>
      </c>
    </row>
    <row r="86" hidden="1" ht="22.5" customHeight="1" s="93">
      <c r="A86" s="88" t="n">
        <v>11.07</v>
      </c>
      <c r="B86" s="90" t="inlineStr">
        <is>
          <t>Prosperity and Depression (1920-1939)</t>
        </is>
      </c>
      <c r="C86" s="91" t="inlineStr">
        <is>
          <t>The 1920s and 1930s were a time of cultural and economic changes in the nation. During this period, the nation faced significant domestic challenges, including the Great Depression</t>
        </is>
      </c>
      <c r="D86" s="91" t="inlineStr">
        <is>
          <t>The 1920s and 1930s were a time of cultural and economic changes in the nation. During this period, the nation faced significant domestic challenges, including the Great Depression</t>
        </is>
      </c>
      <c r="E86" s="91" t="n"/>
    </row>
    <row r="87" ht="22.5" customHeight="1" s="93">
      <c r="A87" s="88" t="n">
        <v>10.08</v>
      </c>
      <c r="B87" s="89" t="inlineStr">
        <is>
          <t>Tradition vs Modernization</t>
        </is>
      </c>
      <c r="C87" s="91" t="inlineStr">
        <is>
          <t>TENSIONS BETWEEN TRADITIONAL CULTURES AND MODERNIZATION</t>
        </is>
      </c>
      <c r="D87" s="91" t="inlineStr">
        <is>
          <t>Tensions exist between traditional cultures and agents of modernization. Reactions for and against modernization depend on perspective and context.</t>
        </is>
      </c>
      <c r="E87" s="91" t="inlineStr">
        <is>
          <t>Tensions exist between traditional cultures and agents of modernization. Reactions for and against modernization depend on perspective and context.</t>
        </is>
      </c>
    </row>
    <row r="88" ht="22.5" customHeight="1" s="93">
      <c r="A88" s="88" t="inlineStr">
        <is>
          <t>10.08a</t>
        </is>
      </c>
      <c r="B88" s="89" t="inlineStr">
        <is>
          <t>Tensions Between Traditional Cultures and Modernization</t>
        </is>
      </c>
      <c r="C88" s="91" t="inlineStr">
        <is>
          <t>TENSIONS BETWEEN TRADITIONAL CULTURES AND MODERNIZATION</t>
        </is>
      </c>
      <c r="D88" s="91"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8" s="91"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row>
    <row r="89" ht="22.5" customHeight="1" s="93">
      <c r="A89" s="88" t="inlineStr">
        <is>
          <t>10.08a.1</t>
        </is>
      </c>
      <c r="B89" s="89" t="inlineStr">
        <is>
          <t>Changes  in Social Roles &amp; Institutions</t>
        </is>
      </c>
      <c r="C89" s="91" t="inlineStr">
        <is>
          <t>TENSIONS BETWEEN TRADITIONAL CULTURES AND MODERNIZATION</t>
        </is>
      </c>
      <c r="D89" s="91"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9" s="91" t="inlineStr">
        <is>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is>
      </c>
    </row>
    <row r="90" ht="22.5" customHeight="1" s="93">
      <c r="A90" s="88" t="inlineStr">
        <is>
          <t>10.08b</t>
        </is>
      </c>
      <c r="B90" s="89" t="inlineStr">
        <is>
          <t>Modernization and Traditional Culture</t>
        </is>
      </c>
      <c r="C90" s="91" t="inlineStr">
        <is>
          <t>TENSIONS BETWEEN TRADITIONAL CULTURES AND MODERNIZATION</t>
        </is>
      </c>
      <c r="D90" s="91" t="inlineStr">
        <is>
          <t>Tensions between agents of modernization and traditional cultures have resulted in ongoing debates within affected societies regarding social norms, gender roles, and the role of authorities and institutions.</t>
        </is>
      </c>
      <c r="E90" s="91" t="inlineStr">
        <is>
          <t>Tensions between agents of modernization and traditional cultures have resulted in ongoing debates within affected societies regarding social norms, gender roles, and the role of authorities and institutions.</t>
        </is>
      </c>
    </row>
    <row r="91" ht="22.5" customHeight="1" s="93">
      <c r="A91" s="88" t="inlineStr">
        <is>
          <t>10.08b.1</t>
        </is>
      </c>
      <c r="B91" s="89" t="inlineStr">
        <is>
          <t>Comparing Turkey (Kemal Atatürk) &amp; Iran (Pahlavis &amp; the Ayatollahs)</t>
        </is>
      </c>
      <c r="C91" s="91" t="inlineStr">
        <is>
          <t>TENSIONS BETWEEN TRADITIONAL CULTURES AND MODERNIZATION</t>
        </is>
      </c>
      <c r="D91" s="91" t="inlineStr">
        <is>
          <t>Tensions between agents of modernization and traditional cultures have resulted in ongoing debates within affected societies regarding social norms, gender roles, and the role of authorities and institutions.</t>
        </is>
      </c>
      <c r="E91" s="91" t="inlineStr">
        <is>
          <t>Students will investigate, compare, and contrast tensions between modernization and traditional culture in Turkey under the rule of Kemal Atatürk and in Iran under the Pahlavis and the Ayatollahs.</t>
        </is>
      </c>
    </row>
    <row r="92" ht="22.5" customHeight="1" s="93">
      <c r="A92" s="88" t="inlineStr">
        <is>
          <t>10.08b.2</t>
        </is>
      </c>
      <c r="B92" s="89" t="inlineStr">
        <is>
          <t>Advancements in Communications &amp; Transportation Effect on Authority</t>
        </is>
      </c>
      <c r="C92" s="91" t="inlineStr">
        <is>
          <t>TENSIONS BETWEEN TRADITIONAL CULTURES AND MODERNIZATION</t>
        </is>
      </c>
      <c r="D92" s="91" t="inlineStr">
        <is>
          <t>Tensions between agents of modernization and traditional cultures have resulted in ongoing debates within affected societies regarding social norms, gender roles, and the role of authorities and institutions.</t>
        </is>
      </c>
      <c r="E92" s="91" t="inlineStr">
        <is>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is>
      </c>
    </row>
    <row r="93" ht="22.5" customHeight="1" s="93">
      <c r="A93" s="88" t="n">
        <v>10.09</v>
      </c>
      <c r="B93" s="89" t="inlineStr">
        <is>
          <t>Globalization &amp; Environment</t>
        </is>
      </c>
      <c r="C93" s="91" t="inlineStr">
        <is>
          <t>GLOBALIZATION AND A CHANGING GLOBAL ENVIRONMENT (1990–PRESENT)</t>
        </is>
      </c>
      <c r="D93" s="91"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c r="E93" s="91"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row>
    <row r="94" ht="22.5" customHeight="1" s="93">
      <c r="A94" s="88" t="inlineStr">
        <is>
          <t>10.09a</t>
        </is>
      </c>
      <c r="B94" s="89" t="inlineStr">
        <is>
          <t>Globalization and an Increasingly Interconnected World</t>
        </is>
      </c>
      <c r="C94" s="91" t="inlineStr">
        <is>
          <t>GLOBALIZATION AND A CHANGING GLOBAL ENVIRONMENT (1990–PRESENT)</t>
        </is>
      </c>
      <c r="D94" s="91" t="inlineStr">
        <is>
          <t>Technological changes in communication and transportation systems allow for instantaneous interconnections and new networks of exchange between people and places that have lessened the effects of time and distance.</t>
        </is>
      </c>
      <c r="E94" s="91" t="inlineStr">
        <is>
          <t>Technological changes in communication and transportation systems allow for instantaneous interconnections and new networks of exchange between people and places that have lessened the effects of time and distance.</t>
        </is>
      </c>
    </row>
    <row r="95" ht="22.5" customHeight="1" s="93">
      <c r="A95" s="88" t="inlineStr">
        <is>
          <t>10.09a.1</t>
        </is>
      </c>
      <c r="B95" s="89" t="inlineStr">
        <is>
          <t>Information &amp; Business Changes</t>
        </is>
      </c>
      <c r="C95" s="91" t="inlineStr">
        <is>
          <t>GLOBALIZATION AND A CHANGING GLOBAL ENVIRONMENT (1990–PRESENT)</t>
        </is>
      </c>
      <c r="D95" s="91" t="inlineStr">
        <is>
          <t>Technological changes in communication and transportation systems allow for instantaneous interconnections and new networks of exchange between people and places that have lessened the effects of time and distance.</t>
        </is>
      </c>
      <c r="E95" s="91" t="inlineStr">
        <is>
          <t>Students will explore how information is accessed, exchanged, and controlled and how business is conducted in light of changing technology.</t>
        </is>
      </c>
    </row>
    <row r="96" ht="22.5" customHeight="1" s="93">
      <c r="A96" s="88" t="inlineStr">
        <is>
          <t>10.09a.2</t>
        </is>
      </c>
      <c r="B96" s="89" t="inlineStr">
        <is>
          <t>Infectious Diseases Response</t>
        </is>
      </c>
      <c r="C96" s="91" t="inlineStr">
        <is>
          <t>GLOBALIZATION AND A CHANGING GLOBAL ENVIRONMENT (1990–PRESENT)</t>
        </is>
      </c>
      <c r="D96" s="91" t="inlineStr">
        <is>
          <t>Technological changes in communication and transportation systems allow for instantaneous interconnections and new networks of exchange between people and places that have lessened the effects of time and distance.</t>
        </is>
      </c>
      <c r="E96" s="91" t="inlineStr">
        <is>
          <t>Students will investigate the causes and effects of, and responses to, one infectious disease (e.g., malaria, HIV/AIDS).</t>
        </is>
      </c>
    </row>
    <row r="97" ht="22.5" customHeight="1" s="93">
      <c r="A97" s="88" t="inlineStr">
        <is>
          <t>10.09b</t>
        </is>
      </c>
      <c r="B97" s="89" t="inlineStr">
        <is>
          <t>Globalization: a Contentious Concept</t>
        </is>
      </c>
      <c r="C97" s="91" t="inlineStr">
        <is>
          <t>GLOBALIZATION AND A CHANGING GLOBAL ENVIRONMENT (1990–PRESENT)</t>
        </is>
      </c>
      <c r="D97" s="91" t="inlineStr">
        <is>
          <t>Globalization is contentious, supported by some and criticized by others.</t>
        </is>
      </c>
      <c r="E97" s="91" t="inlineStr">
        <is>
          <t>Globalization is contentious, supported by some and criticized by others.</t>
        </is>
      </c>
    </row>
    <row r="98" ht="22.5" customHeight="1" s="93">
      <c r="A98" s="88" t="inlineStr">
        <is>
          <t>10.09b.1</t>
        </is>
      </c>
      <c r="B98" s="89" t="inlineStr">
        <is>
          <t>Globalization Arguments</t>
        </is>
      </c>
      <c r="C98" s="91" t="inlineStr">
        <is>
          <t>GLOBALIZATION AND A CHANGING GLOBAL ENVIRONMENT (1990–PRESENT)</t>
        </is>
      </c>
      <c r="D98" s="91" t="inlineStr">
        <is>
          <t>Globalization is contentious, supported by some and criticized by others.</t>
        </is>
      </c>
      <c r="E98" s="91" t="inlineStr">
        <is>
          <t>Students will compare and contrast arguments supporting and criticizing globalization by examining concerns including...</t>
        </is>
      </c>
    </row>
    <row r="99" ht="22.5" customHeight="1" s="93">
      <c r="A99" s="88" t="inlineStr">
        <is>
          <t>10.09c</t>
        </is>
      </c>
      <c r="B99" s="89" t="inlineStr">
        <is>
          <t>Environment and Sustainability</t>
        </is>
      </c>
      <c r="C99" s="91" t="inlineStr">
        <is>
          <t>GLOBALIZATION AND A CHANGING GLOBAL ENVIRONMENT (1990–PRESENT)</t>
        </is>
      </c>
      <c r="D99" s="91" t="inlineStr">
        <is>
          <t>Population pressures, industrialization, and urbanization have increased demands for limited natural resources and food resources, often straining the environment.</t>
        </is>
      </c>
      <c r="E99" s="91" t="inlineStr">
        <is>
          <t>Population pressures, industrialization, and urbanization have increased demands for limited natural resources and food resources, often straining the environment.</t>
        </is>
      </c>
    </row>
    <row r="100" ht="22.5" customHeight="1" s="93">
      <c r="A100" s="88" t="inlineStr">
        <is>
          <t>10.09c.1</t>
        </is>
      </c>
      <c r="B100" s="89" t="inlineStr">
        <is>
          <t>Population Growth &amp; Distribution</t>
        </is>
      </c>
      <c r="C100" s="91" t="inlineStr">
        <is>
          <t>GLOBALIZATION AND A CHANGING GLOBAL ENVIRONMENT (1990–PRESENT)</t>
        </is>
      </c>
      <c r="D100" s="91" t="inlineStr">
        <is>
          <t>Population pressures, industrialization, and urbanization have increased demands for limited natural resources and food resources, often straining the environment.</t>
        </is>
      </c>
      <c r="E100" s="91" t="inlineStr">
        <is>
          <t>Students will examine how the world’s population is growing exponentially for numerous reasons and how it is not evenly distributed.</t>
        </is>
      </c>
    </row>
    <row r="101" ht="22.5" customHeight="1" s="93">
      <c r="A101" s="88" t="inlineStr">
        <is>
          <t>10.09c.2</t>
        </is>
      </c>
      <c r="B101" s="89" t="inlineStr">
        <is>
          <t>Industrial Agriculture</t>
        </is>
      </c>
      <c r="C101" s="91" t="inlineStr">
        <is>
          <t>GLOBALIZATION AND A CHANGING GLOBAL ENVIRONMENT (1990–PRESENT)</t>
        </is>
      </c>
      <c r="D101" s="91" t="inlineStr">
        <is>
          <t>Population pressures, industrialization, and urbanization have increased demands for limited natural resources and food resources, often straining the environment.</t>
        </is>
      </c>
      <c r="E101" s="91" t="inlineStr">
        <is>
          <t>Students will explore efforts to increase and intensify food production through industrial agriculture (e.g., Green Revolutions, use of fertilizers and pesticides, irrigation, and genetic modifications).</t>
        </is>
      </c>
    </row>
    <row r="102" hidden="1" ht="22.5" customHeight="1" s="93">
      <c r="A102" s="88" t="n">
        <v>11.08</v>
      </c>
      <c r="B102" s="90" t="inlineStr">
        <is>
          <t>World War II (1935-1945)</t>
        </is>
      </c>
      <c r="C102" s="91" t="inlineStr">
        <is>
          <t>The participation of the United States in World War II was a transformative event for the nation and its role in the world.</t>
        </is>
      </c>
      <c r="D102" s="91" t="inlineStr">
        <is>
          <t>The participation of the United States in World War II was a transformative event for the nation and its role in the world.</t>
        </is>
      </c>
      <c r="E102" s="91" t="n"/>
    </row>
    <row r="103" ht="22.5" customHeight="1" s="93">
      <c r="A103" s="88" t="inlineStr">
        <is>
          <t>10.09c.3</t>
        </is>
      </c>
      <c r="B103" s="89" t="inlineStr">
        <is>
          <t>Environmental Strains</t>
        </is>
      </c>
      <c r="C103" s="91" t="inlineStr">
        <is>
          <t>GLOBALIZATION AND A CHANGING GLOBAL ENVIRONMENT (1990–PRESENT)</t>
        </is>
      </c>
      <c r="D103" s="91" t="inlineStr">
        <is>
          <t>Population pressures, industrialization, and urbanization have increased demands for limited natural resources and food resources, often straining the environment.</t>
        </is>
      </c>
      <c r="E103" s="91" t="inlineStr">
        <is>
          <t>Students will examine strains on the environment, such as threats to wildlife and degradation of the physical environment (i.e., desertification, deforestation and pollution) due to population growth, industrialization, and urbanization.</t>
        </is>
      </c>
    </row>
    <row r="104" ht="22.5" customHeight="1" s="93">
      <c r="A104" s="88" t="inlineStr">
        <is>
          <t>10.09d</t>
        </is>
      </c>
      <c r="B104" s="89" t="inlineStr">
        <is>
          <t>International Possibilities and Conflict</t>
        </is>
      </c>
      <c r="C104" s="91" t="inlineStr">
        <is>
          <t>GLOBALIZATION AND A CHANGING GLOBAL ENVIRONMENT (1990–PRESENT)</t>
        </is>
      </c>
      <c r="D104" s="91" t="inlineStr">
        <is>
          <t>Globalization has created new possibilities for international cooperation and for international conflict.</t>
        </is>
      </c>
      <c r="E104" s="91" t="inlineStr">
        <is>
          <t>Globalization has created new possibilities for international cooperation and for international conflict.</t>
        </is>
      </c>
    </row>
    <row r="105" ht="22.5" customHeight="1" s="93">
      <c r="A105" s="88" t="inlineStr">
        <is>
          <t>10.09d.1</t>
        </is>
      </c>
      <c r="B105" s="89" t="inlineStr">
        <is>
          <t>Attempts at Cooperation with the UN, NATO, EU, &amp; NGOs</t>
        </is>
      </c>
      <c r="C105" s="91" t="inlineStr">
        <is>
          <t>GLOBALIZATION AND A CHANGING GLOBAL ENVIRONMENT (1990–PRESENT)</t>
        </is>
      </c>
      <c r="D105" s="91" t="inlineStr">
        <is>
          <t>Globalization has created new possibilities for international cooperation and for international conflict.</t>
        </is>
      </c>
      <c r="E105" s="91" t="inlineStr">
        <is>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is>
      </c>
    </row>
    <row r="106" ht="22.5" customHeight="1" s="93">
      <c r="A106" s="88" t="inlineStr">
        <is>
          <t>10.09d.2</t>
        </is>
      </c>
      <c r="B106" s="89" t="inlineStr">
        <is>
          <t>Organizations &amp; International Action against Environmental Issues</t>
        </is>
      </c>
      <c r="C106" s="91" t="inlineStr">
        <is>
          <t>GLOBALIZATION AND A CHANGING GLOBAL ENVIRONMENT (1990–PRESENT)</t>
        </is>
      </c>
      <c r="D106" s="91" t="inlineStr">
        <is>
          <t>Globalization has created new possibilities for international cooperation and for international conflict.</t>
        </is>
      </c>
      <c r="E106" s="91" t="inlineStr">
        <is>
          <t>Students will investigate one organization and one international action that sought to provide solutions to environmental issues, including the Kyoto Protocol.</t>
        </is>
      </c>
    </row>
    <row r="107" ht="22.5" customHeight="1" s="93">
      <c r="A107" s="88" t="inlineStr">
        <is>
          <t>10.09d.3</t>
        </is>
      </c>
      <c r="B107" s="89" t="inlineStr">
        <is>
          <t>Threats to Global Security</t>
        </is>
      </c>
      <c r="C107" s="91" t="inlineStr">
        <is>
          <t>GLOBALIZATION AND A CHANGING GLOBAL ENVIRONMENT (1990–PRESENT)</t>
        </is>
      </c>
      <c r="D107" s="91" t="inlineStr">
        <is>
          <t>Globalization has created new possibilities for international cooperation and for international conflict.</t>
        </is>
      </c>
      <c r="E107" s="91" t="inlineStr">
        <is>
          <t>Students will examine threats to global security, such as international trade in weapons (e.g., chemical, biological, and nuclear), nuclear proliferation, cyber war, and terrorism, including a discussion of the events of September 11, 2001.</t>
        </is>
      </c>
    </row>
    <row r="108" ht="22.5" customHeight="1" s="93">
      <c r="A108" s="88" t="n">
        <v>10.1</v>
      </c>
      <c r="B108" s="89" t="inlineStr">
        <is>
          <t>Human Rights Violations</t>
        </is>
      </c>
      <c r="C108" s="91" t="inlineStr">
        <is>
          <t>HUMAN RIGHTS VIOLATIONS</t>
        </is>
      </c>
      <c r="D108" s="91"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c r="E108" s="91"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row>
    <row r="109" ht="22.5" customHeight="1" s="93">
      <c r="A109" s="88" t="inlineStr">
        <is>
          <t>10.10a</t>
        </is>
      </c>
      <c r="B109" s="89" t="inlineStr">
        <is>
          <t>Human Rights</t>
        </is>
      </c>
      <c r="C109" s="91" t="inlineStr">
        <is>
          <t>HUMAN RIGHTS VIOLATIONS</t>
        </is>
      </c>
      <c r="D109" s="91" t="inlineStr">
        <is>
          <t>Following World War II, the United Nations Universal Declaration of Human Rights (1948) was written. This provides a set of principles to guide efforts to protect threatened groups.</t>
        </is>
      </c>
      <c r="E109" s="91" t="inlineStr">
        <is>
          <t>Following World War II, the United Nations Universal Declaration of Human Rights (1948) was written. This provides a set of principles to guide efforts to protect threatened groups.</t>
        </is>
      </c>
    </row>
    <row r="110" ht="22.5" customHeight="1" s="93">
      <c r="A110" s="88" t="inlineStr">
        <is>
          <t>10.10a.1</t>
        </is>
      </c>
      <c r="B110" s="89" t="inlineStr">
        <is>
          <t>Impact of the Holocaust, Nuremberg Trials, &amp; Tokyo Trials</t>
        </is>
      </c>
      <c r="C110" s="91" t="inlineStr">
        <is>
          <t>HUMAN RIGHTS VIOLATIONS</t>
        </is>
      </c>
      <c r="D110" s="91" t="inlineStr">
        <is>
          <t>Following World War II, the United Nations Universal Declaration of Human Rights (1948) was written. This provides a set of principles to guide efforts to protect threatened groups.</t>
        </is>
      </c>
      <c r="E110" s="91" t="inlineStr">
        <is>
          <t>Students will investigate and analyze the historical context of the Holocaust, Nuremberg Trials, and Tokyo Trials and their impacts on the UN Universal Declaration of Human Rights.</t>
        </is>
      </c>
    </row>
    <row r="111" ht="22.5" customHeight="1" s="93">
      <c r="A111" s="88" t="inlineStr">
        <is>
          <t>10.10a.2</t>
        </is>
      </c>
      <c r="B111" s="89" t="inlineStr">
        <is>
          <t>The United Nations Universal Declaration of Human Rights (1948)</t>
        </is>
      </c>
      <c r="C111" s="91" t="inlineStr">
        <is>
          <t>HUMAN RIGHTS VIOLATIONS</t>
        </is>
      </c>
      <c r="D111" s="91" t="inlineStr">
        <is>
          <t>Following World War II, the United Nations Universal Declaration of Human Rights (1948) was written. This provides a set of principles to guide efforts to protect threatened groups.</t>
        </is>
      </c>
      <c r="E111" s="91" t="inlineStr">
        <is>
          <t>Students will examine the articles contained in the UN Universal Declaration of Human Rights.</t>
        </is>
      </c>
    </row>
    <row r="112" ht="22.5" customHeight="1" s="93">
      <c r="A112" s="88" t="inlineStr">
        <is>
          <t>10.10b</t>
        </is>
      </c>
      <c r="B112" s="89" t="inlineStr">
        <is>
          <t>Response to Atrocities</t>
        </is>
      </c>
      <c r="C112" s="91" t="inlineStr">
        <is>
          <t>HUMAN RIGHTS VIOLATIONS</t>
        </is>
      </c>
      <c r="D112" s="91" t="inlineStr">
        <is>
          <t>Governments, groups, and individuals have responded in various ways to the human atrocities committed in the 20th and 21st centuries.</t>
        </is>
      </c>
      <c r="E112" s="91" t="inlineStr">
        <is>
          <t>Governments, groups, and individuals have responded in various ways to the human atrocities committed in the 20th and 21st centuries.</t>
        </is>
      </c>
    </row>
    <row r="113" ht="22.5" customHeight="1" s="93">
      <c r="A113" s="88" t="inlineStr">
        <is>
          <t>10.10b.1</t>
        </is>
      </c>
      <c r="B113" s="89" t="inlineStr">
        <is>
          <t>Treaties &amp; International Courts</t>
        </is>
      </c>
      <c r="C113" s="91" t="inlineStr">
        <is>
          <t>HUMAN RIGHTS VIOLATIONS</t>
        </is>
      </c>
      <c r="D113" s="91" t="inlineStr">
        <is>
          <t>Governments, groups, and individuals have responded in various ways to the human atrocities committed in the 20th and 21st centuries.</t>
        </is>
      </c>
      <c r="E113" s="91" t="inlineStr">
        <is>
          <t>Students will explore multinational treaties and international court systems that bind countries to adhere to international human rights.</t>
        </is>
      </c>
    </row>
    <row r="114" ht="22.5" customHeight="1" s="93">
      <c r="A114" s="88" t="inlineStr">
        <is>
          <t>10.10b.2</t>
        </is>
      </c>
      <c r="B114" s="89" t="inlineStr">
        <is>
          <t>International Organization for Peace, Stability, Prosperity, &amp; Protection from Violence</t>
        </is>
      </c>
      <c r="C114" s="91" t="inlineStr">
        <is>
          <t>HUMAN RIGHTS VIOLATIONS</t>
        </is>
      </c>
      <c r="D114" s="91" t="inlineStr">
        <is>
          <t>Governments, groups, and individuals have responded in various ways to the human atrocities committed in the 20th and 21st centuries.</t>
        </is>
      </c>
      <c r="E114" s="91" t="inlineStr">
        <is>
          <t>Students will explore international organizations that work to maintain peace, stability, and economic prosperity, and to protect nations and people from oppressive governments and political violence.</t>
        </is>
      </c>
    </row>
    <row r="115" ht="22.5" customHeight="1" s="93">
      <c r="A115" s="88" t="inlineStr">
        <is>
          <t>10.10c</t>
        </is>
      </c>
      <c r="B115" s="89" t="inlineStr">
        <is>
          <t>Case Studies of Human Rights Violations</t>
        </is>
      </c>
      <c r="C115" s="91" t="inlineStr">
        <is>
          <t>HUMAN RIGHTS VIOLATIONS</t>
        </is>
      </c>
      <c r="D115" s="91" t="inlineStr">
        <is>
          <t>Historical and contemporary violations of human rights can be evaluated, using the principles and articles established within the UN Universal Declaration of Human Rights.</t>
        </is>
      </c>
      <c r="E115" s="91" t="inlineStr">
        <is>
          <t>Historical and contemporary violations of human rights can be evaluated, using the principles and articles established within the UN Universal Declaration of Human Rights.</t>
        </is>
      </c>
    </row>
    <row r="116" ht="22.5" customHeight="1" s="93">
      <c r="A116" s="88" t="inlineStr">
        <is>
          <t>10.10c.1</t>
        </is>
      </c>
      <c r="B116" s="89" t="inlineStr">
        <is>
          <t>Atrocities of Augusto Pinochet, Deng Xiaoping, &amp; Slobodan Milosevic</t>
        </is>
      </c>
      <c r="C116" s="91" t="inlineStr">
        <is>
          <t>HUMAN RIGHTS VIOLATIONS</t>
        </is>
      </c>
      <c r="D116" s="91" t="inlineStr">
        <is>
          <t>Historical and contemporary violations of human rights can be evaluated, using the principles and articles established within the UN Universal Declaration of Human Rights.</t>
        </is>
      </c>
      <c r="E116" s="91" t="inlineStr">
        <is>
          <t>Students will examine the atrocities committed under Augusto Pinochet, Deng Xiaoping, and Slobodan Milosevic in light of the principles and articles within the UN Universal Declaration of Human Rights.</t>
        </is>
      </c>
    </row>
    <row r="117" hidden="1" ht="22.5" customHeight="1" s="93">
      <c r="A117" s="88" t="n">
        <v>11.09</v>
      </c>
      <c r="B117" s="90" t="inlineStr">
        <is>
          <t>Cold War (1945-1990)</t>
        </is>
      </c>
      <c r="C117" s="91" t="inlineStr">
        <is>
          <t>In the period following World War II, the United States entered into an extended era of international conflict called the Cold War which influenced foreign and domestic policy for more than 40 years.</t>
        </is>
      </c>
      <c r="D117" s="91" t="inlineStr">
        <is>
          <t>In the period following World War II, the United States entered into an extended era of international conflict called the Cold War which influenced foreign and domestic policy for more than 40 years.</t>
        </is>
      </c>
      <c r="E117" s="91" t="n"/>
    </row>
    <row r="118" ht="22.5" customHeight="1" s="93">
      <c r="A118" s="88" t="inlineStr">
        <is>
          <t>10.10c.2</t>
        </is>
      </c>
      <c r="B118" s="89" t="inlineStr">
        <is>
          <t>Perpetrators &amp; Bystanders in Cambodia, Rwanda, &amp; Darfur</t>
        </is>
      </c>
      <c r="C118" s="91" t="inlineStr">
        <is>
          <t>HUMAN RIGHTS VIOLATIONS</t>
        </is>
      </c>
      <c r="D118" s="91" t="inlineStr">
        <is>
          <t>Historical and contemporary violations of human rights can be evaluated, using the principles and articles established within the UN Universal Declaration of Human Rights.</t>
        </is>
      </c>
      <c r="E118" s="91" t="inlineStr">
        <is>
          <t>Students will examine and analyze the roles of perpetrators and bystanders in human rights violations in Cambodia, Rwanda, and Darfur in light of the principles and articles within the UN Universal Declaration of Human Rights.</t>
        </is>
      </c>
    </row>
    <row r="119" ht="22.5" customHeight="1" s="93">
      <c r="A119" s="88" t="inlineStr">
        <is>
          <t>10.10c.3</t>
        </is>
      </c>
      <c r="B119" s="89" t="inlineStr">
        <is>
          <t>Anti-Apartheid &amp; Nelson Mandela</t>
        </is>
      </c>
      <c r="C119" s="91" t="inlineStr">
        <is>
          <t>HUMAN RIGHTS VIOLATIONS</t>
        </is>
      </c>
      <c r="D119" s="91" t="inlineStr">
        <is>
          <t>Historical and contemporary violations of human rights can be evaluated, using the principles and articles established within the UN Universal Declaration of Human Rights.</t>
        </is>
      </c>
      <c r="E119" s="91" t="inlineStr">
        <is>
          <t>Students will examine the policy of apartheid in South Africa and the growth of the anti-apartheid movements, exploring Nelson Mandela’s role in these movements and in the post-apartheid period.</t>
        </is>
      </c>
    </row>
    <row r="120" ht="22.5" customHeight="1" s="93">
      <c r="A120" s="88" t="inlineStr">
        <is>
          <t>10.10c.4</t>
        </is>
      </c>
      <c r="B120" s="89" t="inlineStr">
        <is>
          <t>Efforts to Address Human Rights Violations</t>
        </is>
      </c>
      <c r="C120" s="91" t="inlineStr">
        <is>
          <t>HUMAN RIGHTS VIOLATIONS</t>
        </is>
      </c>
      <c r="D120" s="91" t="inlineStr">
        <is>
          <t>Historical and contemporary violations of human rights can be evaluated, using the principles and articles established within the UN Universal Declaration of Human Rights.</t>
        </is>
      </c>
      <c r="E120" s="91" t="inlineStr">
        <is>
          <t>Students will explore efforts to address human rights violations by individuals and groups, including the efforts of Mother Teresa, Aung San Suu Kyi, and the Mothers of the Plaza de Mayo.</t>
        </is>
      </c>
    </row>
    <row r="121" ht="22.5" customHeight="1" s="93">
      <c r="A121" s="88" t="inlineStr">
        <is>
          <t>11.09a.3</t>
        </is>
      </c>
      <c r="B121" s="89" t="inlineStr">
        <is>
          <t>McCarthyism</t>
        </is>
      </c>
      <c r="C121" s="91" t="inlineStr">
        <is>
          <t>After World War II, ideological differences led to political tensions between the United States and the Soviet Union. In an attempt to halt the spread of Soviet influence, the United States pursued a policy of containment.</t>
        </is>
      </c>
      <c r="D121" s="91" t="inlineStr">
        <is>
          <t>Students will examine domestic concerns about the spread of communism and the rise of McCarthyism.</t>
        </is>
      </c>
      <c r="E121" s="91" t="n"/>
    </row>
    <row r="122" ht="22.5" customHeight="1" s="93">
      <c r="A122" s="88" t="inlineStr">
        <is>
          <t>11.09a.4</t>
        </is>
      </c>
      <c r="B122" s="89" t="inlineStr">
        <is>
          <t>Korean War</t>
        </is>
      </c>
      <c r="C122" s="91" t="inlineStr">
        <is>
          <t>After World War II, ideological differences led to political tensions between the United States and the Soviet Union. In an attempt to halt the spread of Soviet influence, the United States pursued a policy of containment.</t>
        </is>
      </c>
      <c r="D122" s="91" t="inlineStr">
        <is>
          <t>Students will examine the consequences of Truman’s decision to fight a limited war in defense of South Korea.</t>
        </is>
      </c>
      <c r="E122" s="91" t="n"/>
    </row>
    <row r="123" ht="22.5" customHeight="1" s="93">
      <c r="A123" s="88" t="inlineStr">
        <is>
          <t>11.09a.5</t>
        </is>
      </c>
      <c r="B123" s="89" t="inlineStr">
        <is>
          <t>Vietnam War</t>
        </is>
      </c>
      <c r="C123" s="91" t="inlineStr">
        <is>
          <t>After World War II, ideological differences led to political tensions between the United States and the Soviet Union. In an attempt to halt the spread of Soviet influence, the United States pursued a policy of containment.</t>
        </is>
      </c>
      <c r="D123" s="91" t="inlineStr">
        <is>
          <t>Students will trace the United States involvement in Vietnam, including President Johnson’s decision to escalate the fighting in Vietnam.</t>
        </is>
      </c>
      <c r="E123" s="91" t="n"/>
    </row>
    <row r="124" ht="22.5" customHeight="1" s="93">
      <c r="A124" s="88" t="inlineStr">
        <is>
          <t>11.09a.6</t>
        </is>
      </c>
      <c r="B124" s="89" t="inlineStr">
        <is>
          <t>Antiwar Movement &amp; Watergate</t>
        </is>
      </c>
      <c r="C124" s="91" t="inlineStr">
        <is>
          <t>After World War II, ideological differences led to political tensions between the United States and the Soviet Union. In an attempt to halt the spread of Soviet influence, the United States pursued a policy of containment.</t>
        </is>
      </c>
      <c r="D124" s="91" t="inlineStr">
        <is>
          <t>Students will examine reasons for declining public confidence in government, including America’s involvement in Vietnam, student protests, the growing antiwar movement, and the Watergate affair.</t>
        </is>
      </c>
      <c r="E124" s="91" t="n"/>
    </row>
    <row r="125" ht="22.5" customHeight="1" s="93">
      <c r="A125" s="88" t="inlineStr">
        <is>
          <t>11.09a.7</t>
        </is>
      </c>
      <c r="B125" s="89" t="inlineStr">
        <is>
          <t>War Powers Act</t>
        </is>
      </c>
      <c r="C125" s="91" t="inlineStr">
        <is>
          <t>After World War II, ideological differences led to political tensions between the United States and the Soviet Union. In an attempt to halt the spread of Soviet influence, the United States pursued a policy of containment.</t>
        </is>
      </c>
      <c r="D125" s="91" t="inlineStr">
        <is>
          <t>Students will examine the congressional effort to limit presidential power through the War Powers Act.</t>
        </is>
      </c>
      <c r="E125" s="91" t="n"/>
    </row>
    <row r="126" ht="22.5" customHeight="1" s="93">
      <c r="A126" s="88" t="inlineStr">
        <is>
          <t>11.09b</t>
        </is>
      </c>
      <c r="B126" s="89" t="inlineStr">
        <is>
          <t>Nuclear Arms Race</t>
        </is>
      </c>
      <c r="C126" s="91" t="inlineStr">
        <is>
          <t>The United States and the Soviet Union engaged in a nuclear arms race that eventually led to agreements that limited the arms buildup and improved United States-Soviet relations.</t>
        </is>
      </c>
      <c r="D126" s="91" t="inlineStr">
        <is>
          <t>The United States and the Soviet Union engaged in a nuclear arms race that eventually led to agreements that limited the arms buildup and improved United States-Soviet relations.</t>
        </is>
      </c>
      <c r="E126" s="91" t="n"/>
    </row>
    <row r="127" ht="22.5" customHeight="1" s="93">
      <c r="A127" s="88" t="inlineStr">
        <is>
          <t>11.09b.1</t>
        </is>
      </c>
      <c r="B127" s="89" t="inlineStr">
        <is>
          <t>Nuclear Arms Race</t>
        </is>
      </c>
      <c r="C127" s="91" t="inlineStr">
        <is>
          <t>The United States and the Soviet Union engaged in a nuclear arms race that eventually led to agreements that limited the arms buildup and improved United States-Soviet relations.</t>
        </is>
      </c>
      <c r="D127" s="91" t="inlineStr">
        <is>
          <t>Students will trace the acceleration of the nuclear arms race, beginning with the detonation of an atomic bomb by the Soviet Union in 1949, through 1969, including the effects of Sputnik and the Space Race.</t>
        </is>
      </c>
      <c r="E127" s="91" t="n"/>
    </row>
    <row r="128" ht="22.5" customHeight="1" s="93">
      <c r="A128" s="88" t="inlineStr">
        <is>
          <t>11.09b.2</t>
        </is>
      </c>
      <c r="B128" s="89" t="inlineStr">
        <is>
          <t>Cuban Missile Crisis &amp; the Nuclear Test Ban Treaty</t>
        </is>
      </c>
      <c r="C128" s="91" t="inlineStr">
        <is>
          <t>The United States and the Soviet Union engaged in a nuclear arms race that eventually led to agreements that limited the arms buildup and improved United States-Soviet relations.</t>
        </is>
      </c>
      <c r="D128" s="91" t="inlineStr">
        <is>
          <t>Students will examine Soviet motives for placing missiles in Cuba and the impact of the Cuban missile crisis on Soviet-American relations, leading to the adoption of the Nuclear Test Ban Treaty.</t>
        </is>
      </c>
      <c r="E128" s="91" t="n"/>
    </row>
    <row r="129" ht="22.5" customHeight="1" s="93">
      <c r="A129" s="88" t="inlineStr">
        <is>
          <t>11.09b.3</t>
        </is>
      </c>
      <c r="B129" s="89" t="inlineStr">
        <is>
          <t>Détente</t>
        </is>
      </c>
      <c r="C129" s="91" t="inlineStr">
        <is>
          <t>The United States and the Soviet Union engaged in a nuclear arms race that eventually led to agreements that limited the arms buildup and improved United States-Soviet relations.</t>
        </is>
      </c>
      <c r="D129" s="91" t="inlineStr">
        <is>
          <t>Students will examine the policy of détente and its effect on the nuclear arms race.</t>
        </is>
      </c>
      <c r="E129" s="91" t="n"/>
    </row>
    <row r="130" ht="22.5" customHeight="1" s="93">
      <c r="A130" s="88" t="inlineStr">
        <is>
          <t>11.09c</t>
        </is>
      </c>
      <c r="B130" s="89" t="inlineStr">
        <is>
          <t>Foreign Policy</t>
        </is>
      </c>
      <c r="C130" s="91"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0" s="91"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E130" s="91" t="n"/>
    </row>
    <row r="131" ht="22.5" customHeight="1" s="93">
      <c r="A131" s="88" t="inlineStr">
        <is>
          <t>11.09c.1</t>
        </is>
      </c>
      <c r="B131" s="89" t="inlineStr">
        <is>
          <t>Israel &amp; the Camp David Accords</t>
        </is>
      </c>
      <c r="C131" s="91"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1" s="91" t="inlineStr">
        <is>
          <t>Students will examine United States foreign policy toward the Middle East, including the recognition of and support for the State of Israel, the Camp David Accords, and the interaction with radical groups in the region.</t>
        </is>
      </c>
      <c r="E131" s="91" t="n"/>
    </row>
    <row r="132" ht="22.5" customHeight="1" s="93">
      <c r="A132" s="88" t="inlineStr">
        <is>
          <t>11.09d</t>
        </is>
      </c>
      <c r="B132" s="89" t="inlineStr">
        <is>
          <t>Cold War Ends</t>
        </is>
      </c>
      <c r="C132" s="91" t="inlineStr">
        <is>
          <t>A combination of factors contributed to the end of the Cold War, including American policies and Soviet economic and political problems that led to the loss of Soviet control over Eastern Europe</t>
        </is>
      </c>
      <c r="D132" s="91" t="inlineStr">
        <is>
          <t>A combination of factors contributed to the end of the Cold War, including American policies and Soviet economic and political problems that led to the loss of Soviet control over Eastern Europe</t>
        </is>
      </c>
      <c r="E132" s="91" t="n"/>
    </row>
    <row r="133" ht="22.5" customHeight="1" s="93">
      <c r="A133" s="88" t="inlineStr">
        <is>
          <t>11.09d.1</t>
        </is>
      </c>
      <c r="B133" s="89" t="inlineStr">
        <is>
          <t>Berlin Wall &amp; the Soviet Loss of Control</t>
        </is>
      </c>
      <c r="C133" s="91" t="inlineStr">
        <is>
          <t>A combination of factors contributed to the end of the Cold War, including American policies and Soviet economic and political problems that led to the loss of Soviet control over Eastern Europe</t>
        </is>
      </c>
      <c r="D133" s="91" t="inlineStr">
        <is>
          <t>Students will trace factors that led to the fall of the Berlin Wall and the end of the Cold War, including American policies, Soviet economic problems, Soviet efforts at reform, and the loss of Soviet control over Eastern Europe.</t>
        </is>
      </c>
      <c r="E133" s="91" t="n"/>
    </row>
    <row r="134" hidden="1" ht="22.5" customHeight="1" s="93">
      <c r="A134" s="88" t="n">
        <v>11.1</v>
      </c>
      <c r="B134" s="90" t="inlineStr">
        <is>
          <t>Social and Economic Change/ Domestic Issues (1945-present)</t>
        </is>
      </c>
      <c r="C134" s="91" t="inlineStr">
        <is>
          <t>Racial, gender, and socioeconomic inequalities were addressed by individuals, groups, and organizations. Varying political philosophies prompted debates over the role of the federal government in regulating the economy and providing a social safety net.</t>
        </is>
      </c>
      <c r="D134" s="91" t="inlineStr">
        <is>
          <t>Racial, gender, and socioeconomic inequalities were addressed by individuals, groups, and organizations. Varying political philosophies prompted debates over the role of the federal government in regulating the economy and providing a social safety net.</t>
        </is>
      </c>
      <c r="E134" s="91" t="n"/>
    </row>
    <row r="135" ht="22.5" customHeight="1" s="93">
      <c r="A135" s="88" t="inlineStr">
        <is>
          <t>11.10a</t>
        </is>
      </c>
      <c r="B135" s="89" t="inlineStr">
        <is>
          <t>Civil Rights Movement</t>
        </is>
      </c>
      <c r="C135" s="91" t="inlineStr">
        <is>
          <t>After World War II, long-term demands for equality by African Americans led to the civil rights movement. The efforts of individuals, groups, and institutions helped to redefine African American civil rights, though numerous issues remain unresolved.</t>
        </is>
      </c>
      <c r="D135" s="91" t="inlineStr">
        <is>
          <t>After World War II, long-term demands for equality by African Americans led to the civil rights movement. The efforts of individuals, groups, and institutions helped to redefine African American civil rights, though numerous issues remain unresolved.</t>
        </is>
      </c>
      <c r="E135" s="91" t="n"/>
    </row>
    <row r="136" ht="22.5" customHeight="1" s="93">
      <c r="A136" s="88" t="inlineStr">
        <is>
          <t>11.10a.1</t>
        </is>
      </c>
      <c r="B136" s="89" t="inlineStr">
        <is>
          <t>Important Civil Rights Individuals</t>
        </is>
      </c>
      <c r="C136" s="91" t="inlineStr">
        <is>
          <t>After World War II, long-term demands for equality by African Americans led to the civil rights movement. The efforts of individuals, groups, and institutions helped to redefine African American civil rights, though numerous issues remain unresolved.</t>
        </is>
      </c>
      <c r="D136" s="91" t="inlineStr">
        <is>
          <t>Students will examine the roles and impact of individuals such as Rev. Martin Luther King Jr., Stokely Carmichael, Fannie Lou Hamer, and Malcolm X on the movement and their perspectives on change.</t>
        </is>
      </c>
      <c r="E136" s="91" t="n"/>
    </row>
    <row r="137" ht="22.5" customHeight="1" s="93">
      <c r="A137" s="88" t="inlineStr">
        <is>
          <t>11.10a.2</t>
        </is>
      </c>
      <c r="B137" s="89" t="inlineStr">
        <is>
          <t>Civil Rights Groups &amp; Tactics</t>
        </is>
      </c>
      <c r="C137" s="91" t="inlineStr">
        <is>
          <t>After World War II, long-term demands for equality by African Americans led to the civil rights movement. The efforts of individuals, groups, and institutions helped to redefine African American civil rights, though numerous issues remain unresolved.</t>
        </is>
      </c>
      <c r="D137" s="91" t="inlineStr">
        <is>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is>
      </c>
      <c r="E137" s="91" t="n"/>
    </row>
    <row r="138" ht="22.5" customHeight="1" s="93">
      <c r="A138" s="88" t="inlineStr">
        <is>
          <t>11.10a.3</t>
        </is>
      </c>
      <c r="B138" s="89" t="inlineStr">
        <is>
          <t>Civil Rights Judicial &amp; Legislative Achievements</t>
        </is>
      </c>
      <c r="C138" s="91" t="inlineStr">
        <is>
          <t>After World War II, long-term demands for equality by African Americans led to the civil rights movement. The efforts of individuals, groups, and institutions helped to redefine African American civil rights, though numerous issues remain unresolved.</t>
        </is>
      </c>
      <c r="D138" s="91" t="inlineStr">
        <is>
          <t>Students will examine judicial actions and legislative achievements during the movement, such as Brown v. Board of Education of Topeka (1954), the Civil Rights Act of 1964, Heart of Atlanta Motel, Inc. v. United States (1964) and the Voting Rights Act of 1965.</t>
        </is>
      </c>
      <c r="E138" s="91" t="n"/>
    </row>
    <row r="139" ht="22.5" customHeight="1" s="93">
      <c r="A139" s="88" t="inlineStr">
        <is>
          <t>11.10a.4</t>
        </is>
      </c>
      <c r="B139" s="89" t="inlineStr">
        <is>
          <t>Civil Rights Protests &amp; Civil Resistance</t>
        </is>
      </c>
      <c r="C139" s="91" t="inlineStr">
        <is>
          <t>After World War II, long-term demands for equality by African Americans led to the civil rights movement. The efforts of individuals, groups, and institutions helped to redefine African American civil rights, though numerous issues remain unresolved.</t>
        </is>
      </c>
      <c r="D139" s="91" t="inlineStr">
        <is>
          <t>Students will analyze the significance of key events in the movement, including the Montgomery bus boycott, federal intervention at Little Rock, Arkansas; the Birmingham protest; and the March on Washington.</t>
        </is>
      </c>
      <c r="E139" s="91" t="n"/>
    </row>
    <row r="140" ht="22.5" customHeight="1" s="93">
      <c r="A140" s="88" t="inlineStr">
        <is>
          <t>11.10b</t>
        </is>
      </c>
      <c r="B140" s="89" t="inlineStr">
        <is>
          <t>Individuals, Diverse Groups, and Organizations That Have Changed America</t>
        </is>
      </c>
      <c r="C140" s="91" t="inlineStr">
        <is>
          <t>Individuals, diverse groups, and organizations have sought to bring about change in American society through a variety of methods.</t>
        </is>
      </c>
      <c r="D140" s="91" t="inlineStr">
        <is>
          <t>Individuals, diverse groups, and organizations have sought to bring about change in American society through a variety of methods.</t>
        </is>
      </c>
      <c r="E140" s="91" t="n"/>
    </row>
    <row r="141" ht="22.5" customHeight="1" s="93">
      <c r="A141" s="88" t="inlineStr">
        <is>
          <t>11.10b.1</t>
        </is>
      </c>
      <c r="B141" s="89" t="inlineStr">
        <is>
          <t>Individuals &amp; Groups Fight for Equality</t>
        </is>
      </c>
      <c r="C141" s="91" t="inlineStr">
        <is>
          <t>Individuals, diverse groups, and organizations have sought to bring about change in American society through a variety of methods.</t>
        </is>
      </c>
      <c r="D141" s="91" t="inlineStr">
        <is>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is>
      </c>
      <c r="E141" s="91" t="n"/>
    </row>
    <row r="142" ht="22.5" customHeight="1" s="93">
      <c r="A142" s="88" t="inlineStr">
        <is>
          <t>11.10b.2</t>
        </is>
      </c>
      <c r="B142" s="89" t="inlineStr">
        <is>
          <t>Civil Rights Case Studies</t>
        </is>
      </c>
      <c r="C142" s="91" t="inlineStr">
        <is>
          <t>Individuals, diverse groups, and organizations have sought to bring about change in American society through a variety of methods.</t>
        </is>
      </c>
      <c r="D142" s="91" t="inlineStr">
        <is>
          <t>Students will thoroughly investigate at least one of the efforts above.</t>
        </is>
      </c>
      <c r="E142" s="91" t="n"/>
    </row>
    <row r="143" ht="22.5" customHeight="1" s="93">
      <c r="A143" s="88" t="inlineStr">
        <is>
          <t>11.10c</t>
        </is>
      </c>
      <c r="B143" s="89" t="inlineStr">
        <is>
          <t>Domestic Policies and Problems and the Role of Government</t>
        </is>
      </c>
      <c r="C143" s="91" t="inlineStr">
        <is>
          <t>Varying political philosophies prompted debates over the role of the federal government in regulating the economy and providing a social safety net.</t>
        </is>
      </c>
      <c r="D143" s="91" t="inlineStr">
        <is>
          <t>Varying political philosophies prompted debates over the role of the federal government in regulating the economy and providing a social safety net.</t>
        </is>
      </c>
      <c r="E143" s="91" t="n"/>
    </row>
    <row r="144" ht="22.5" customHeight="1" s="93">
      <c r="A144" s="88" t="inlineStr">
        <is>
          <t>11.10c.1</t>
        </is>
      </c>
      <c r="B144" s="89" t="inlineStr">
        <is>
          <t>Great Society vs Reaganomics</t>
        </is>
      </c>
      <c r="C144" s="91" t="inlineStr">
        <is>
          <t>Varying political philosophies prompted debates over the role of the federal government in regulating the economy and providing a social safety net.</t>
        </is>
      </c>
      <c r="D144" s="91" t="inlineStr">
        <is>
          <t>Students will compare and contrast the economic policies of President Johnson (Great Society) and President Reagan (Reaganomics) regarding the size and role of the federal government.</t>
        </is>
      </c>
      <c r="E144" s="91" t="n"/>
    </row>
    <row r="145" ht="22.5" customHeight="1" s="93">
      <c r="A145" s="88" t="inlineStr">
        <is>
          <t>11.10c.2</t>
        </is>
      </c>
      <c r="B145" s="89" t="inlineStr">
        <is>
          <t>Great Recession</t>
        </is>
      </c>
      <c r="C145" s="91" t="inlineStr">
        <is>
          <t>Varying political philosophies prompted debates over the role of the federal government in regulating the economy and providing a social safety net.</t>
        </is>
      </c>
      <c r="D145" s="91" t="inlineStr">
        <is>
          <t>Students will examine the causes of the financial panic of 2008 and the federal government's response to the Great Recession.</t>
        </is>
      </c>
      <c r="E145" s="91" t="n"/>
    </row>
    <row r="146" ht="22.5" customHeight="1" s="93">
      <c r="A146" s="88" t="inlineStr">
        <is>
          <t>11.10c.3</t>
        </is>
      </c>
      <c r="B146" s="89" t="inlineStr">
        <is>
          <t>Social Safety Nets</t>
        </is>
      </c>
      <c r="C146" s="91" t="inlineStr">
        <is>
          <t>Varying political philosophies prompted debates over the role of the federal government in regulating the economy and providing a social safety net.</t>
        </is>
      </c>
      <c r="D146" s="91" t="inlineStr">
        <is>
          <t>Students will examine the debates over the role of the government in providing a social safety net, including the stability of the Social Security Trust Fund and Medicare Trust Fund, as well as changes under the Affordable Care Act.</t>
        </is>
      </c>
      <c r="E146" s="91" t="n"/>
    </row>
    <row r="147" hidden="1" ht="22.5" customHeight="1" s="93">
      <c r="A147" s="88" t="n">
        <v>11.11</v>
      </c>
      <c r="B147" s="90" t="inlineStr">
        <is>
          <t>United States in a Changing World (1990-present)</t>
        </is>
      </c>
      <c r="C147" s="91"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47" s="91"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E147" s="91" t="n"/>
    </row>
    <row r="148" ht="22.5" customHeight="1" s="93">
      <c r="A148" s="88" t="inlineStr">
        <is>
          <t>11.11a</t>
        </is>
      </c>
      <c r="B148" s="89" t="inlineStr">
        <is>
          <t>United States: Political and Economic Status</t>
        </is>
      </c>
      <c r="C148" s="91" t="inlineStr">
        <is>
          <t>The United States created a coalition to defeat Iraq in the Persian Gulf War (1991), but was reluctant to commit American military power through the rest of the decade.</t>
        </is>
      </c>
      <c r="D148" s="91" t="inlineStr">
        <is>
          <t>The United States created a coalition to defeat Iraq in the Persian Gulf War (1991), but was reluctant to commit American military power through the rest of the decade.</t>
        </is>
      </c>
      <c r="E148" s="91" t="n"/>
    </row>
    <row r="149" ht="22.5" customHeight="1" s="93">
      <c r="A149" s="88" t="inlineStr">
        <is>
          <t>11.11a.1</t>
        </is>
      </c>
      <c r="B149" s="89" t="inlineStr">
        <is>
          <t>Persian Gulf War</t>
        </is>
      </c>
      <c r="C149" s="91" t="inlineStr">
        <is>
          <t>The United States created a coalition to defeat Iraq in the Persian Gulf War (1991), but was reluctant to commit American military power through the rest of the decade.</t>
        </is>
      </c>
      <c r="D149" s="91" t="inlineStr">
        <is>
          <t>Students will examine the decision of President George H. W. Bush to oppose Iraq’s invasion of Kuwait. Students will evaluate the positive and negative consequences of the Persian Gulf War.</t>
        </is>
      </c>
      <c r="E149" s="91" t="n"/>
    </row>
    <row r="150" ht="22.5" customHeight="1" s="93">
      <c r="A150" s="88" t="inlineStr">
        <is>
          <t>11.11a.2</t>
        </is>
      </c>
      <c r="B150" s="89" t="inlineStr">
        <is>
          <t>Reluctance to Defend Human Rights</t>
        </is>
      </c>
      <c r="C150" s="91" t="inlineStr">
        <is>
          <t>The United States created a coalition to defeat Iraq in the Persian Gulf War (1991), but was reluctant to commit American military power through the rest of the decade.</t>
        </is>
      </c>
      <c r="D150" s="91" t="inlineStr">
        <is>
          <t>Students will trace United States foreign policy regarding Bosnia, Rwanda, and Kosovo, exploring the tension between defending human rights and the reluctance to intervene stemming from the Vietnam syndrome.</t>
        </is>
      </c>
      <c r="E150" s="91" t="n"/>
    </row>
    <row r="151" ht="22.5" customHeight="1" s="93">
      <c r="A151" s="88" t="inlineStr">
        <is>
          <t>11.11b</t>
        </is>
      </c>
      <c r="B151" s="89" t="inlineStr">
        <is>
          <t>War on Terror</t>
        </is>
      </c>
      <c r="C151" s="91" t="inlineStr">
        <is>
          <t>In response to the terrorist attacks of September 11, 2001, the United States launched the War on Terror, which involved controversial foreign and domestic policies.</t>
        </is>
      </c>
      <c r="D151" s="91" t="inlineStr">
        <is>
          <t>In response to the terrorist attacks of September 11, 2001, the United States launched the War on Terror, which involved controversial foreign and domestic policies.</t>
        </is>
      </c>
      <c r="E151" s="91" t="n"/>
    </row>
    <row r="152" ht="22.5" customHeight="1" s="93">
      <c r="A152" s="88" t="inlineStr">
        <is>
          <t>11.11b.1</t>
        </is>
      </c>
      <c r="B152" s="89" t="inlineStr">
        <is>
          <t>9-11, War on Terror, &amp; PATRIOT Act</t>
        </is>
      </c>
      <c r="C152" s="91" t="inlineStr">
        <is>
          <t>In response to the terrorist attacks of September 11, 2001, the United States launched the War on Terror, which involved controversial foreign and domestic policies.</t>
        </is>
      </c>
      <c r="D152" s="91" t="inlineStr">
        <is>
          <t>Students will trace the reactions to the September 11, 2001, attacks, including responses of the American public, the authorization of the War on Terror, the invasion of Afghanistan, and the passage of the USA PATRIOT Act.</t>
        </is>
      </c>
      <c r="E152" s="91" t="n"/>
    </row>
    <row r="153" ht="22.5" customHeight="1" s="93">
      <c r="A153" s="88" t="inlineStr">
        <is>
          <t>11.11b.2</t>
        </is>
      </c>
      <c r="B153" s="89" t="inlineStr">
        <is>
          <t>Invasion of Iraq</t>
        </is>
      </c>
      <c r="C153" s="91" t="inlineStr">
        <is>
          <t>In response to the terrorist attacks of September 11, 2001, the United States launched the War on Terror, which involved controversial foreign and domestic policies.</t>
        </is>
      </c>
      <c r="D153" s="91" t="inlineStr">
        <is>
          <t>Students will examine the decision to invade Iraq, which was based on allegations concerning weapons of mass destruction, and trace the course of the war.</t>
        </is>
      </c>
      <c r="E153" s="91" t="n"/>
    </row>
    <row r="154" ht="22.5" customHeight="1" s="93">
      <c r="A154" s="88" t="inlineStr">
        <is>
          <t>11.11b.3</t>
        </is>
      </c>
      <c r="B154" s="89" t="inlineStr">
        <is>
          <t>Violation of Civil Liberties &amp; Surveillance</t>
        </is>
      </c>
      <c r="C154" s="91" t="inlineStr">
        <is>
          <t>In response to the terrorist attacks of September 11, 2001, the United States launched the War on Terror, which involved controversial foreign and domestic policies.</t>
        </is>
      </c>
      <c r="D154" s="91" t="inlineStr">
        <is>
          <t>Students will evaluate the USA PATRIOT Act, including constitutional issues raised about the violation of civil liberties by the federal government’s electronic surveillance programs.</t>
        </is>
      </c>
      <c r="E154" s="91" t="n"/>
    </row>
    <row r="155" ht="22.5" customHeight="1" s="93">
      <c r="A155" s="88" t="inlineStr">
        <is>
          <t>11.11c</t>
        </is>
      </c>
      <c r="B155" s="89" t="inlineStr">
        <is>
          <t>Globalization and Advances in Technology</t>
        </is>
      </c>
      <c r="C155" s="91" t="inlineStr">
        <is>
          <t>Globalization and advances in technology have affected the United States economy and society.</t>
        </is>
      </c>
      <c r="D155" s="91" t="inlineStr">
        <is>
          <t>Globalization and advances in technology have affected the United States economy and society.</t>
        </is>
      </c>
      <c r="E155" s="91" t="n"/>
    </row>
    <row r="156" ht="22.5" customHeight="1" s="93">
      <c r="A156" s="88" t="inlineStr">
        <is>
          <t>11.11c.1</t>
        </is>
      </c>
      <c r="B156" s="89" t="inlineStr">
        <is>
          <t>Globalization &amp; the US Economy</t>
        </is>
      </c>
      <c r="C156" s="91" t="inlineStr">
        <is>
          <t>Globalization and advances in technology have affected the United States economy and society.</t>
        </is>
      </c>
      <c r="D156" s="91" t="inlineStr">
        <is>
          <t>Students will examine the positive and negative consequences of globalization in relation to the United States economy.</t>
        </is>
      </c>
      <c r="E156" s="91" t="n"/>
    </row>
    <row r="157" ht="22.5" customHeight="1" s="93">
      <c r="A157" s="88" t="inlineStr">
        <is>
          <t>11.11c.2</t>
        </is>
      </c>
      <c r="B157" s="89" t="inlineStr">
        <is>
          <t>Multinational Corporations</t>
        </is>
      </c>
      <c r="C157" s="91" t="inlineStr">
        <is>
          <t>Globalization and advances in technology have affected the United States economy and society.</t>
        </is>
      </c>
      <c r="D157" s="91" t="inlineStr">
        <is>
          <t>Students will investigate the role of multinational corporations and their influence on both the United States economy and on other countries around the world.</t>
        </is>
      </c>
      <c r="E157" s="91" t="n"/>
    </row>
    <row r="158" ht="22.5" customHeight="1" s="93">
      <c r="A158" s="88" t="inlineStr">
        <is>
          <t>11.11c.3</t>
        </is>
      </c>
      <c r="B158" s="89" t="inlineStr">
        <is>
          <t>US vs China Rivalry</t>
        </is>
      </c>
      <c r="C158" s="91" t="inlineStr">
        <is>
          <t>Globalization and advances in technology have affected the United States economy and society.</t>
        </is>
      </c>
      <c r="D158" s="91" t="inlineStr">
        <is>
          <t>Students will examine the economic relationship and the strategic rivalry between the United States and China.</t>
        </is>
      </c>
      <c r="E158" s="9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93" min="1" max="1"/>
    <col width="25.13" customWidth="1" style="93" min="2" max="2"/>
    <col width="62.63" customWidth="1" style="93" min="3" max="3"/>
    <col width="25.13" customWidth="1" style="93" min="4" max="4"/>
  </cols>
  <sheetData>
    <row r="1" ht="22.5" customHeight="1" s="93">
      <c r="A1" s="88" t="inlineStr">
        <is>
          <t>Number</t>
        </is>
      </c>
      <c r="B1" s="89" t="inlineStr">
        <is>
          <t>Title</t>
        </is>
      </c>
      <c r="C1" s="89" t="inlineStr">
        <is>
          <t>Details</t>
        </is>
      </c>
      <c r="D1" s="89" t="inlineStr">
        <is>
          <t>Lookup Key</t>
        </is>
      </c>
    </row>
    <row r="2" ht="22.5" customHeight="1" s="93">
      <c r="A2" s="88" t="n">
        <v>1</v>
      </c>
      <c r="B2" s="91" t="inlineStr">
        <is>
          <t>Best Use</t>
        </is>
      </c>
      <c r="C2" s="91" t="inlineStr">
        <is>
          <t>Students are given a stimulus and asked to evaluate and classify (identify) best use.</t>
        </is>
      </c>
      <c r="D2" s="91">
        <f>CONCATENATE(A2,". ",B2)</f>
        <v/>
      </c>
    </row>
    <row r="3" ht="22.5" customHeight="1" s="93">
      <c r="A3" s="88" t="n">
        <v>2</v>
      </c>
      <c r="B3" s="91" t="inlineStr">
        <is>
          <t>POV</t>
        </is>
      </c>
      <c r="C3" s="91" t="inlineStr">
        <is>
          <t>Students are given a stimulus and asked to identify point of view, purpose, context, bias, format of source, location of source in time and/or place, and/or intended audience of sources using background knowledge.</t>
        </is>
      </c>
      <c r="D3" s="91">
        <f>CONCATENATE(A3,". ",B3)</f>
        <v/>
      </c>
    </row>
    <row r="4" ht="22.5" customHeight="1" s="93">
      <c r="A4" s="88" t="n">
        <v>3</v>
      </c>
      <c r="B4" s="91" t="inlineStr">
        <is>
          <t>Claim Validity (With Outside Information)</t>
        </is>
      </c>
      <c r="C4" s="91" t="inlineStr">
        <is>
          <t>Students are given a stimulus and asked to identify support for a claim found in the stimulus (bound in the same timeframe/event/space). It must require students to draw on their knowledge rather than on straight comprehension of text.</t>
        </is>
      </c>
      <c r="D4" s="91">
        <f>CONCATENATE(A4,". ",B4)</f>
        <v/>
      </c>
    </row>
    <row r="5" ht="22.5" customHeight="1" s="93">
      <c r="A5" s="88" t="n">
        <v>4</v>
      </c>
      <c r="B5" s="91" t="inlineStr">
        <is>
          <t>Claim Validity (Without Outside Information)</t>
        </is>
      </c>
      <c r="C5" s="91" t="inlineStr">
        <is>
          <t>Students are given a stimulus and asked to select a plausible claim that logically follows from evidence presented.</t>
        </is>
      </c>
      <c r="D5" s="91">
        <f>CONCATENATE(A5,". ",B5)</f>
        <v/>
      </c>
    </row>
    <row r="6" ht="22.5" customHeight="1" s="93">
      <c r="A6" s="88" t="n">
        <v>5</v>
      </c>
      <c r="B6" s="91" t="inlineStr">
        <is>
          <t>Turning Point</t>
        </is>
      </c>
      <c r="C6" s="91" t="inlineStr">
        <is>
          <t>Students are given a stimulus and asked to identify the significance of a turning point in history.</t>
        </is>
      </c>
      <c r="D6" s="91">
        <f>CONCATENATE(A6,". ",B6)</f>
        <v/>
      </c>
    </row>
    <row r="7" ht="22.5" customHeight="1" s="93">
      <c r="A7" s="88" t="n">
        <v>6</v>
      </c>
      <c r="B7" s="91" t="inlineStr">
        <is>
          <t>Change Over Time</t>
        </is>
      </c>
      <c r="C7" s="91" t="inlineStr">
        <is>
          <t>Students are given a stimulus and asked to identify significance of an event, action, idea, or development as part of change or part of continuity in history.</t>
        </is>
      </c>
      <c r="D7" s="91">
        <f>CONCATENATE(A7,". ",B7)</f>
        <v/>
      </c>
    </row>
    <row r="8" ht="22.5" customHeight="1" s="93">
      <c r="A8" s="88" t="n">
        <v>7</v>
      </c>
      <c r="B8" s="91" t="inlineStr">
        <is>
          <t>Cause</t>
        </is>
      </c>
      <c r="C8" s="91" t="inlineStr">
        <is>
          <t>Students are given a stimulus and asked to identify a central cause of the described phenomenon.</t>
        </is>
      </c>
      <c r="D8" s="91">
        <f>CONCATENATE(A8,". ",B8)</f>
        <v/>
      </c>
    </row>
    <row r="9" ht="22.5" customHeight="1" s="93">
      <c r="A9" s="88" t="n">
        <v>8</v>
      </c>
      <c r="B9" s="91" t="inlineStr">
        <is>
          <t>Effect</t>
        </is>
      </c>
      <c r="C9" s="91" t="inlineStr">
        <is>
          <t>Students are given a stimulus and asked to identify a central effect of the described phenomenon.</t>
        </is>
      </c>
      <c r="D9" s="91">
        <f>CONCATENATE(A9,". ",B9)</f>
        <v/>
      </c>
    </row>
    <row r="10" ht="22.5" customHeight="1" s="93">
      <c r="A10" s="88" t="n">
        <v>9</v>
      </c>
      <c r="B10" s="91" t="inlineStr">
        <is>
          <t>Impact of Setting</t>
        </is>
      </c>
      <c r="C10" s="91" t="inlineStr">
        <is>
          <t>Students are given a stimulus and asked to identify the impact of time and place on an issue or event linked to that stimulus.</t>
        </is>
      </c>
      <c r="D10" s="91">
        <f>CONCATENATE(A10,". ",B10)</f>
        <v/>
      </c>
    </row>
    <row r="11" ht="22.5" customHeight="1" s="93">
      <c r="A11" s="88" t="n">
        <v>10</v>
      </c>
      <c r="B11" s="91" t="inlineStr">
        <is>
          <t>Compare</t>
        </is>
      </c>
      <c r="C11" s="91" t="inlineStr">
        <is>
          <t>Students are given one stimulus or two stimuli and asked to identify a similarity in the described phenomenon (historical development, historical event, geographic setting, economic situation, individual’s action/belief) (implicit comparison).</t>
        </is>
      </c>
      <c r="D11" s="91">
        <f>CONCATENATE(A11,". ",B11)</f>
        <v/>
      </c>
    </row>
    <row r="12" ht="22.5" customHeight="1" s="93">
      <c r="A12" s="88" t="n">
        <v>11</v>
      </c>
      <c r="B12" s="91" t="inlineStr">
        <is>
          <t>Contrast</t>
        </is>
      </c>
      <c r="C12" s="91" t="inlineStr">
        <is>
          <t>Students are given one/two stimuli and asked to identify a difference in the described phenomenon (historical development, historical event, geographic setting, economic situation, individual’s action/belief) (implicit comparison).</t>
        </is>
      </c>
      <c r="D12" s="91">
        <f>CONCATENATE(A12,". ",B12)</f>
        <v/>
      </c>
    </row>
    <row r="13" ht="22.5" customHeight="1" s="93">
      <c r="A13" s="88" t="n">
        <v>12</v>
      </c>
      <c r="B13" s="91" t="inlineStr">
        <is>
          <t>Informed Civic Action</t>
        </is>
      </c>
      <c r="C13" s="91" t="inlineStr">
        <is>
          <t>Students are given a stimulus and asked to identify an informed action taken by an individual, group, or government connected to civic activism.</t>
        </is>
      </c>
      <c r="D13" s="91">
        <f>CONCATENATE(A13,". ",B13)</f>
        <v/>
      </c>
    </row>
    <row r="14" ht="22.5" customHeight="1" s="93">
      <c r="A14" s="88" t="n">
        <v>13</v>
      </c>
      <c r="B14" s="91" t="inlineStr">
        <is>
          <t>Interpret Visual Data</t>
        </is>
      </c>
      <c r="C14" s="91" t="inlineStr">
        <is>
          <t>Students are given a visual stimulus such as a map, graph, chart, timeline, cartoon, or photograph and asked to extract and interpret relevant information to answer a question.</t>
        </is>
      </c>
      <c r="D14" s="91">
        <f>CONCATENATE(A14,". ",B14)</f>
        <v/>
      </c>
    </row>
    <row r="15" ht="22.5" customHeight="1" s="93">
      <c r="A15" s="88" t="n">
        <v>14</v>
      </c>
      <c r="B15" s="91" t="inlineStr">
        <is>
          <t>Stakeholder Issue</t>
        </is>
      </c>
      <c r="C15" s="91" t="inlineStr">
        <is>
          <t>Students are given one stimulus or two stimuli and asked to identify a stakeholder or a stakeholder’s issue.</t>
        </is>
      </c>
      <c r="D15" s="91">
        <f>CONCATENATE(A15,". ",B15)</f>
        <v/>
      </c>
    </row>
    <row r="16" ht="22.5" customHeight="1" s="93">
      <c r="A16" s="88" t="n">
        <v>15</v>
      </c>
      <c r="B16" s="91" t="inlineStr">
        <is>
          <t>Recommended Action</t>
        </is>
      </c>
      <c r="C16" s="91" t="inlineStr">
        <is>
          <t>Students are given a stimulus and asked to identify a course of action recommended by a historical figure, a group, or a government.</t>
        </is>
      </c>
      <c r="D16" s="91">
        <f>CONCATENATE(A16,". ",B16)</f>
        <v/>
      </c>
    </row>
    <row r="17" ht="22.5" customHeight="1" s="93">
      <c r="A17" s="88" t="n">
        <v>16</v>
      </c>
      <c r="B17" s="91" t="inlineStr">
        <is>
          <t>Sequence of Events</t>
        </is>
      </c>
      <c r="C17" s="91" t="inlineStr">
        <is>
          <t>Students are given a stimulus and asked to identify how historical events are related chronologically.</t>
        </is>
      </c>
      <c r="D17" s="91">
        <f>CONCATENATE(A17,". ",B17)</f>
        <v/>
      </c>
    </row>
    <row r="18" ht="22.5" customHeight="1" s="93">
      <c r="A18" s="88" t="n">
        <v>17</v>
      </c>
      <c r="B18" s="91" t="inlineStr">
        <is>
          <t>Problem</t>
        </is>
      </c>
      <c r="C18" s="91" t="inlineStr">
        <is>
          <t>Students are given one stimulus or two stimuli and asked to identify a problem (issue).</t>
        </is>
      </c>
      <c r="D18" s="91">
        <f>CONCATENATE(A18,". ",B18)</f>
        <v/>
      </c>
    </row>
    <row r="19" ht="22.5" customHeight="1" s="93">
      <c r="A19" s="88" t="n">
        <v>18</v>
      </c>
      <c r="B19" s="91" t="inlineStr">
        <is>
          <t>Response to Problem</t>
        </is>
      </c>
      <c r="C19" s="91" t="inlineStr">
        <is>
          <t>Students are given one stimulus or two stimuli and asked to identify a response to a problem (issue).</t>
        </is>
      </c>
      <c r="D19" s="91">
        <f>CONCATENATE(A19,". ",B19)</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8" defaultColWidth="12.63" defaultRowHeight="15.75" customHeight="1"/>
  <cols>
    <col width="35.88" customWidth="1" style="93" min="1" max="1"/>
    <col width="14" customWidth="1" style="93" min="2" max="2"/>
    <col width="50.13" customWidth="1" style="93" min="3" max="3"/>
  </cols>
  <sheetData>
    <row r="1" ht="22.5" customHeight="1" s="93">
      <c r="A1" s="92" t="inlineStr">
        <is>
          <t>Skill</t>
        </is>
      </c>
      <c r="B1" s="88" t="inlineStr">
        <is>
          <t>Subdivision</t>
        </is>
      </c>
      <c r="C1" s="89" t="inlineStr">
        <is>
          <t>Detail</t>
        </is>
      </c>
    </row>
    <row r="2" ht="22.5" customHeight="1" s="93">
      <c r="A2" s="65" t="inlineStr">
        <is>
          <t>A. Gathering, Interpreting, and Using Evidence</t>
        </is>
      </c>
      <c r="B2" s="88" t="n">
        <v>1</v>
      </c>
      <c r="C2" s="91" t="inlineStr">
        <is>
          <t>Define and frame questions about events and the world in which we live, form hypotheses as potential answers to these questions, use evidence to answer these questions, and consider and analyze counter-hypotheses.</t>
        </is>
      </c>
    </row>
    <row r="3" ht="22.5" customHeight="1" s="93">
      <c r="A3" s="65" t="inlineStr">
        <is>
          <t>A. Gathering, Interpreting, and Using Evidence</t>
        </is>
      </c>
      <c r="B3" s="88" t="n">
        <v>2</v>
      </c>
      <c r="C3" s="91" t="inlineStr">
        <is>
          <t>Identify, describe, and evaluate evidence about events from diverse sources (including written documents, works of art, photographs, charts and graphs, artifacts, oral traditions, and other primary and secondary sources).</t>
        </is>
      </c>
    </row>
    <row r="4" ht="22.5" customHeight="1" s="93">
      <c r="A4" s="65" t="inlineStr">
        <is>
          <t>A. Gathering, Interpreting, and Using Evidence</t>
        </is>
      </c>
      <c r="B4" s="88" t="n">
        <v>3</v>
      </c>
      <c r="C4" s="91" t="inlineStr">
        <is>
          <t>Analyze evidence in terms of content, authorship, point of view, bias, purpose, format, and audience.</t>
        </is>
      </c>
    </row>
    <row r="5" ht="22.5" customHeight="1" s="93">
      <c r="A5" s="65" t="inlineStr">
        <is>
          <t>A. Gathering, Interpreting, and Using Evidence</t>
        </is>
      </c>
      <c r="B5" s="88" t="n">
        <v>4</v>
      </c>
      <c r="C5" s="91" t="inlineStr">
        <is>
          <t>Describe, analyze, and evaluate arguments of others.</t>
        </is>
      </c>
    </row>
    <row r="6" ht="22.5" customHeight="1" s="93">
      <c r="A6" s="65" t="inlineStr">
        <is>
          <t>A. Gathering, Interpreting, and Using Evidence</t>
        </is>
      </c>
      <c r="B6" s="88" t="n">
        <v>5</v>
      </c>
      <c r="C6" s="91" t="inlineStr">
        <is>
          <t>Make inferences and draw conclusions from evidence.</t>
        </is>
      </c>
    </row>
    <row r="7" ht="22.5" customHeight="1" s="93">
      <c r="A7" s="65" t="inlineStr">
        <is>
          <t>A. Gathering, Interpreting, and Using Evidence</t>
        </is>
      </c>
      <c r="B7" s="88" t="n">
        <v>6</v>
      </c>
      <c r="C7" s="91" t="inlineStr">
        <is>
          <t>Deconstruct and construct plausible and persuasive arguments, using evidence.</t>
        </is>
      </c>
    </row>
    <row r="8" ht="22.5" customHeight="1" s="93">
      <c r="A8" s="65" t="inlineStr">
        <is>
          <t>A. Gathering, Interpreting, and Using Evidence</t>
        </is>
      </c>
      <c r="B8" s="88" t="n">
        <v>7</v>
      </c>
      <c r="C8" s="91" t="inlineStr">
        <is>
          <t>Create meaningful and persuasive understandings of the past by fusing disparate and relevant evidence from primary and secondary sources and drawing connections to the present.</t>
        </is>
      </c>
    </row>
    <row r="9" ht="22.5" customHeight="1" s="93">
      <c r="A9" s="65" t="inlineStr">
        <is>
          <t>B. Chronological Reasoning and Causation</t>
        </is>
      </c>
      <c r="B9" s="88" t="n">
        <v>1</v>
      </c>
      <c r="C9" s="91" t="inlineStr">
        <is>
          <t>Articulate how events are related chronologically to one another in time and explain the ways in which earlier ideas and events may influence subsequent ideas and events.</t>
        </is>
      </c>
    </row>
    <row r="10" ht="22.5" customHeight="1" s="93">
      <c r="A10" s="65" t="inlineStr">
        <is>
          <t>B. Chronological Reasoning and Causation</t>
        </is>
      </c>
      <c r="B10" s="88" t="n">
        <v>2</v>
      </c>
      <c r="C10" s="91" t="inlineStr">
        <is>
          <t>Identify causes and effects using examples from different time periods and courses of study across several grade levels.</t>
        </is>
      </c>
    </row>
    <row r="11" ht="22.5" customHeight="1" s="93">
      <c r="A11" s="65" t="inlineStr">
        <is>
          <t>B. Chronological Reasoning and Causation</t>
        </is>
      </c>
      <c r="B11" s="88" t="n">
        <v>3</v>
      </c>
      <c r="C11" s="91" t="inlineStr">
        <is>
          <t>Identify, analyze, and evaluate the relationship between multiple causes and effects.</t>
        </is>
      </c>
    </row>
    <row r="12" ht="22.5" customHeight="1" s="93">
      <c r="A12" s="65" t="inlineStr">
        <is>
          <t>B. Chronological Reasoning and Causation</t>
        </is>
      </c>
      <c r="B12" s="88" t="n">
        <v>4</v>
      </c>
      <c r="C12" s="91" t="inlineStr">
        <is>
          <t>Distinguish between long-term and immediate causes and multiple effects (time, continuity, and change).</t>
        </is>
      </c>
    </row>
    <row r="13" ht="22.5" customHeight="1" s="93">
      <c r="A13" s="65" t="inlineStr">
        <is>
          <t>B. Chronological Reasoning and Causation</t>
        </is>
      </c>
      <c r="B13" s="88" t="n">
        <v>5</v>
      </c>
      <c r="C13" s="91" t="inlineStr">
        <is>
          <t>Recognize, analyze, and evaluate dynamics of historical continuity and change over periods of time and investigate factors that caused those changes over time.</t>
        </is>
      </c>
    </row>
    <row r="14" ht="22.5" customHeight="1" s="93">
      <c r="A14" s="65" t="inlineStr">
        <is>
          <t>B. Chronological Reasoning and Causation</t>
        </is>
      </c>
      <c r="B14" s="88" t="n">
        <v>6</v>
      </c>
      <c r="C14" s="91" t="inlineStr">
        <is>
          <t>Recognize that choice of specific periodization favors or advantages one narrative, region, or group over another narrative, region, or group.</t>
        </is>
      </c>
    </row>
    <row r="15" ht="22.5" customHeight="1" s="93">
      <c r="A15" s="65" t="inlineStr">
        <is>
          <t>B. Chronological Reasoning and Causation</t>
        </is>
      </c>
      <c r="B15" s="88" t="n">
        <v>7</v>
      </c>
      <c r="C15" s="91" t="inlineStr">
        <is>
          <t>Relate patterns of continuity and change to larger historical processes and themes.</t>
        </is>
      </c>
    </row>
    <row r="16" ht="22.5" customHeight="1" s="93">
      <c r="A16" s="65" t="inlineStr">
        <is>
          <t>B. Chronological Reasoning and Causation</t>
        </is>
      </c>
      <c r="B16" s="88" t="n">
        <v>8</v>
      </c>
      <c r="C16" s="91" t="inlineStr">
        <is>
          <t>Describe, analyze, evaluate, and construct models of historical periodization that historians use to categorize events.</t>
        </is>
      </c>
    </row>
    <row r="17" ht="22.5" customHeight="1" s="93">
      <c r="A17" s="65" t="inlineStr">
        <is>
          <t>C. Comparison and Contextualization</t>
        </is>
      </c>
      <c r="B17" s="88" t="n">
        <v>1</v>
      </c>
      <c r="C17" s="91" t="inlineStr">
        <is>
          <t>Identify similarities and differences between geographic regions across historical time periods, and relate differences in geography to different historical events andoutcomes.</t>
        </is>
      </c>
    </row>
    <row r="18" ht="22.5" customHeight="1" s="93">
      <c r="A18" s="65" t="inlineStr">
        <is>
          <t>C. Comparison and Contextualization</t>
        </is>
      </c>
      <c r="B18" s="88" t="n">
        <v>2</v>
      </c>
      <c r="C18" s="91" t="inlineStr">
        <is>
          <t>Identify, compare, and evaluate multiple perspectives on a given historical experience.</t>
        </is>
      </c>
    </row>
    <row r="19" ht="22.5" customHeight="1" s="93">
      <c r="A19" s="65" t="inlineStr">
        <is>
          <t>C. Comparison and Contextualization</t>
        </is>
      </c>
      <c r="B19" s="88" t="n">
        <v>3</v>
      </c>
      <c r="C19" s="91" t="inlineStr">
        <is>
          <t>Identify and compare similarities and differences between historical developments over time and in different geographical and cultural contexts.</t>
        </is>
      </c>
    </row>
    <row r="20" ht="22.5" customHeight="1" s="93">
      <c r="A20" s="65" t="inlineStr">
        <is>
          <t>C. Comparison and Contextualization</t>
        </is>
      </c>
      <c r="B20" s="88" t="n">
        <v>4</v>
      </c>
      <c r="C20" s="91" t="inlineStr">
        <is>
          <t>Describe, compare, and evaluate multiple historical developments (within societies; across and between societies; in various chronological and geographical contexts).</t>
        </is>
      </c>
    </row>
    <row r="21" ht="22.5" customHeight="1" s="93">
      <c r="A21" s="65" t="inlineStr">
        <is>
          <t>C. Comparison and Contextualization</t>
        </is>
      </c>
      <c r="B21" s="88" t="n">
        <v>5</v>
      </c>
      <c r="C21" s="91" t="inlineStr">
        <is>
          <t>Recognize the relationship between geography, economics, and history as a context for events and movements and as a matrix of time and place.</t>
        </is>
      </c>
    </row>
    <row r="22" ht="22.5" customHeight="1" s="93">
      <c r="A22" s="65" t="inlineStr">
        <is>
          <t>C. Comparison and Contextualization</t>
        </is>
      </c>
      <c r="B22" s="88" t="n">
        <v>6</v>
      </c>
      <c r="C22" s="91" t="inlineStr">
        <is>
          <t>Connect historical developments to specific circumstances of time and place and to broader regional, national, or global processes and draw connections to the present (where appropriate).</t>
        </is>
      </c>
    </row>
    <row r="23" ht="22.5" customHeight="1" s="93">
      <c r="A23" s="65" t="inlineStr">
        <is>
          <t>D. Geographic Reasoning</t>
        </is>
      </c>
      <c r="B23" s="88" t="n">
        <v>1</v>
      </c>
      <c r="C23" s="91" t="inlineStr">
        <is>
          <t>Ask geographic questions about where places are located, why their locations are important, and how their locations are related to the locations of other places and people.</t>
        </is>
      </c>
    </row>
    <row r="24" ht="22.5" customHeight="1" s="93">
      <c r="A24" s="65" t="inlineStr">
        <is>
          <t>D. Geographic Reasoning</t>
        </is>
      </c>
      <c r="B24" s="88" t="n">
        <v>2</v>
      </c>
      <c r="C24" s="91" t="inlineStr">
        <is>
          <t>Identify, describe, and evaluate the relationships between people, places, regions, and environments by using geographic tools to place them in a spatial context.</t>
        </is>
      </c>
    </row>
    <row r="25" ht="22.5" customHeight="1" s="93">
      <c r="A25" s="65" t="inlineStr">
        <is>
          <t>D. Geographic Reasoning</t>
        </is>
      </c>
      <c r="B25" s="88" t="n">
        <v>3</v>
      </c>
      <c r="C25" s="91"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s="93">
      <c r="A26" s="65" t="inlineStr">
        <is>
          <t>D. Geographic Reasoning</t>
        </is>
      </c>
      <c r="B26" s="88" t="n">
        <v>4</v>
      </c>
      <c r="C26" s="91" t="inlineStr">
        <is>
          <t>Recognize and interpret (at different scales) the relationships between patterns and processes.</t>
        </is>
      </c>
    </row>
    <row r="27" ht="22.5" customHeight="1" s="93">
      <c r="A27" s="65" t="inlineStr">
        <is>
          <t>D. Geographic Reasoning</t>
        </is>
      </c>
      <c r="B27" s="88" t="n">
        <v>5</v>
      </c>
      <c r="C27" s="91" t="inlineStr">
        <is>
          <t>Recognize and analyze how place and region influence the social, cultural, and economic characteristics of civilizations.</t>
        </is>
      </c>
    </row>
    <row r="28" ht="22.5" customHeight="1" s="93">
      <c r="A28" s="65" t="inlineStr">
        <is>
          <t>D. Geographic Reasoning</t>
        </is>
      </c>
      <c r="B28" s="88" t="n">
        <v>6</v>
      </c>
      <c r="C28" s="91" t="inlineStr">
        <is>
          <t>Characterize and analyze changing connections between places and regions.</t>
        </is>
      </c>
    </row>
    <row r="29" ht="22.5" customHeight="1" s="93">
      <c r="A29" s="65" t="inlineStr">
        <is>
          <t>E. Economics and Economics Systems</t>
        </is>
      </c>
      <c r="B29" s="88" t="n">
        <v>1</v>
      </c>
      <c r="C29" s="91" t="inlineStr">
        <is>
          <t xml:space="preserve">Use marginal benefits and marginal costs to construct an argument for or against an approach or solution to an economic issue. 
</t>
        </is>
      </c>
    </row>
    <row r="30" ht="22.5" customHeight="1" s="93">
      <c r="A30" s="65" t="inlineStr">
        <is>
          <t>E. Economics and Economics Systems</t>
        </is>
      </c>
      <c r="B30" s="88" t="n">
        <v>2</v>
      </c>
      <c r="C30" s="91" t="inlineStr">
        <is>
          <t>Analyze the ways in which incentives influence what is produced and distributed ina market system.</t>
        </is>
      </c>
    </row>
    <row r="31" ht="22.5" customHeight="1" s="93">
      <c r="A31" s="65" t="inlineStr">
        <is>
          <t>E. Economics and Economics Systems</t>
        </is>
      </c>
      <c r="B31" s="88" t="n">
        <v>3</v>
      </c>
      <c r="C31" s="91" t="inlineStr">
        <is>
          <t>Evaluate the extent to which competition between sellers and between buyers exists in specific markets.</t>
        </is>
      </c>
    </row>
    <row r="32" ht="22.5" customHeight="1" s="93">
      <c r="A32" s="65" t="inlineStr">
        <is>
          <t>E. Economics and Economics Systems</t>
        </is>
      </c>
      <c r="B32" s="88" t="n">
        <v>4</v>
      </c>
      <c r="C32" s="91" t="inlineStr">
        <is>
          <t>Describe concepts of property rights and rule of law as they apply to a market economy.</t>
        </is>
      </c>
    </row>
    <row r="33" ht="22.5" customHeight="1" s="93">
      <c r="A33" s="65" t="inlineStr">
        <is>
          <t>E. Economics and Economics Systems</t>
        </is>
      </c>
      <c r="B33" s="88" t="n">
        <v>5</v>
      </c>
      <c r="C33" s="91" t="inlineStr">
        <is>
          <t>Use economic indicators to analyze the current and future state of the economy.</t>
        </is>
      </c>
    </row>
    <row r="34" ht="22.5" customHeight="1" s="93">
      <c r="A34" s="65" t="inlineStr">
        <is>
          <t>E. Economics and Economics Systems</t>
        </is>
      </c>
      <c r="B34" s="88" t="n">
        <v>6</v>
      </c>
      <c r="C34" s="91" t="inlineStr">
        <is>
          <t>Analyze government economic policies and the effects on the national and global economy.</t>
        </is>
      </c>
    </row>
    <row r="35" ht="22.5" customHeight="1" s="93">
      <c r="A35" s="65" t="inlineStr">
        <is>
          <t>F. Civic Participation</t>
        </is>
      </c>
      <c r="B35" s="88" t="n">
        <v>1</v>
      </c>
      <c r="C35" s="91" t="inlineStr">
        <is>
          <t>Demonstrate respect for the rights of others in discussions and classroom debates; respectfully disagree with other viewpoints and provide evidence for a counter-argument.</t>
        </is>
      </c>
    </row>
    <row r="36" ht="22.5" customHeight="1" s="93">
      <c r="A36" s="65" t="inlineStr">
        <is>
          <t>F. Civic Participation</t>
        </is>
      </c>
      <c r="B36" s="88" t="n">
        <v>2</v>
      </c>
      <c r="C36" s="91" t="inlineStr">
        <is>
          <t>Participate in activities that focus on a classroom, school, community, state, or national issue or problem.</t>
        </is>
      </c>
    </row>
    <row r="37" ht="22.5" customHeight="1" s="93">
      <c r="A37" s="65" t="inlineStr">
        <is>
          <t>F. Civic Participation</t>
        </is>
      </c>
      <c r="B37" s="88" t="n">
        <v>3</v>
      </c>
      <c r="C37" s="91" t="inlineStr">
        <is>
          <t>Explain differing philosophies of social and political participation and the role of the individual leading to group-driven philosophies.</t>
        </is>
      </c>
    </row>
    <row r="38" ht="22.5" customHeight="1" s="93">
      <c r="A38" s="65" t="inlineStr">
        <is>
          <t>F. Civic Participation</t>
        </is>
      </c>
      <c r="B38" s="88" t="n">
        <v>4</v>
      </c>
      <c r="C38" s="91" t="inlineStr">
        <is>
          <t>Identify, describe, and contrast the roles of the individual in opportunities for social and political participation in different societies.</t>
        </is>
      </c>
    </row>
    <row r="39" ht="22.5" customHeight="1" s="93">
      <c r="A39" s="65" t="inlineStr">
        <is>
          <t>F. Civic Participation</t>
        </is>
      </c>
      <c r="B39" s="88" t="n">
        <v>5</v>
      </c>
      <c r="C39" s="91" t="inlineStr">
        <is>
          <t>Participate in persuading, debating, negotiating, and compromising in the resolution of conflicts and differences.</t>
        </is>
      </c>
    </row>
    <row r="40" ht="22.5" customHeight="1" s="93">
      <c r="A40" s="65" t="inlineStr">
        <is>
          <t>F. Civic Participation</t>
        </is>
      </c>
      <c r="B40" s="88" t="n">
        <v>6</v>
      </c>
      <c r="C40" s="91" t="inlineStr">
        <is>
          <t>Identify situations in which social actions are required and determine an appropriate course of action.</t>
        </is>
      </c>
    </row>
    <row r="41" ht="22.5" customHeight="1" s="93">
      <c r="A41" s="65" t="inlineStr">
        <is>
          <t>F. Civic Participation</t>
        </is>
      </c>
      <c r="B41" s="88" t="n">
        <v>7</v>
      </c>
      <c r="C41" s="91" t="inlineStr">
        <is>
          <t>Work to influence those in positions of power to strive for extensions of freedom, social justice, and human rights.</t>
        </is>
      </c>
    </row>
    <row r="42" ht="22.5" customHeight="1" s="93">
      <c r="A42" s="65" t="inlineStr">
        <is>
          <t>F. Civic Participation</t>
        </is>
      </c>
      <c r="B42" s="88" t="n">
        <v>8</v>
      </c>
      <c r="C42" s="91" t="inlineStr">
        <is>
          <t>Fulfill social and political responsibilities associated with citizenship in a democratic society and interdependent global community by developing awareness of and/or engaging in the political process.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2026-06-01T14:03:52Z</dcterms:created>
  <dcterms:modified xsi:type="dcterms:W3CDTF">2026-06-01T14:03:52Z</dcterms:modified>
</cp:coreProperties>
</file>