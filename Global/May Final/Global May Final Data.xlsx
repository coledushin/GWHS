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coledushin/Documents/GWHS/Global/May Final/"/>
    </mc:Choice>
  </mc:AlternateContent>
  <xr:revisionPtr revIDLastSave="0" documentId="13_ncr:1_{DEBFE4F0-F1F8-4340-93FA-D713D0512E51}" xr6:coauthVersionLast="47" xr6:coauthVersionMax="47" xr10:uidLastSave="{00000000-0000-0000-0000-000000000000}"/>
  <bookViews>
    <workbookView xWindow="14060" yWindow="600" windowWidth="14100" windowHeight="15320" xr2:uid="{00000000-000D-0000-FFFF-FFFF00000000}"/>
  </bookViews>
  <sheets>
    <sheet name="Scores" sheetId="1" r:id="rId1"/>
    <sheet name="Questions" sheetId="2" r:id="rId2"/>
    <sheet name="Content Standards" sheetId="3" r:id="rId3"/>
    <sheet name="Task Models" sheetId="4" state="hidden" r:id="rId4"/>
    <sheet name="Skill Standards"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Q2" i="1" l="1"/>
  <c r="AR2" i="1"/>
  <c r="AS2" i="1"/>
  <c r="AT2" i="1"/>
  <c r="AU2" i="1"/>
  <c r="AV2" i="1"/>
  <c r="AW2" i="1"/>
  <c r="AX2" i="1"/>
  <c r="AY2" i="1"/>
  <c r="AZ2" i="1"/>
  <c r="BA2" i="1"/>
  <c r="BB2" i="1"/>
  <c r="BC2" i="1"/>
  <c r="BD2" i="1"/>
  <c r="BE2" i="1"/>
  <c r="BF2" i="1"/>
  <c r="BG2" i="1"/>
  <c r="BH2" i="1"/>
  <c r="BI2" i="1"/>
  <c r="BJ2" i="1"/>
  <c r="BK2" i="1"/>
  <c r="BL2" i="1"/>
  <c r="BM2" i="1"/>
  <c r="BN2" i="1"/>
  <c r="BO2" i="1"/>
  <c r="BP2" i="1"/>
  <c r="BQ2" i="1"/>
  <c r="AQ3" i="1"/>
  <c r="AR3" i="1"/>
  <c r="AS3" i="1"/>
  <c r="AT3" i="1"/>
  <c r="AU3" i="1"/>
  <c r="AV3" i="1"/>
  <c r="AW3" i="1"/>
  <c r="AX3" i="1"/>
  <c r="AY3" i="1"/>
  <c r="AZ3" i="1"/>
  <c r="BA3" i="1"/>
  <c r="BB3" i="1"/>
  <c r="BC3" i="1"/>
  <c r="BD3" i="1"/>
  <c r="BE3" i="1"/>
  <c r="BF3" i="1"/>
  <c r="BG3" i="1"/>
  <c r="BH3" i="1"/>
  <c r="BI3" i="1"/>
  <c r="BJ3" i="1"/>
  <c r="BK3" i="1"/>
  <c r="BL3" i="1"/>
  <c r="BM3" i="1"/>
  <c r="BN3" i="1"/>
  <c r="BO3" i="1"/>
  <c r="BP3" i="1"/>
  <c r="BQ3" i="1"/>
  <c r="AQ4" i="1"/>
  <c r="AR4" i="1"/>
  <c r="AS4" i="1"/>
  <c r="AT4" i="1"/>
  <c r="AU4" i="1"/>
  <c r="AV4" i="1"/>
  <c r="AW4" i="1"/>
  <c r="AX4" i="1"/>
  <c r="AY4" i="1"/>
  <c r="AZ4" i="1"/>
  <c r="BA4" i="1"/>
  <c r="BB4" i="1"/>
  <c r="BC4" i="1"/>
  <c r="BD4" i="1"/>
  <c r="BE4" i="1"/>
  <c r="BF4" i="1"/>
  <c r="BG4" i="1"/>
  <c r="BH4" i="1"/>
  <c r="BI4" i="1"/>
  <c r="BJ4" i="1"/>
  <c r="BK4" i="1"/>
  <c r="BL4" i="1"/>
  <c r="BM4" i="1"/>
  <c r="BN4" i="1"/>
  <c r="BO4" i="1"/>
  <c r="BP4" i="1"/>
  <c r="BQ4" i="1"/>
  <c r="AQ5" i="1"/>
  <c r="AR5" i="1"/>
  <c r="AS5" i="1"/>
  <c r="AT5" i="1"/>
  <c r="AU5" i="1"/>
  <c r="AV5" i="1"/>
  <c r="AW5" i="1"/>
  <c r="AX5" i="1"/>
  <c r="AY5" i="1"/>
  <c r="AZ5" i="1"/>
  <c r="BA5" i="1"/>
  <c r="BB5" i="1"/>
  <c r="BC5" i="1"/>
  <c r="BD5" i="1"/>
  <c r="BE5" i="1"/>
  <c r="BF5" i="1"/>
  <c r="BG5" i="1"/>
  <c r="BH5" i="1"/>
  <c r="BI5" i="1"/>
  <c r="BJ5" i="1"/>
  <c r="BK5" i="1"/>
  <c r="BL5" i="1"/>
  <c r="BM5" i="1"/>
  <c r="BN5" i="1"/>
  <c r="BO5" i="1"/>
  <c r="BP5" i="1"/>
  <c r="BQ5" i="1"/>
  <c r="AQ6" i="1"/>
  <c r="AR6" i="1"/>
  <c r="AS6" i="1"/>
  <c r="AT6" i="1"/>
  <c r="AU6" i="1"/>
  <c r="AV6" i="1"/>
  <c r="AW6" i="1"/>
  <c r="AX6" i="1"/>
  <c r="AY6" i="1"/>
  <c r="AZ6" i="1"/>
  <c r="BA6" i="1"/>
  <c r="BB6" i="1"/>
  <c r="BC6" i="1"/>
  <c r="BD6" i="1"/>
  <c r="BE6" i="1"/>
  <c r="BF6" i="1"/>
  <c r="BG6" i="1"/>
  <c r="BH6" i="1"/>
  <c r="BI6" i="1"/>
  <c r="BJ6" i="1"/>
  <c r="BK6" i="1"/>
  <c r="BL6" i="1"/>
  <c r="BM6" i="1"/>
  <c r="BN6" i="1"/>
  <c r="BO6" i="1"/>
  <c r="BP6" i="1"/>
  <c r="BQ6" i="1"/>
  <c r="AQ7" i="1"/>
  <c r="AR7" i="1"/>
  <c r="AS7" i="1"/>
  <c r="AT7" i="1"/>
  <c r="AU7" i="1"/>
  <c r="AV7" i="1"/>
  <c r="AW7" i="1"/>
  <c r="AX7" i="1"/>
  <c r="AY7" i="1"/>
  <c r="AZ7" i="1"/>
  <c r="BA7" i="1"/>
  <c r="BB7" i="1"/>
  <c r="BC7" i="1"/>
  <c r="BD7" i="1"/>
  <c r="BE7" i="1"/>
  <c r="BF7" i="1"/>
  <c r="BG7" i="1"/>
  <c r="BH7" i="1"/>
  <c r="BI7" i="1"/>
  <c r="BJ7" i="1"/>
  <c r="BK7" i="1"/>
  <c r="BL7" i="1"/>
  <c r="BM7" i="1"/>
  <c r="BN7" i="1"/>
  <c r="BO7" i="1"/>
  <c r="BP7" i="1"/>
  <c r="BQ7" i="1"/>
  <c r="AQ8" i="1"/>
  <c r="AR8" i="1"/>
  <c r="AS8" i="1"/>
  <c r="AT8" i="1"/>
  <c r="AU8" i="1"/>
  <c r="AV8" i="1"/>
  <c r="AW8" i="1"/>
  <c r="AX8" i="1"/>
  <c r="AY8" i="1"/>
  <c r="AZ8" i="1"/>
  <c r="BA8" i="1"/>
  <c r="BB8" i="1"/>
  <c r="BC8" i="1"/>
  <c r="BD8" i="1"/>
  <c r="BE8" i="1"/>
  <c r="BF8" i="1"/>
  <c r="BG8" i="1"/>
  <c r="BH8" i="1"/>
  <c r="BI8" i="1"/>
  <c r="BJ8" i="1"/>
  <c r="BK8" i="1"/>
  <c r="BL8" i="1"/>
  <c r="BM8" i="1"/>
  <c r="BN8" i="1"/>
  <c r="BO8" i="1"/>
  <c r="BP8" i="1"/>
  <c r="BQ8" i="1"/>
  <c r="AQ9" i="1"/>
  <c r="AR9" i="1"/>
  <c r="AS9" i="1"/>
  <c r="AT9" i="1"/>
  <c r="AU9" i="1"/>
  <c r="AV9" i="1"/>
  <c r="AW9" i="1"/>
  <c r="AX9" i="1"/>
  <c r="AY9" i="1"/>
  <c r="AZ9" i="1"/>
  <c r="BA9" i="1"/>
  <c r="BB9" i="1"/>
  <c r="BC9" i="1"/>
  <c r="BD9" i="1"/>
  <c r="BE9" i="1"/>
  <c r="BF9" i="1"/>
  <c r="BG9" i="1"/>
  <c r="BH9" i="1"/>
  <c r="BI9" i="1"/>
  <c r="BJ9" i="1"/>
  <c r="BK9" i="1"/>
  <c r="BL9" i="1"/>
  <c r="BM9" i="1"/>
  <c r="BN9" i="1"/>
  <c r="BO9" i="1"/>
  <c r="BP9" i="1"/>
  <c r="BQ9" i="1"/>
  <c r="AQ10" i="1"/>
  <c r="AR10" i="1"/>
  <c r="AS10" i="1"/>
  <c r="AT10" i="1"/>
  <c r="AU10" i="1"/>
  <c r="AV10" i="1"/>
  <c r="AW10" i="1"/>
  <c r="AX10" i="1"/>
  <c r="AY10" i="1"/>
  <c r="AZ10" i="1"/>
  <c r="BA10" i="1"/>
  <c r="BB10" i="1"/>
  <c r="BC10" i="1"/>
  <c r="BD10" i="1"/>
  <c r="BE10" i="1"/>
  <c r="BF10" i="1"/>
  <c r="BG10" i="1"/>
  <c r="BH10" i="1"/>
  <c r="BI10" i="1"/>
  <c r="BJ10" i="1"/>
  <c r="BK10" i="1"/>
  <c r="BL10" i="1"/>
  <c r="BM10" i="1"/>
  <c r="BN10" i="1"/>
  <c r="BO10" i="1"/>
  <c r="BP10" i="1"/>
  <c r="BQ10" i="1"/>
  <c r="AQ11" i="1"/>
  <c r="AR11" i="1"/>
  <c r="AS11" i="1"/>
  <c r="AT11" i="1"/>
  <c r="AU11" i="1"/>
  <c r="AV11" i="1"/>
  <c r="AW11" i="1"/>
  <c r="AX11" i="1"/>
  <c r="AY11" i="1"/>
  <c r="AZ11" i="1"/>
  <c r="BA11" i="1"/>
  <c r="BB11" i="1"/>
  <c r="BC11" i="1"/>
  <c r="BD11" i="1"/>
  <c r="BE11" i="1"/>
  <c r="BF11" i="1"/>
  <c r="BG11" i="1"/>
  <c r="BH11" i="1"/>
  <c r="BI11" i="1"/>
  <c r="BJ11" i="1"/>
  <c r="BK11" i="1"/>
  <c r="BL11" i="1"/>
  <c r="BM11" i="1"/>
  <c r="BN11" i="1"/>
  <c r="BO11" i="1"/>
  <c r="BP11" i="1"/>
  <c r="BQ11" i="1"/>
  <c r="AQ12" i="1"/>
  <c r="AR12" i="1"/>
  <c r="AS12" i="1"/>
  <c r="AT12" i="1"/>
  <c r="AU12" i="1"/>
  <c r="AV12" i="1"/>
  <c r="AW12" i="1"/>
  <c r="AX12" i="1"/>
  <c r="AY12" i="1"/>
  <c r="AZ12" i="1"/>
  <c r="BA12" i="1"/>
  <c r="BB12" i="1"/>
  <c r="BC12" i="1"/>
  <c r="BD12" i="1"/>
  <c r="BE12" i="1"/>
  <c r="BF12" i="1"/>
  <c r="BG12" i="1"/>
  <c r="BH12" i="1"/>
  <c r="BI12" i="1"/>
  <c r="BJ12" i="1"/>
  <c r="BK12" i="1"/>
  <c r="BL12" i="1"/>
  <c r="BM12" i="1"/>
  <c r="BN12" i="1"/>
  <c r="BO12" i="1"/>
  <c r="BP12" i="1"/>
  <c r="BQ12" i="1"/>
  <c r="AQ13" i="1"/>
  <c r="AR13" i="1"/>
  <c r="AS13" i="1"/>
  <c r="AT13" i="1"/>
  <c r="AU13" i="1"/>
  <c r="AV13" i="1"/>
  <c r="AW13" i="1"/>
  <c r="AX13" i="1"/>
  <c r="AY13" i="1"/>
  <c r="AZ13" i="1"/>
  <c r="BA13" i="1"/>
  <c r="BB13" i="1"/>
  <c r="BC13" i="1"/>
  <c r="BD13" i="1"/>
  <c r="BE13" i="1"/>
  <c r="BF13" i="1"/>
  <c r="BG13" i="1"/>
  <c r="BH13" i="1"/>
  <c r="BI13" i="1"/>
  <c r="BJ13" i="1"/>
  <c r="BK13" i="1"/>
  <c r="BL13" i="1"/>
  <c r="BM13" i="1"/>
  <c r="BN13" i="1"/>
  <c r="BO13" i="1"/>
  <c r="BP13" i="1"/>
  <c r="BQ13" i="1"/>
  <c r="AQ14" i="1"/>
  <c r="AR14" i="1"/>
  <c r="AS14" i="1"/>
  <c r="AT14" i="1"/>
  <c r="AU14" i="1"/>
  <c r="AV14" i="1"/>
  <c r="AW14" i="1"/>
  <c r="AX14" i="1"/>
  <c r="AY14" i="1"/>
  <c r="AZ14" i="1"/>
  <c r="BA14" i="1"/>
  <c r="BB14" i="1"/>
  <c r="BC14" i="1"/>
  <c r="BD14" i="1"/>
  <c r="BE14" i="1"/>
  <c r="BF14" i="1"/>
  <c r="BG14" i="1"/>
  <c r="BH14" i="1"/>
  <c r="BI14" i="1"/>
  <c r="BJ14" i="1"/>
  <c r="BK14" i="1"/>
  <c r="BL14" i="1"/>
  <c r="BM14" i="1"/>
  <c r="BN14" i="1"/>
  <c r="BO14" i="1"/>
  <c r="BP14" i="1"/>
  <c r="BQ14" i="1"/>
  <c r="AQ15" i="1"/>
  <c r="AR15" i="1"/>
  <c r="AS15" i="1"/>
  <c r="AT15" i="1"/>
  <c r="AU15" i="1"/>
  <c r="AV15" i="1"/>
  <c r="AW15" i="1"/>
  <c r="AX15" i="1"/>
  <c r="AY15" i="1"/>
  <c r="AZ15" i="1"/>
  <c r="BA15" i="1"/>
  <c r="BB15" i="1"/>
  <c r="BC15" i="1"/>
  <c r="BD15" i="1"/>
  <c r="BE15" i="1"/>
  <c r="BF15" i="1"/>
  <c r="BG15" i="1"/>
  <c r="BH15" i="1"/>
  <c r="BI15" i="1"/>
  <c r="BJ15" i="1"/>
  <c r="BK15" i="1"/>
  <c r="BL15" i="1"/>
  <c r="BM15" i="1"/>
  <c r="BN15" i="1"/>
  <c r="BO15" i="1"/>
  <c r="BP15" i="1"/>
  <c r="BQ15" i="1"/>
  <c r="AQ16" i="1"/>
  <c r="AR16" i="1"/>
  <c r="AS16" i="1"/>
  <c r="AT16" i="1"/>
  <c r="AU16" i="1"/>
  <c r="AV16" i="1"/>
  <c r="AW16" i="1"/>
  <c r="AX16" i="1"/>
  <c r="AY16" i="1"/>
  <c r="AZ16" i="1"/>
  <c r="BA16" i="1"/>
  <c r="BB16" i="1"/>
  <c r="BC16" i="1"/>
  <c r="BD16" i="1"/>
  <c r="BE16" i="1"/>
  <c r="BF16" i="1"/>
  <c r="BG16" i="1"/>
  <c r="BH16" i="1"/>
  <c r="BI16" i="1"/>
  <c r="BJ16" i="1"/>
  <c r="BK16" i="1"/>
  <c r="BL16" i="1"/>
  <c r="BM16" i="1"/>
  <c r="BN16" i="1"/>
  <c r="BO16" i="1"/>
  <c r="BP16" i="1"/>
  <c r="BQ16" i="1"/>
  <c r="AQ17" i="1"/>
  <c r="AR17" i="1"/>
  <c r="AS17" i="1"/>
  <c r="AT17" i="1"/>
  <c r="AU17" i="1"/>
  <c r="AV17" i="1"/>
  <c r="AW17" i="1"/>
  <c r="AX17" i="1"/>
  <c r="AY17" i="1"/>
  <c r="AZ17" i="1"/>
  <c r="BA17" i="1"/>
  <c r="BB17" i="1"/>
  <c r="BC17" i="1"/>
  <c r="BD17" i="1"/>
  <c r="BE17" i="1"/>
  <c r="BF17" i="1"/>
  <c r="BG17" i="1"/>
  <c r="BH17" i="1"/>
  <c r="BI17" i="1"/>
  <c r="BJ17" i="1"/>
  <c r="BK17" i="1"/>
  <c r="BL17" i="1"/>
  <c r="BM17" i="1"/>
  <c r="BN17" i="1"/>
  <c r="BO17" i="1"/>
  <c r="BP17" i="1"/>
  <c r="BQ17" i="1"/>
  <c r="AQ18" i="1"/>
  <c r="AR18" i="1"/>
  <c r="AS18" i="1"/>
  <c r="AT18" i="1"/>
  <c r="AU18" i="1"/>
  <c r="AV18" i="1"/>
  <c r="AW18" i="1"/>
  <c r="AX18" i="1"/>
  <c r="AY18" i="1"/>
  <c r="AZ18" i="1"/>
  <c r="BA18" i="1"/>
  <c r="BB18" i="1"/>
  <c r="BC18" i="1"/>
  <c r="BD18" i="1"/>
  <c r="BE18" i="1"/>
  <c r="BF18" i="1"/>
  <c r="BG18" i="1"/>
  <c r="BH18" i="1"/>
  <c r="BI18" i="1"/>
  <c r="BJ18" i="1"/>
  <c r="BK18" i="1"/>
  <c r="BL18" i="1"/>
  <c r="BM18" i="1"/>
  <c r="BN18" i="1"/>
  <c r="BO18" i="1"/>
  <c r="BP18" i="1"/>
  <c r="BQ18" i="1"/>
  <c r="AQ19" i="1"/>
  <c r="AR19" i="1"/>
  <c r="AS19" i="1"/>
  <c r="AT19" i="1"/>
  <c r="AU19" i="1"/>
  <c r="AV19" i="1"/>
  <c r="AW19" i="1"/>
  <c r="AX19" i="1"/>
  <c r="AY19" i="1"/>
  <c r="AZ19" i="1"/>
  <c r="BA19" i="1"/>
  <c r="BB19" i="1"/>
  <c r="BC19" i="1"/>
  <c r="BD19" i="1"/>
  <c r="BE19" i="1"/>
  <c r="BF19" i="1"/>
  <c r="BG19" i="1"/>
  <c r="BH19" i="1"/>
  <c r="BI19" i="1"/>
  <c r="BJ19" i="1"/>
  <c r="BK19" i="1"/>
  <c r="BL19" i="1"/>
  <c r="BM19" i="1"/>
  <c r="BN19" i="1"/>
  <c r="BO19" i="1"/>
  <c r="BP19" i="1"/>
  <c r="BQ19" i="1"/>
  <c r="AQ20" i="1"/>
  <c r="AR20" i="1"/>
  <c r="AS20" i="1"/>
  <c r="AT20" i="1"/>
  <c r="AU20" i="1"/>
  <c r="AV20" i="1"/>
  <c r="AW20" i="1"/>
  <c r="AX20" i="1"/>
  <c r="AY20" i="1"/>
  <c r="AZ20" i="1"/>
  <c r="BA20" i="1"/>
  <c r="BB20" i="1"/>
  <c r="BC20" i="1"/>
  <c r="BD20" i="1"/>
  <c r="BE20" i="1"/>
  <c r="BF20" i="1"/>
  <c r="BG20" i="1"/>
  <c r="BH20" i="1"/>
  <c r="BI20" i="1"/>
  <c r="BJ20" i="1"/>
  <c r="BK20" i="1"/>
  <c r="BL20" i="1"/>
  <c r="BM20" i="1"/>
  <c r="BN20" i="1"/>
  <c r="BO20" i="1"/>
  <c r="BP20" i="1"/>
  <c r="BQ20" i="1"/>
  <c r="AQ21" i="1"/>
  <c r="AR21" i="1"/>
  <c r="AS21" i="1"/>
  <c r="AT21" i="1"/>
  <c r="AU21" i="1"/>
  <c r="AV21" i="1"/>
  <c r="AW21" i="1"/>
  <c r="AX21" i="1"/>
  <c r="AY21" i="1"/>
  <c r="AZ21" i="1"/>
  <c r="BA21" i="1"/>
  <c r="BB21" i="1"/>
  <c r="BC21" i="1"/>
  <c r="BD21" i="1"/>
  <c r="BE21" i="1"/>
  <c r="BF21" i="1"/>
  <c r="BG21" i="1"/>
  <c r="BH21" i="1"/>
  <c r="BI21" i="1"/>
  <c r="BJ21" i="1"/>
  <c r="BK21" i="1"/>
  <c r="BL21" i="1"/>
  <c r="BM21" i="1"/>
  <c r="BN21" i="1"/>
  <c r="BO21" i="1"/>
  <c r="BP21" i="1"/>
  <c r="BQ21" i="1"/>
  <c r="AQ22" i="1"/>
  <c r="AR22" i="1"/>
  <c r="AS22" i="1"/>
  <c r="AT22" i="1"/>
  <c r="AU22" i="1"/>
  <c r="AV22" i="1"/>
  <c r="AW22" i="1"/>
  <c r="AX22" i="1"/>
  <c r="AY22" i="1"/>
  <c r="AZ22" i="1"/>
  <c r="BA22" i="1"/>
  <c r="BB22" i="1"/>
  <c r="BC22" i="1"/>
  <c r="BD22" i="1"/>
  <c r="BE22" i="1"/>
  <c r="BF22" i="1"/>
  <c r="BG22" i="1"/>
  <c r="BH22" i="1"/>
  <c r="BI22" i="1"/>
  <c r="BJ22" i="1"/>
  <c r="BK22" i="1"/>
  <c r="BL22" i="1"/>
  <c r="BM22" i="1"/>
  <c r="BN22" i="1"/>
  <c r="BO22" i="1"/>
  <c r="BP22" i="1"/>
  <c r="BQ22" i="1"/>
  <c r="AQ23" i="1"/>
  <c r="AR23" i="1"/>
  <c r="AS23" i="1"/>
  <c r="AT23" i="1"/>
  <c r="AU23" i="1"/>
  <c r="AV23" i="1"/>
  <c r="AW23" i="1"/>
  <c r="AX23" i="1"/>
  <c r="AY23" i="1"/>
  <c r="AZ23" i="1"/>
  <c r="BA23" i="1"/>
  <c r="BB23" i="1"/>
  <c r="BC23" i="1"/>
  <c r="BD23" i="1"/>
  <c r="BE23" i="1"/>
  <c r="BF23" i="1"/>
  <c r="BG23" i="1"/>
  <c r="BH23" i="1"/>
  <c r="BI23" i="1"/>
  <c r="BJ23" i="1"/>
  <c r="BK23" i="1"/>
  <c r="BL23" i="1"/>
  <c r="BM23" i="1"/>
  <c r="BN23" i="1"/>
  <c r="BO23" i="1"/>
  <c r="BP23" i="1"/>
  <c r="BQ23" i="1"/>
  <c r="AQ24" i="1"/>
  <c r="AR24" i="1"/>
  <c r="AS24" i="1"/>
  <c r="AT24" i="1"/>
  <c r="AU24" i="1"/>
  <c r="AV24" i="1"/>
  <c r="AW24" i="1"/>
  <c r="AX24" i="1"/>
  <c r="AY24" i="1"/>
  <c r="AZ24" i="1"/>
  <c r="BA24" i="1"/>
  <c r="BB24" i="1"/>
  <c r="BC24" i="1"/>
  <c r="BD24" i="1"/>
  <c r="BE24" i="1"/>
  <c r="BF24" i="1"/>
  <c r="BG24" i="1"/>
  <c r="BH24" i="1"/>
  <c r="BI24" i="1"/>
  <c r="BJ24" i="1"/>
  <c r="BK24" i="1"/>
  <c r="BL24" i="1"/>
  <c r="BM24" i="1"/>
  <c r="BN24" i="1"/>
  <c r="BO24" i="1"/>
  <c r="BP24" i="1"/>
  <c r="BQ24" i="1"/>
  <c r="AQ25" i="1"/>
  <c r="AR25" i="1"/>
  <c r="AS25" i="1"/>
  <c r="AT25" i="1"/>
  <c r="AU25" i="1"/>
  <c r="AV25" i="1"/>
  <c r="AW25" i="1"/>
  <c r="AX25" i="1"/>
  <c r="AY25" i="1"/>
  <c r="AZ25" i="1"/>
  <c r="BA25" i="1"/>
  <c r="BB25" i="1"/>
  <c r="BC25" i="1"/>
  <c r="BD25" i="1"/>
  <c r="BE25" i="1"/>
  <c r="BF25" i="1"/>
  <c r="BG25" i="1"/>
  <c r="BH25" i="1"/>
  <c r="BI25" i="1"/>
  <c r="BJ25" i="1"/>
  <c r="BK25" i="1"/>
  <c r="BL25" i="1"/>
  <c r="BM25" i="1"/>
  <c r="BN25" i="1"/>
  <c r="BO25" i="1"/>
  <c r="BP25" i="1"/>
  <c r="BQ25" i="1"/>
  <c r="AQ26" i="1"/>
  <c r="AR26" i="1"/>
  <c r="AS26" i="1"/>
  <c r="AT26" i="1"/>
  <c r="AU26" i="1"/>
  <c r="AV26" i="1"/>
  <c r="AW26" i="1"/>
  <c r="AX26" i="1"/>
  <c r="AY26" i="1"/>
  <c r="AZ26" i="1"/>
  <c r="BA26" i="1"/>
  <c r="BB26" i="1"/>
  <c r="BC26" i="1"/>
  <c r="BD26" i="1"/>
  <c r="BE26" i="1"/>
  <c r="BF26" i="1"/>
  <c r="BG26" i="1"/>
  <c r="BH26" i="1"/>
  <c r="BI26" i="1"/>
  <c r="BJ26" i="1"/>
  <c r="BK26" i="1"/>
  <c r="BL26" i="1"/>
  <c r="BM26" i="1"/>
  <c r="BN26" i="1"/>
  <c r="BO26" i="1"/>
  <c r="BP26" i="1"/>
  <c r="BQ26" i="1"/>
  <c r="AQ27" i="1"/>
  <c r="AR27" i="1"/>
  <c r="AS27" i="1"/>
  <c r="AT27" i="1"/>
  <c r="AU27" i="1"/>
  <c r="AV27" i="1"/>
  <c r="AW27" i="1"/>
  <c r="AX27" i="1"/>
  <c r="AY27" i="1"/>
  <c r="AZ27" i="1"/>
  <c r="BA27" i="1"/>
  <c r="BB27" i="1"/>
  <c r="BC27" i="1"/>
  <c r="BD27" i="1"/>
  <c r="BE27" i="1"/>
  <c r="BF27" i="1"/>
  <c r="BG27" i="1"/>
  <c r="BH27" i="1"/>
  <c r="BI27" i="1"/>
  <c r="BJ27" i="1"/>
  <c r="BK27" i="1"/>
  <c r="BL27" i="1"/>
  <c r="BM27" i="1"/>
  <c r="BN27" i="1"/>
  <c r="BO27" i="1"/>
  <c r="BP27" i="1"/>
  <c r="BQ27" i="1"/>
  <c r="AQ28" i="1"/>
  <c r="AR28" i="1"/>
  <c r="AS28" i="1"/>
  <c r="AT28" i="1"/>
  <c r="AU28" i="1"/>
  <c r="AV28" i="1"/>
  <c r="AW28" i="1"/>
  <c r="AX28" i="1"/>
  <c r="AY28" i="1"/>
  <c r="AZ28" i="1"/>
  <c r="BA28" i="1"/>
  <c r="BB28" i="1"/>
  <c r="BC28" i="1"/>
  <c r="BD28" i="1"/>
  <c r="BE28" i="1"/>
  <c r="BF28" i="1"/>
  <c r="BG28" i="1"/>
  <c r="BH28" i="1"/>
  <c r="BI28" i="1"/>
  <c r="BJ28" i="1"/>
  <c r="BK28" i="1"/>
  <c r="BL28" i="1"/>
  <c r="BM28" i="1"/>
  <c r="BN28" i="1"/>
  <c r="BO28" i="1"/>
  <c r="BP28" i="1"/>
  <c r="BQ28" i="1"/>
  <c r="AQ29" i="1"/>
  <c r="AR29" i="1"/>
  <c r="AS29" i="1"/>
  <c r="AT29" i="1"/>
  <c r="AU29" i="1"/>
  <c r="AV29" i="1"/>
  <c r="AW29" i="1"/>
  <c r="AX29" i="1"/>
  <c r="AY29" i="1"/>
  <c r="AZ29" i="1"/>
  <c r="BA29" i="1"/>
  <c r="BB29" i="1"/>
  <c r="BC29" i="1"/>
  <c r="BD29" i="1"/>
  <c r="BE29" i="1"/>
  <c r="BF29" i="1"/>
  <c r="BG29" i="1"/>
  <c r="BH29" i="1"/>
  <c r="BI29" i="1"/>
  <c r="BJ29" i="1"/>
  <c r="BK29" i="1"/>
  <c r="BL29" i="1"/>
  <c r="BM29" i="1"/>
  <c r="BN29" i="1"/>
  <c r="BO29" i="1"/>
  <c r="BP29" i="1"/>
  <c r="BQ29" i="1"/>
  <c r="AQ30" i="1"/>
  <c r="AR30" i="1"/>
  <c r="AS30" i="1"/>
  <c r="AT30" i="1"/>
  <c r="AU30" i="1"/>
  <c r="AV30" i="1"/>
  <c r="AW30" i="1"/>
  <c r="AX30" i="1"/>
  <c r="AY30" i="1"/>
  <c r="AZ30" i="1"/>
  <c r="BA30" i="1"/>
  <c r="BB30" i="1"/>
  <c r="BC30" i="1"/>
  <c r="BD30" i="1"/>
  <c r="BE30" i="1"/>
  <c r="BF30" i="1"/>
  <c r="BG30" i="1"/>
  <c r="BH30" i="1"/>
  <c r="BI30" i="1"/>
  <c r="BJ30" i="1"/>
  <c r="BK30" i="1"/>
  <c r="BL30" i="1"/>
  <c r="BM30" i="1"/>
  <c r="BN30" i="1"/>
  <c r="BO30" i="1"/>
  <c r="BP30" i="1"/>
  <c r="BQ30" i="1"/>
  <c r="AQ31" i="1"/>
  <c r="AR31" i="1"/>
  <c r="AS31" i="1"/>
  <c r="AT31" i="1"/>
  <c r="AU31" i="1"/>
  <c r="AV31" i="1"/>
  <c r="AW31" i="1"/>
  <c r="AX31" i="1"/>
  <c r="AY31" i="1"/>
  <c r="AZ31" i="1"/>
  <c r="BA31" i="1"/>
  <c r="BB31" i="1"/>
  <c r="BC31" i="1"/>
  <c r="BD31" i="1"/>
  <c r="BE31" i="1"/>
  <c r="BF31" i="1"/>
  <c r="BG31" i="1"/>
  <c r="BH31" i="1"/>
  <c r="BI31" i="1"/>
  <c r="BJ31" i="1"/>
  <c r="BK31" i="1"/>
  <c r="BL31" i="1"/>
  <c r="BM31" i="1"/>
  <c r="BN31" i="1"/>
  <c r="BO31" i="1"/>
  <c r="BP31" i="1"/>
  <c r="BQ31" i="1"/>
  <c r="AQ32" i="1"/>
  <c r="AR32" i="1"/>
  <c r="AS32" i="1"/>
  <c r="AT32" i="1"/>
  <c r="AU32" i="1"/>
  <c r="AV32" i="1"/>
  <c r="AW32" i="1"/>
  <c r="AX32" i="1"/>
  <c r="AY32" i="1"/>
  <c r="AZ32" i="1"/>
  <c r="BA32" i="1"/>
  <c r="BB32" i="1"/>
  <c r="BC32" i="1"/>
  <c r="BD32" i="1"/>
  <c r="BE32" i="1"/>
  <c r="BF32" i="1"/>
  <c r="BG32" i="1"/>
  <c r="BH32" i="1"/>
  <c r="BI32" i="1"/>
  <c r="BJ32" i="1"/>
  <c r="BK32" i="1"/>
  <c r="BL32" i="1"/>
  <c r="BM32" i="1"/>
  <c r="BN32" i="1"/>
  <c r="BO32" i="1"/>
  <c r="BP32" i="1"/>
  <c r="BQ32" i="1"/>
  <c r="AQ33" i="1"/>
  <c r="AR33" i="1"/>
  <c r="AS33" i="1"/>
  <c r="AT33" i="1"/>
  <c r="AU33" i="1"/>
  <c r="AV33" i="1"/>
  <c r="AW33" i="1"/>
  <c r="AX33" i="1"/>
  <c r="AY33" i="1"/>
  <c r="AZ33" i="1"/>
  <c r="BA33" i="1"/>
  <c r="BB33" i="1"/>
  <c r="BC33" i="1"/>
  <c r="BD33" i="1"/>
  <c r="BE33" i="1"/>
  <c r="BF33" i="1"/>
  <c r="BG33" i="1"/>
  <c r="BH33" i="1"/>
  <c r="BI33" i="1"/>
  <c r="BJ33" i="1"/>
  <c r="BK33" i="1"/>
  <c r="BL33" i="1"/>
  <c r="BM33" i="1"/>
  <c r="BN33" i="1"/>
  <c r="BO33" i="1"/>
  <c r="BP33" i="1"/>
  <c r="BQ33" i="1"/>
  <c r="AQ34" i="1"/>
  <c r="AR34" i="1"/>
  <c r="AS34" i="1"/>
  <c r="AT34" i="1"/>
  <c r="AU34" i="1"/>
  <c r="AV34" i="1"/>
  <c r="AW34" i="1"/>
  <c r="AX34" i="1"/>
  <c r="AY34" i="1"/>
  <c r="AZ34" i="1"/>
  <c r="BA34" i="1"/>
  <c r="BB34" i="1"/>
  <c r="BC34" i="1"/>
  <c r="BD34" i="1"/>
  <c r="BE34" i="1"/>
  <c r="BF34" i="1"/>
  <c r="BG34" i="1"/>
  <c r="BH34" i="1"/>
  <c r="BI34" i="1"/>
  <c r="BJ34" i="1"/>
  <c r="BK34" i="1"/>
  <c r="BL34" i="1"/>
  <c r="BM34" i="1"/>
  <c r="BN34" i="1"/>
  <c r="BO34" i="1"/>
  <c r="BP34" i="1"/>
  <c r="BQ34" i="1"/>
  <c r="AQ35" i="1"/>
  <c r="AR35" i="1"/>
  <c r="AS35" i="1"/>
  <c r="AT35" i="1"/>
  <c r="AU35" i="1"/>
  <c r="AV35" i="1"/>
  <c r="AW35" i="1"/>
  <c r="AX35" i="1"/>
  <c r="AY35" i="1"/>
  <c r="AZ35" i="1"/>
  <c r="BA35" i="1"/>
  <c r="BB35" i="1"/>
  <c r="BC35" i="1"/>
  <c r="BD35" i="1"/>
  <c r="BE35" i="1"/>
  <c r="BF35" i="1"/>
  <c r="BG35" i="1"/>
  <c r="BH35" i="1"/>
  <c r="BI35" i="1"/>
  <c r="BJ35" i="1"/>
  <c r="BK35" i="1"/>
  <c r="BL35" i="1"/>
  <c r="BM35" i="1"/>
  <c r="BN35" i="1"/>
  <c r="BO35" i="1"/>
  <c r="BP35" i="1"/>
  <c r="BQ35" i="1"/>
  <c r="AQ36" i="1"/>
  <c r="AR36" i="1"/>
  <c r="AS36" i="1"/>
  <c r="AT36" i="1"/>
  <c r="AU36" i="1"/>
  <c r="AV36" i="1"/>
  <c r="AW36" i="1"/>
  <c r="AX36" i="1"/>
  <c r="AY36" i="1"/>
  <c r="AZ36" i="1"/>
  <c r="BA36" i="1"/>
  <c r="BB36" i="1"/>
  <c r="BC36" i="1"/>
  <c r="BD36" i="1"/>
  <c r="BE36" i="1"/>
  <c r="BF36" i="1"/>
  <c r="BG36" i="1"/>
  <c r="BH36" i="1"/>
  <c r="BI36" i="1"/>
  <c r="BJ36" i="1"/>
  <c r="BK36" i="1"/>
  <c r="BL36" i="1"/>
  <c r="BM36" i="1"/>
  <c r="BN36" i="1"/>
  <c r="BO36" i="1"/>
  <c r="BP36" i="1"/>
  <c r="BQ36" i="1"/>
  <c r="AQ37" i="1"/>
  <c r="AR37" i="1"/>
  <c r="AS37" i="1"/>
  <c r="AT37" i="1"/>
  <c r="AU37" i="1"/>
  <c r="AV37" i="1"/>
  <c r="AW37" i="1"/>
  <c r="AX37" i="1"/>
  <c r="AY37" i="1"/>
  <c r="AZ37" i="1"/>
  <c r="BA37" i="1"/>
  <c r="BB37" i="1"/>
  <c r="BC37" i="1"/>
  <c r="BD37" i="1"/>
  <c r="BE37" i="1"/>
  <c r="BF37" i="1"/>
  <c r="BG37" i="1"/>
  <c r="BH37" i="1"/>
  <c r="BI37" i="1"/>
  <c r="BJ37" i="1"/>
  <c r="BK37" i="1"/>
  <c r="BL37" i="1"/>
  <c r="BM37" i="1"/>
  <c r="BN37" i="1"/>
  <c r="BO37" i="1"/>
  <c r="BP37" i="1"/>
  <c r="BQ37" i="1"/>
  <c r="AQ38" i="1"/>
  <c r="AR38" i="1"/>
  <c r="AS38" i="1"/>
  <c r="AT38" i="1"/>
  <c r="AU38" i="1"/>
  <c r="AV38" i="1"/>
  <c r="AW38" i="1"/>
  <c r="AX38" i="1"/>
  <c r="AY38" i="1"/>
  <c r="AZ38" i="1"/>
  <c r="BA38" i="1"/>
  <c r="BB38" i="1"/>
  <c r="BC38" i="1"/>
  <c r="BD38" i="1"/>
  <c r="BE38" i="1"/>
  <c r="BF38" i="1"/>
  <c r="BG38" i="1"/>
  <c r="BH38" i="1"/>
  <c r="BI38" i="1"/>
  <c r="BJ38" i="1"/>
  <c r="BK38" i="1"/>
  <c r="BL38" i="1"/>
  <c r="BM38" i="1"/>
  <c r="BN38" i="1"/>
  <c r="BO38" i="1"/>
  <c r="BP38" i="1"/>
  <c r="BQ38" i="1"/>
  <c r="AQ39" i="1"/>
  <c r="AR39" i="1"/>
  <c r="AS39" i="1"/>
  <c r="AT39" i="1"/>
  <c r="AU39" i="1"/>
  <c r="AV39" i="1"/>
  <c r="AW39" i="1"/>
  <c r="AX39" i="1"/>
  <c r="AY39" i="1"/>
  <c r="AZ39" i="1"/>
  <c r="BA39" i="1"/>
  <c r="BB39" i="1"/>
  <c r="BC39" i="1"/>
  <c r="BD39" i="1"/>
  <c r="BE39" i="1"/>
  <c r="BF39" i="1"/>
  <c r="BG39" i="1"/>
  <c r="BH39" i="1"/>
  <c r="BI39" i="1"/>
  <c r="BJ39" i="1"/>
  <c r="BK39" i="1"/>
  <c r="BL39" i="1"/>
  <c r="BM39" i="1"/>
  <c r="BN39" i="1"/>
  <c r="BO39" i="1"/>
  <c r="BP39" i="1"/>
  <c r="BQ39" i="1"/>
  <c r="AQ40" i="1"/>
  <c r="AR40" i="1"/>
  <c r="AS40" i="1"/>
  <c r="AT40" i="1"/>
  <c r="AU40" i="1"/>
  <c r="AV40" i="1"/>
  <c r="AW40" i="1"/>
  <c r="AX40" i="1"/>
  <c r="AY40" i="1"/>
  <c r="AZ40" i="1"/>
  <c r="BA40" i="1"/>
  <c r="BB40" i="1"/>
  <c r="BC40" i="1"/>
  <c r="BD40" i="1"/>
  <c r="BE40" i="1"/>
  <c r="BF40" i="1"/>
  <c r="BG40" i="1"/>
  <c r="BH40" i="1"/>
  <c r="BI40" i="1"/>
  <c r="BJ40" i="1"/>
  <c r="BK40" i="1"/>
  <c r="BL40" i="1"/>
  <c r="BM40" i="1"/>
  <c r="BN40" i="1"/>
  <c r="BO40" i="1"/>
  <c r="BP40" i="1"/>
  <c r="BQ40" i="1"/>
  <c r="AQ41" i="1"/>
  <c r="AR41" i="1"/>
  <c r="AS41" i="1"/>
  <c r="AT41" i="1"/>
  <c r="AU41" i="1"/>
  <c r="AV41" i="1"/>
  <c r="AW41" i="1"/>
  <c r="AX41" i="1"/>
  <c r="AY41" i="1"/>
  <c r="AZ41" i="1"/>
  <c r="BA41" i="1"/>
  <c r="BB41" i="1"/>
  <c r="BC41" i="1"/>
  <c r="BD41" i="1"/>
  <c r="BE41" i="1"/>
  <c r="BF41" i="1"/>
  <c r="BG41" i="1"/>
  <c r="BH41" i="1"/>
  <c r="BI41" i="1"/>
  <c r="BJ41" i="1"/>
  <c r="BK41" i="1"/>
  <c r="BL41" i="1"/>
  <c r="BM41" i="1"/>
  <c r="BN41" i="1"/>
  <c r="BO41" i="1"/>
  <c r="BP41" i="1"/>
  <c r="BQ41" i="1"/>
  <c r="AQ42" i="1"/>
  <c r="AR42" i="1"/>
  <c r="AS42" i="1"/>
  <c r="AT42" i="1"/>
  <c r="AU42" i="1"/>
  <c r="AV42" i="1"/>
  <c r="AW42" i="1"/>
  <c r="AX42" i="1"/>
  <c r="AY42" i="1"/>
  <c r="AZ42" i="1"/>
  <c r="BA42" i="1"/>
  <c r="BB42" i="1"/>
  <c r="BC42" i="1"/>
  <c r="BD42" i="1"/>
  <c r="BE42" i="1"/>
  <c r="BF42" i="1"/>
  <c r="BG42" i="1"/>
  <c r="BH42" i="1"/>
  <c r="BI42" i="1"/>
  <c r="BJ42" i="1"/>
  <c r="BK42" i="1"/>
  <c r="BL42" i="1"/>
  <c r="BM42" i="1"/>
  <c r="BN42" i="1"/>
  <c r="BO42" i="1"/>
  <c r="BP42" i="1"/>
  <c r="BQ42" i="1"/>
  <c r="AQ43" i="1"/>
  <c r="AR43" i="1"/>
  <c r="AS43" i="1"/>
  <c r="AT43" i="1"/>
  <c r="AU43" i="1"/>
  <c r="AV43" i="1"/>
  <c r="AW43" i="1"/>
  <c r="AX43" i="1"/>
  <c r="AY43" i="1"/>
  <c r="AZ43" i="1"/>
  <c r="BA43" i="1"/>
  <c r="BB43" i="1"/>
  <c r="BC43" i="1"/>
  <c r="BD43" i="1"/>
  <c r="BE43" i="1"/>
  <c r="BF43" i="1"/>
  <c r="BG43" i="1"/>
  <c r="BH43" i="1"/>
  <c r="BI43" i="1"/>
  <c r="BJ43" i="1"/>
  <c r="BK43" i="1"/>
  <c r="BL43" i="1"/>
  <c r="BM43" i="1"/>
  <c r="BN43" i="1"/>
  <c r="BO43" i="1"/>
  <c r="BP43" i="1"/>
  <c r="BQ43" i="1"/>
  <c r="AQ44" i="1"/>
  <c r="AR44" i="1"/>
  <c r="AS44" i="1"/>
  <c r="AT44" i="1"/>
  <c r="AU44" i="1"/>
  <c r="AV44" i="1"/>
  <c r="AW44" i="1"/>
  <c r="AX44" i="1"/>
  <c r="AY44" i="1"/>
  <c r="AZ44" i="1"/>
  <c r="BA44" i="1"/>
  <c r="BB44" i="1"/>
  <c r="BC44" i="1"/>
  <c r="BD44" i="1"/>
  <c r="BE44" i="1"/>
  <c r="BF44" i="1"/>
  <c r="BG44" i="1"/>
  <c r="BH44" i="1"/>
  <c r="BI44" i="1"/>
  <c r="BJ44" i="1"/>
  <c r="BK44" i="1"/>
  <c r="BL44" i="1"/>
  <c r="BM44" i="1"/>
  <c r="BN44" i="1"/>
  <c r="BO44" i="1"/>
  <c r="BP44" i="1"/>
  <c r="BQ44" i="1"/>
  <c r="AQ45" i="1"/>
  <c r="AR45" i="1"/>
  <c r="AS45" i="1"/>
  <c r="AT45" i="1"/>
  <c r="AU45" i="1"/>
  <c r="AV45" i="1"/>
  <c r="AW45" i="1"/>
  <c r="AX45" i="1"/>
  <c r="AY45" i="1"/>
  <c r="AZ45" i="1"/>
  <c r="BA45" i="1"/>
  <c r="BB45" i="1"/>
  <c r="BC45" i="1"/>
  <c r="BD45" i="1"/>
  <c r="BE45" i="1"/>
  <c r="BF45" i="1"/>
  <c r="BG45" i="1"/>
  <c r="BH45" i="1"/>
  <c r="BI45" i="1"/>
  <c r="BJ45" i="1"/>
  <c r="BK45" i="1"/>
  <c r="BL45" i="1"/>
  <c r="BM45" i="1"/>
  <c r="BN45" i="1"/>
  <c r="BO45" i="1"/>
  <c r="BP45" i="1"/>
  <c r="BQ45" i="1"/>
  <c r="AQ46" i="1"/>
  <c r="AR46" i="1"/>
  <c r="AS46" i="1"/>
  <c r="AT46" i="1"/>
  <c r="AU46" i="1"/>
  <c r="AV46" i="1"/>
  <c r="AW46" i="1"/>
  <c r="AX46" i="1"/>
  <c r="AY46" i="1"/>
  <c r="AZ46" i="1"/>
  <c r="BA46" i="1"/>
  <c r="BB46" i="1"/>
  <c r="BC46" i="1"/>
  <c r="BD46" i="1"/>
  <c r="BE46" i="1"/>
  <c r="BF46" i="1"/>
  <c r="BG46" i="1"/>
  <c r="BH46" i="1"/>
  <c r="BI46" i="1"/>
  <c r="BJ46" i="1"/>
  <c r="BK46" i="1"/>
  <c r="BL46" i="1"/>
  <c r="BM46" i="1"/>
  <c r="BN46" i="1"/>
  <c r="BO46" i="1"/>
  <c r="BP46" i="1"/>
  <c r="BQ46" i="1"/>
  <c r="AQ47" i="1"/>
  <c r="AR47" i="1"/>
  <c r="AS47" i="1"/>
  <c r="AT47" i="1"/>
  <c r="AU47" i="1"/>
  <c r="AV47" i="1"/>
  <c r="AW47" i="1"/>
  <c r="AX47" i="1"/>
  <c r="AY47" i="1"/>
  <c r="AZ47" i="1"/>
  <c r="BA47" i="1"/>
  <c r="BB47" i="1"/>
  <c r="BC47" i="1"/>
  <c r="BD47" i="1"/>
  <c r="BE47" i="1"/>
  <c r="BF47" i="1"/>
  <c r="BG47" i="1"/>
  <c r="BH47" i="1"/>
  <c r="BI47" i="1"/>
  <c r="BJ47" i="1"/>
  <c r="BK47" i="1"/>
  <c r="BL47" i="1"/>
  <c r="BM47" i="1"/>
  <c r="BN47" i="1"/>
  <c r="BO47" i="1"/>
  <c r="BP47" i="1"/>
  <c r="BQ47" i="1"/>
  <c r="AQ48" i="1"/>
  <c r="AR48" i="1"/>
  <c r="AS48" i="1"/>
  <c r="AT48" i="1"/>
  <c r="AU48" i="1"/>
  <c r="AV48" i="1"/>
  <c r="AW48" i="1"/>
  <c r="AX48" i="1"/>
  <c r="AY48" i="1"/>
  <c r="AZ48" i="1"/>
  <c r="BA48" i="1"/>
  <c r="BB48" i="1"/>
  <c r="BC48" i="1"/>
  <c r="BD48" i="1"/>
  <c r="BE48" i="1"/>
  <c r="BF48" i="1"/>
  <c r="BG48" i="1"/>
  <c r="BH48" i="1"/>
  <c r="BI48" i="1"/>
  <c r="BJ48" i="1"/>
  <c r="BK48" i="1"/>
  <c r="BL48" i="1"/>
  <c r="BM48" i="1"/>
  <c r="BN48" i="1"/>
  <c r="BO48" i="1"/>
  <c r="BP48" i="1"/>
  <c r="BQ48" i="1"/>
  <c r="AQ49" i="1"/>
  <c r="AR49" i="1"/>
  <c r="AS49" i="1"/>
  <c r="AT49" i="1"/>
  <c r="AU49" i="1"/>
  <c r="AV49" i="1"/>
  <c r="AW49" i="1"/>
  <c r="AX49" i="1"/>
  <c r="AY49" i="1"/>
  <c r="AZ49" i="1"/>
  <c r="BA49" i="1"/>
  <c r="BB49" i="1"/>
  <c r="BC49" i="1"/>
  <c r="BD49" i="1"/>
  <c r="BE49" i="1"/>
  <c r="BF49" i="1"/>
  <c r="BG49" i="1"/>
  <c r="BH49" i="1"/>
  <c r="BI49" i="1"/>
  <c r="BJ49" i="1"/>
  <c r="BK49" i="1"/>
  <c r="BL49" i="1"/>
  <c r="BM49" i="1"/>
  <c r="BN49" i="1"/>
  <c r="BO49" i="1"/>
  <c r="BP49" i="1"/>
  <c r="BQ49" i="1"/>
  <c r="AQ50" i="1"/>
  <c r="AR50" i="1"/>
  <c r="AS50" i="1"/>
  <c r="AT50" i="1"/>
  <c r="AU50" i="1"/>
  <c r="AV50" i="1"/>
  <c r="AW50" i="1"/>
  <c r="AX50" i="1"/>
  <c r="AY50" i="1"/>
  <c r="AZ50" i="1"/>
  <c r="BA50" i="1"/>
  <c r="BB50" i="1"/>
  <c r="BC50" i="1"/>
  <c r="BD50" i="1"/>
  <c r="BE50" i="1"/>
  <c r="BF50" i="1"/>
  <c r="BG50" i="1"/>
  <c r="BH50" i="1"/>
  <c r="BI50" i="1"/>
  <c r="BJ50" i="1"/>
  <c r="BK50" i="1"/>
  <c r="BL50" i="1"/>
  <c r="BM50" i="1"/>
  <c r="BN50" i="1"/>
  <c r="BO50" i="1"/>
  <c r="BP50" i="1"/>
  <c r="BQ50" i="1"/>
  <c r="AQ51" i="1"/>
  <c r="AR51" i="1"/>
  <c r="AS51" i="1"/>
  <c r="AT51" i="1"/>
  <c r="AU51" i="1"/>
  <c r="AV51" i="1"/>
  <c r="AW51" i="1"/>
  <c r="AX51" i="1"/>
  <c r="AY51" i="1"/>
  <c r="AZ51" i="1"/>
  <c r="BA51" i="1"/>
  <c r="BB51" i="1"/>
  <c r="BC51" i="1"/>
  <c r="BD51" i="1"/>
  <c r="BE51" i="1"/>
  <c r="BF51" i="1"/>
  <c r="BG51" i="1"/>
  <c r="BH51" i="1"/>
  <c r="BI51" i="1"/>
  <c r="BJ51" i="1"/>
  <c r="BK51" i="1"/>
  <c r="BL51" i="1"/>
  <c r="BM51" i="1"/>
  <c r="BN51" i="1"/>
  <c r="BO51" i="1"/>
  <c r="BP51" i="1"/>
  <c r="BQ51" i="1"/>
  <c r="AQ52" i="1"/>
  <c r="AR52" i="1"/>
  <c r="AS52" i="1"/>
  <c r="AT52" i="1"/>
  <c r="AU52" i="1"/>
  <c r="AV52" i="1"/>
  <c r="AW52" i="1"/>
  <c r="AX52" i="1"/>
  <c r="AY52" i="1"/>
  <c r="AZ52" i="1"/>
  <c r="BA52" i="1"/>
  <c r="BB52" i="1"/>
  <c r="BC52" i="1"/>
  <c r="BD52" i="1"/>
  <c r="BE52" i="1"/>
  <c r="BF52" i="1"/>
  <c r="BG52" i="1"/>
  <c r="BH52" i="1"/>
  <c r="BI52" i="1"/>
  <c r="BJ52" i="1"/>
  <c r="BK52" i="1"/>
  <c r="BL52" i="1"/>
  <c r="BM52" i="1"/>
  <c r="BN52" i="1"/>
  <c r="BO52" i="1"/>
  <c r="BP52" i="1"/>
  <c r="BQ52" i="1"/>
  <c r="AQ53" i="1"/>
  <c r="AR53" i="1"/>
  <c r="AS53" i="1"/>
  <c r="AT53" i="1"/>
  <c r="AU53" i="1"/>
  <c r="AV53" i="1"/>
  <c r="AW53" i="1"/>
  <c r="AX53" i="1"/>
  <c r="AY53" i="1"/>
  <c r="AZ53" i="1"/>
  <c r="BA53" i="1"/>
  <c r="BB53" i="1"/>
  <c r="BC53" i="1"/>
  <c r="BD53" i="1"/>
  <c r="BE53" i="1"/>
  <c r="BF53" i="1"/>
  <c r="BG53" i="1"/>
  <c r="BH53" i="1"/>
  <c r="BI53" i="1"/>
  <c r="BJ53" i="1"/>
  <c r="BK53" i="1"/>
  <c r="BL53" i="1"/>
  <c r="BM53" i="1"/>
  <c r="BN53" i="1"/>
  <c r="BO53" i="1"/>
  <c r="BP53" i="1"/>
  <c r="BQ53" i="1"/>
  <c r="AQ54" i="1"/>
  <c r="AR54" i="1"/>
  <c r="AS54" i="1"/>
  <c r="AT54" i="1"/>
  <c r="AU54" i="1"/>
  <c r="AV54" i="1"/>
  <c r="AW54" i="1"/>
  <c r="AX54" i="1"/>
  <c r="AY54" i="1"/>
  <c r="AZ54" i="1"/>
  <c r="BA54" i="1"/>
  <c r="BB54" i="1"/>
  <c r="BC54" i="1"/>
  <c r="BD54" i="1"/>
  <c r="BE54" i="1"/>
  <c r="BF54" i="1"/>
  <c r="BG54" i="1"/>
  <c r="BH54" i="1"/>
  <c r="BI54" i="1"/>
  <c r="BJ54" i="1"/>
  <c r="BK54" i="1"/>
  <c r="BL54" i="1"/>
  <c r="BM54" i="1"/>
  <c r="BN54" i="1"/>
  <c r="BO54" i="1"/>
  <c r="BP54" i="1"/>
  <c r="BQ54" i="1"/>
  <c r="AQ55" i="1"/>
  <c r="AR55" i="1"/>
  <c r="AS55" i="1"/>
  <c r="AT55" i="1"/>
  <c r="AU55" i="1"/>
  <c r="AV55" i="1"/>
  <c r="AW55" i="1"/>
  <c r="AX55" i="1"/>
  <c r="AY55" i="1"/>
  <c r="AZ55" i="1"/>
  <c r="BA55" i="1"/>
  <c r="BB55" i="1"/>
  <c r="BC55" i="1"/>
  <c r="BD55" i="1"/>
  <c r="BE55" i="1"/>
  <c r="BF55" i="1"/>
  <c r="BG55" i="1"/>
  <c r="BH55" i="1"/>
  <c r="BI55" i="1"/>
  <c r="BJ55" i="1"/>
  <c r="BK55" i="1"/>
  <c r="BL55" i="1"/>
  <c r="BM55" i="1"/>
  <c r="BN55" i="1"/>
  <c r="BO55" i="1"/>
  <c r="BP55" i="1"/>
  <c r="BQ55" i="1"/>
  <c r="AQ56" i="1"/>
  <c r="AR56" i="1"/>
  <c r="AS56" i="1"/>
  <c r="AT56" i="1"/>
  <c r="AU56" i="1"/>
  <c r="AV56" i="1"/>
  <c r="AW56" i="1"/>
  <c r="AX56" i="1"/>
  <c r="AY56" i="1"/>
  <c r="AZ56" i="1"/>
  <c r="BA56" i="1"/>
  <c r="BB56" i="1"/>
  <c r="BC56" i="1"/>
  <c r="BD56" i="1"/>
  <c r="BE56" i="1"/>
  <c r="BF56" i="1"/>
  <c r="BG56" i="1"/>
  <c r="BH56" i="1"/>
  <c r="BI56" i="1"/>
  <c r="BJ56" i="1"/>
  <c r="BK56" i="1"/>
  <c r="BL56" i="1"/>
  <c r="BM56" i="1"/>
  <c r="BN56" i="1"/>
  <c r="BO56" i="1"/>
  <c r="BP56" i="1"/>
  <c r="BQ56" i="1"/>
  <c r="AQ57" i="1"/>
  <c r="AR57" i="1"/>
  <c r="AS57" i="1"/>
  <c r="AT57" i="1"/>
  <c r="AU57" i="1"/>
  <c r="AV57" i="1"/>
  <c r="AW57" i="1"/>
  <c r="AX57" i="1"/>
  <c r="AY57" i="1"/>
  <c r="AZ57" i="1"/>
  <c r="BA57" i="1"/>
  <c r="BB57" i="1"/>
  <c r="BC57" i="1"/>
  <c r="BD57" i="1"/>
  <c r="BE57" i="1"/>
  <c r="BF57" i="1"/>
  <c r="BG57" i="1"/>
  <c r="BH57" i="1"/>
  <c r="BI57" i="1"/>
  <c r="BJ57" i="1"/>
  <c r="BK57" i="1"/>
  <c r="BL57" i="1"/>
  <c r="BM57" i="1"/>
  <c r="BN57" i="1"/>
  <c r="BO57" i="1"/>
  <c r="BP57" i="1"/>
  <c r="BQ57" i="1"/>
  <c r="AQ58" i="1"/>
  <c r="AR58" i="1"/>
  <c r="AS58" i="1"/>
  <c r="AT58" i="1"/>
  <c r="AU58" i="1"/>
  <c r="AV58" i="1"/>
  <c r="AW58" i="1"/>
  <c r="AX58" i="1"/>
  <c r="AY58" i="1"/>
  <c r="AZ58" i="1"/>
  <c r="BA58" i="1"/>
  <c r="BB58" i="1"/>
  <c r="BC58" i="1"/>
  <c r="BD58" i="1"/>
  <c r="BE58" i="1"/>
  <c r="BF58" i="1"/>
  <c r="BG58" i="1"/>
  <c r="BH58" i="1"/>
  <c r="BI58" i="1"/>
  <c r="BJ58" i="1"/>
  <c r="BK58" i="1"/>
  <c r="BL58" i="1"/>
  <c r="BM58" i="1"/>
  <c r="BN58" i="1"/>
  <c r="BO58" i="1"/>
  <c r="BP58" i="1"/>
  <c r="BQ58" i="1"/>
  <c r="AQ59" i="1"/>
  <c r="AR59" i="1"/>
  <c r="AS59" i="1"/>
  <c r="AT59" i="1"/>
  <c r="AU59" i="1"/>
  <c r="AV59" i="1"/>
  <c r="AW59" i="1"/>
  <c r="AX59" i="1"/>
  <c r="AY59" i="1"/>
  <c r="AZ59" i="1"/>
  <c r="BA59" i="1"/>
  <c r="BB59" i="1"/>
  <c r="BC59" i="1"/>
  <c r="BD59" i="1"/>
  <c r="BE59" i="1"/>
  <c r="BF59" i="1"/>
  <c r="BG59" i="1"/>
  <c r="BH59" i="1"/>
  <c r="BI59" i="1"/>
  <c r="BJ59" i="1"/>
  <c r="BK59" i="1"/>
  <c r="BL59" i="1"/>
  <c r="BM59" i="1"/>
  <c r="BN59" i="1"/>
  <c r="BO59" i="1"/>
  <c r="BP59" i="1"/>
  <c r="BQ59" i="1"/>
  <c r="AQ60" i="1"/>
  <c r="AR60" i="1"/>
  <c r="AS60" i="1"/>
  <c r="AT60" i="1"/>
  <c r="Q6" i="2" s="1"/>
  <c r="AU60" i="1"/>
  <c r="AV60" i="1"/>
  <c r="AW60" i="1"/>
  <c r="AX60" i="1"/>
  <c r="AY60" i="1"/>
  <c r="AZ60" i="1"/>
  <c r="Q12" i="2" s="1"/>
  <c r="BA60" i="1"/>
  <c r="BB60" i="1"/>
  <c r="BC60" i="1"/>
  <c r="BD60" i="1"/>
  <c r="BE60" i="1"/>
  <c r="BF60" i="1"/>
  <c r="BG60" i="1"/>
  <c r="BH60" i="1"/>
  <c r="BI60" i="1"/>
  <c r="BJ60" i="1"/>
  <c r="BK60" i="1"/>
  <c r="BL60" i="1"/>
  <c r="BM60" i="1"/>
  <c r="BN60" i="1"/>
  <c r="BO60" i="1"/>
  <c r="BP60" i="1"/>
  <c r="BQ60" i="1"/>
  <c r="AQ61" i="1"/>
  <c r="AR61" i="1"/>
  <c r="AS61" i="1"/>
  <c r="AT61" i="1"/>
  <c r="AU61" i="1"/>
  <c r="AV61" i="1"/>
  <c r="AW61" i="1"/>
  <c r="AX61" i="1"/>
  <c r="AY61" i="1"/>
  <c r="AZ61" i="1"/>
  <c r="BA61" i="1"/>
  <c r="BB61" i="1"/>
  <c r="BC61" i="1"/>
  <c r="BD61" i="1"/>
  <c r="BE61" i="1"/>
  <c r="BF61" i="1"/>
  <c r="BG61" i="1"/>
  <c r="BH61" i="1"/>
  <c r="BI61" i="1"/>
  <c r="BJ61" i="1"/>
  <c r="BK61" i="1"/>
  <c r="BL61" i="1"/>
  <c r="BM61" i="1"/>
  <c r="BN61" i="1"/>
  <c r="BO61" i="1"/>
  <c r="BP61" i="1"/>
  <c r="BQ61" i="1"/>
  <c r="AQ62" i="1"/>
  <c r="AR62" i="1"/>
  <c r="AS62" i="1"/>
  <c r="AT62" i="1"/>
  <c r="AU62" i="1"/>
  <c r="AV62" i="1"/>
  <c r="AW62" i="1"/>
  <c r="AX62" i="1"/>
  <c r="AY62" i="1"/>
  <c r="AZ62" i="1"/>
  <c r="BA62" i="1"/>
  <c r="BB62" i="1"/>
  <c r="BC62" i="1"/>
  <c r="BD62" i="1"/>
  <c r="BE62" i="1"/>
  <c r="BF62" i="1"/>
  <c r="Q18" i="2" s="1"/>
  <c r="BG62" i="1"/>
  <c r="BH62" i="1"/>
  <c r="BI62" i="1"/>
  <c r="BJ62" i="1"/>
  <c r="BK62" i="1"/>
  <c r="BL62" i="1"/>
  <c r="Q24" i="2" s="1"/>
  <c r="BM62" i="1"/>
  <c r="BN62" i="1"/>
  <c r="BO62" i="1"/>
  <c r="BP62" i="1"/>
  <c r="BQ62" i="1"/>
  <c r="AQ63" i="1"/>
  <c r="AR63" i="1"/>
  <c r="AS63" i="1"/>
  <c r="AT63" i="1"/>
  <c r="AU63" i="1"/>
  <c r="AV63" i="1"/>
  <c r="AW63" i="1"/>
  <c r="AX63" i="1"/>
  <c r="AY63" i="1"/>
  <c r="AZ63" i="1"/>
  <c r="BA63" i="1"/>
  <c r="BB63" i="1"/>
  <c r="BC63" i="1"/>
  <c r="BD63" i="1"/>
  <c r="BE63" i="1"/>
  <c r="BF63" i="1"/>
  <c r="BG63" i="1"/>
  <c r="BH63" i="1"/>
  <c r="BI63" i="1"/>
  <c r="BJ63" i="1"/>
  <c r="BK63" i="1"/>
  <c r="BL63" i="1"/>
  <c r="BM63" i="1"/>
  <c r="BN63" i="1"/>
  <c r="BO63" i="1"/>
  <c r="BP63" i="1"/>
  <c r="BQ63" i="1"/>
  <c r="AQ64" i="1"/>
  <c r="AR64" i="1"/>
  <c r="AS64" i="1"/>
  <c r="AT64" i="1"/>
  <c r="AU64" i="1"/>
  <c r="Q7" i="2" s="1"/>
  <c r="AV64" i="1"/>
  <c r="AW64" i="1"/>
  <c r="AX64" i="1"/>
  <c r="AY64" i="1"/>
  <c r="AZ64" i="1"/>
  <c r="BA64" i="1"/>
  <c r="BB64" i="1"/>
  <c r="BC64" i="1"/>
  <c r="BD64" i="1"/>
  <c r="BE64" i="1"/>
  <c r="BF64" i="1"/>
  <c r="BG64" i="1"/>
  <c r="BH64" i="1"/>
  <c r="BI64" i="1"/>
  <c r="BJ64" i="1"/>
  <c r="BK64" i="1"/>
  <c r="BL64" i="1"/>
  <c r="BM64" i="1"/>
  <c r="BN64" i="1"/>
  <c r="BO64" i="1"/>
  <c r="BP64" i="1"/>
  <c r="BQ64" i="1"/>
  <c r="AQ65" i="1"/>
  <c r="AR65" i="1"/>
  <c r="AS65" i="1"/>
  <c r="AT65" i="1"/>
  <c r="AU65" i="1"/>
  <c r="AV65" i="1"/>
  <c r="AW65" i="1"/>
  <c r="AX65" i="1"/>
  <c r="AY65" i="1"/>
  <c r="AZ65" i="1"/>
  <c r="BA65" i="1"/>
  <c r="BB65" i="1"/>
  <c r="BC65" i="1"/>
  <c r="BD65" i="1"/>
  <c r="BE65" i="1"/>
  <c r="BF65" i="1"/>
  <c r="BG65" i="1"/>
  <c r="BH65" i="1"/>
  <c r="BI65" i="1"/>
  <c r="BJ65" i="1"/>
  <c r="BK65" i="1"/>
  <c r="BL65" i="1"/>
  <c r="BM65" i="1"/>
  <c r="BN65" i="1"/>
  <c r="BO65" i="1"/>
  <c r="BP65" i="1"/>
  <c r="BQ65" i="1"/>
  <c r="AQ66" i="1"/>
  <c r="AR66" i="1"/>
  <c r="AS66" i="1"/>
  <c r="AT66" i="1"/>
  <c r="AU66" i="1"/>
  <c r="AV66" i="1"/>
  <c r="AW66" i="1"/>
  <c r="AX66" i="1"/>
  <c r="AY66" i="1"/>
  <c r="AZ66" i="1"/>
  <c r="BA66" i="1"/>
  <c r="Q13" i="2" s="1"/>
  <c r="BB66" i="1"/>
  <c r="BC66" i="1"/>
  <c r="BD66" i="1"/>
  <c r="BE66" i="1"/>
  <c r="BF66" i="1"/>
  <c r="BG66" i="1"/>
  <c r="Q19" i="2" s="1"/>
  <c r="BH66" i="1"/>
  <c r="BI66" i="1"/>
  <c r="BJ66" i="1"/>
  <c r="BK66" i="1"/>
  <c r="BL66" i="1"/>
  <c r="BM66" i="1"/>
  <c r="Q25" i="2" s="1"/>
  <c r="BN66" i="1"/>
  <c r="BO66" i="1"/>
  <c r="BP66" i="1"/>
  <c r="BQ66" i="1"/>
  <c r="AQ67" i="1"/>
  <c r="AR67" i="1"/>
  <c r="AS67" i="1"/>
  <c r="AT67" i="1"/>
  <c r="AU67" i="1"/>
  <c r="AV67" i="1"/>
  <c r="AW67" i="1"/>
  <c r="AX67" i="1"/>
  <c r="AY67" i="1"/>
  <c r="AZ67" i="1"/>
  <c r="BA67" i="1"/>
  <c r="BB67" i="1"/>
  <c r="BC67" i="1"/>
  <c r="BD67" i="1"/>
  <c r="BE67" i="1"/>
  <c r="BF67" i="1"/>
  <c r="BG67" i="1"/>
  <c r="BH67" i="1"/>
  <c r="BI67" i="1"/>
  <c r="BJ67" i="1"/>
  <c r="BK67" i="1"/>
  <c r="BL67" i="1"/>
  <c r="BM67" i="1"/>
  <c r="BN67" i="1"/>
  <c r="BO67" i="1"/>
  <c r="BP67" i="1"/>
  <c r="BQ67" i="1"/>
  <c r="AQ68" i="1"/>
  <c r="AR68" i="1"/>
  <c r="AS68" i="1"/>
  <c r="AT68" i="1"/>
  <c r="AU68" i="1"/>
  <c r="AV68" i="1"/>
  <c r="AW68" i="1"/>
  <c r="AX68" i="1"/>
  <c r="AY68" i="1"/>
  <c r="AZ68" i="1"/>
  <c r="BA68" i="1"/>
  <c r="BB68" i="1"/>
  <c r="BC68" i="1"/>
  <c r="BD68" i="1"/>
  <c r="BE68" i="1"/>
  <c r="BF68" i="1"/>
  <c r="BG68" i="1"/>
  <c r="BH68" i="1"/>
  <c r="BI68" i="1"/>
  <c r="BJ68" i="1"/>
  <c r="BK68" i="1"/>
  <c r="BL68" i="1"/>
  <c r="BM68" i="1"/>
  <c r="BN68" i="1"/>
  <c r="BO68" i="1"/>
  <c r="BP68" i="1"/>
  <c r="BQ68" i="1"/>
  <c r="AQ69" i="1"/>
  <c r="AR69" i="1"/>
  <c r="AS69" i="1"/>
  <c r="AT69" i="1"/>
  <c r="AU69" i="1"/>
  <c r="AV69" i="1"/>
  <c r="AW69" i="1"/>
  <c r="AX69" i="1"/>
  <c r="AY69" i="1"/>
  <c r="AZ69" i="1"/>
  <c r="BA69" i="1"/>
  <c r="BB69" i="1"/>
  <c r="BC69" i="1"/>
  <c r="BD69" i="1"/>
  <c r="BE69" i="1"/>
  <c r="BF69" i="1"/>
  <c r="BG69" i="1"/>
  <c r="BH69" i="1"/>
  <c r="BI69" i="1"/>
  <c r="BJ69" i="1"/>
  <c r="BK69" i="1"/>
  <c r="BL69" i="1"/>
  <c r="BM69" i="1"/>
  <c r="BN69" i="1"/>
  <c r="BO69" i="1"/>
  <c r="BP69" i="1"/>
  <c r="BQ69" i="1"/>
  <c r="AQ70" i="1"/>
  <c r="AR70" i="1"/>
  <c r="AS70" i="1"/>
  <c r="AT70" i="1"/>
  <c r="AU70" i="1"/>
  <c r="AV70" i="1"/>
  <c r="AW70" i="1"/>
  <c r="AX70" i="1"/>
  <c r="AY70" i="1"/>
  <c r="AZ70" i="1"/>
  <c r="BA70" i="1"/>
  <c r="BB70" i="1"/>
  <c r="BC70" i="1"/>
  <c r="BD70" i="1"/>
  <c r="BE70" i="1"/>
  <c r="BF70" i="1"/>
  <c r="BG70" i="1"/>
  <c r="BH70" i="1"/>
  <c r="BI70" i="1"/>
  <c r="BJ70" i="1"/>
  <c r="BK70" i="1"/>
  <c r="BL70" i="1"/>
  <c r="BM70" i="1"/>
  <c r="BN70" i="1"/>
  <c r="BO70" i="1"/>
  <c r="BP70" i="1"/>
  <c r="BQ70" i="1"/>
  <c r="AQ71" i="1"/>
  <c r="AR71" i="1"/>
  <c r="AS71" i="1"/>
  <c r="AT71" i="1"/>
  <c r="AU71" i="1"/>
  <c r="AV71" i="1"/>
  <c r="AW71" i="1"/>
  <c r="AX71" i="1"/>
  <c r="AY71" i="1"/>
  <c r="AZ71" i="1"/>
  <c r="BA71" i="1"/>
  <c r="BB71" i="1"/>
  <c r="BC71" i="1"/>
  <c r="BD71" i="1"/>
  <c r="BE71" i="1"/>
  <c r="BF71" i="1"/>
  <c r="BG71" i="1"/>
  <c r="BH71" i="1"/>
  <c r="BI71" i="1"/>
  <c r="BJ71" i="1"/>
  <c r="BK71" i="1"/>
  <c r="BL71" i="1"/>
  <c r="BM71" i="1"/>
  <c r="BN71" i="1"/>
  <c r="BO71" i="1"/>
  <c r="BP71" i="1"/>
  <c r="BQ71" i="1"/>
  <c r="AQ72" i="1"/>
  <c r="AR72" i="1"/>
  <c r="AS72" i="1"/>
  <c r="AT72" i="1"/>
  <c r="AU72" i="1"/>
  <c r="AV72" i="1"/>
  <c r="AW72" i="1"/>
  <c r="AX72" i="1"/>
  <c r="AY72" i="1"/>
  <c r="AZ72" i="1"/>
  <c r="BA72" i="1"/>
  <c r="BB72" i="1"/>
  <c r="BC72" i="1"/>
  <c r="BD72" i="1"/>
  <c r="BE72" i="1"/>
  <c r="BF72" i="1"/>
  <c r="BG72" i="1"/>
  <c r="BH72" i="1"/>
  <c r="BI72" i="1"/>
  <c r="BJ72" i="1"/>
  <c r="BK72" i="1"/>
  <c r="BL72" i="1"/>
  <c r="BM72" i="1"/>
  <c r="BN72" i="1"/>
  <c r="BO72" i="1"/>
  <c r="BP72" i="1"/>
  <c r="BQ72" i="1"/>
  <c r="AQ73" i="1"/>
  <c r="AR73" i="1"/>
  <c r="AS73" i="1"/>
  <c r="AT73" i="1"/>
  <c r="AU73" i="1"/>
  <c r="AV73" i="1"/>
  <c r="AW73" i="1"/>
  <c r="AX73" i="1"/>
  <c r="AY73" i="1"/>
  <c r="AZ73" i="1"/>
  <c r="BA73" i="1"/>
  <c r="BB73" i="1"/>
  <c r="BC73" i="1"/>
  <c r="BD73" i="1"/>
  <c r="BE73" i="1"/>
  <c r="BF73" i="1"/>
  <c r="BG73" i="1"/>
  <c r="BH73" i="1"/>
  <c r="BI73" i="1"/>
  <c r="BJ73" i="1"/>
  <c r="BK73" i="1"/>
  <c r="BL73" i="1"/>
  <c r="BM73" i="1"/>
  <c r="BN73" i="1"/>
  <c r="BO73" i="1"/>
  <c r="BP73" i="1"/>
  <c r="BQ73" i="1"/>
  <c r="AQ74" i="1"/>
  <c r="AR74" i="1"/>
  <c r="AS74" i="1"/>
  <c r="AT74" i="1"/>
  <c r="AU74" i="1"/>
  <c r="AV74" i="1"/>
  <c r="AW74" i="1"/>
  <c r="AX74" i="1"/>
  <c r="AY74" i="1"/>
  <c r="AZ74" i="1"/>
  <c r="BA74" i="1"/>
  <c r="BB74" i="1"/>
  <c r="BC74" i="1"/>
  <c r="BD74" i="1"/>
  <c r="BE74" i="1"/>
  <c r="BF74" i="1"/>
  <c r="BG74" i="1"/>
  <c r="BH74" i="1"/>
  <c r="BI74" i="1"/>
  <c r="BJ74" i="1"/>
  <c r="BK74" i="1"/>
  <c r="BL74" i="1"/>
  <c r="BM74" i="1"/>
  <c r="BN74" i="1"/>
  <c r="BO74" i="1"/>
  <c r="BP74" i="1"/>
  <c r="BQ74" i="1"/>
  <c r="AQ75" i="1"/>
  <c r="AR75" i="1"/>
  <c r="AS75" i="1"/>
  <c r="AT75" i="1"/>
  <c r="AU75" i="1"/>
  <c r="AV75" i="1"/>
  <c r="AW75" i="1"/>
  <c r="AX75" i="1"/>
  <c r="AY75" i="1"/>
  <c r="AZ75" i="1"/>
  <c r="BA75" i="1"/>
  <c r="BB75" i="1"/>
  <c r="BC75" i="1"/>
  <c r="BD75" i="1"/>
  <c r="BE75" i="1"/>
  <c r="BF75" i="1"/>
  <c r="BG75" i="1"/>
  <c r="BH75" i="1"/>
  <c r="BI75" i="1"/>
  <c r="BJ75" i="1"/>
  <c r="BK75" i="1"/>
  <c r="BL75" i="1"/>
  <c r="BM75" i="1"/>
  <c r="BN75" i="1"/>
  <c r="BO75" i="1"/>
  <c r="BP75" i="1"/>
  <c r="BQ75" i="1"/>
  <c r="AQ76" i="1"/>
  <c r="AR76" i="1"/>
  <c r="AS76" i="1"/>
  <c r="AT76" i="1"/>
  <c r="AU76" i="1"/>
  <c r="AV76" i="1"/>
  <c r="AW76" i="1"/>
  <c r="AX76" i="1"/>
  <c r="AY76" i="1"/>
  <c r="AZ76" i="1"/>
  <c r="BA76" i="1"/>
  <c r="BB76" i="1"/>
  <c r="BC76" i="1"/>
  <c r="BD76" i="1"/>
  <c r="BE76" i="1"/>
  <c r="BF76" i="1"/>
  <c r="BG76" i="1"/>
  <c r="BH76" i="1"/>
  <c r="BI76" i="1"/>
  <c r="BJ76" i="1"/>
  <c r="BK76" i="1"/>
  <c r="BL76" i="1"/>
  <c r="BM76" i="1"/>
  <c r="BN76" i="1"/>
  <c r="BO76" i="1"/>
  <c r="BP76" i="1"/>
  <c r="BQ76" i="1"/>
  <c r="AQ77" i="1"/>
  <c r="AR77" i="1"/>
  <c r="AS77" i="1"/>
  <c r="AT77" i="1"/>
  <c r="AU77" i="1"/>
  <c r="AV77" i="1"/>
  <c r="AW77" i="1"/>
  <c r="AX77" i="1"/>
  <c r="AY77" i="1"/>
  <c r="AZ77" i="1"/>
  <c r="BA77" i="1"/>
  <c r="BB77" i="1"/>
  <c r="BC77" i="1"/>
  <c r="BD77" i="1"/>
  <c r="BE77" i="1"/>
  <c r="BF77" i="1"/>
  <c r="BG77" i="1"/>
  <c r="BH77" i="1"/>
  <c r="BI77" i="1"/>
  <c r="BJ77" i="1"/>
  <c r="BK77" i="1"/>
  <c r="BL77" i="1"/>
  <c r="BM77" i="1"/>
  <c r="BN77" i="1"/>
  <c r="BO77" i="1"/>
  <c r="BP77" i="1"/>
  <c r="BQ77" i="1"/>
  <c r="AQ78" i="1"/>
  <c r="AR78" i="1"/>
  <c r="AS78" i="1"/>
  <c r="AT78" i="1"/>
  <c r="AU78" i="1"/>
  <c r="AV78" i="1"/>
  <c r="AW78" i="1"/>
  <c r="AX78" i="1"/>
  <c r="AY78" i="1"/>
  <c r="AZ78" i="1"/>
  <c r="BA78" i="1"/>
  <c r="BB78" i="1"/>
  <c r="BC78" i="1"/>
  <c r="BD78" i="1"/>
  <c r="BE78" i="1"/>
  <c r="BF78" i="1"/>
  <c r="BG78" i="1"/>
  <c r="BH78" i="1"/>
  <c r="BI78" i="1"/>
  <c r="BJ78" i="1"/>
  <c r="BK78" i="1"/>
  <c r="BL78" i="1"/>
  <c r="BM78" i="1"/>
  <c r="BN78" i="1"/>
  <c r="BO78" i="1"/>
  <c r="BP78" i="1"/>
  <c r="BQ78" i="1"/>
  <c r="AQ79" i="1"/>
  <c r="AR79" i="1"/>
  <c r="AS79" i="1"/>
  <c r="AT79" i="1"/>
  <c r="AU79" i="1"/>
  <c r="AV79" i="1"/>
  <c r="AW79" i="1"/>
  <c r="AX79" i="1"/>
  <c r="AY79" i="1"/>
  <c r="AZ79" i="1"/>
  <c r="BA79" i="1"/>
  <c r="BB79" i="1"/>
  <c r="BC79" i="1"/>
  <c r="BD79" i="1"/>
  <c r="BE79" i="1"/>
  <c r="BF79" i="1"/>
  <c r="BG79" i="1"/>
  <c r="BH79" i="1"/>
  <c r="BI79" i="1"/>
  <c r="BJ79" i="1"/>
  <c r="BK79" i="1"/>
  <c r="BL79" i="1"/>
  <c r="BM79" i="1"/>
  <c r="BN79" i="1"/>
  <c r="BO79" i="1"/>
  <c r="BP79" i="1"/>
  <c r="BQ79" i="1"/>
  <c r="AQ80" i="1"/>
  <c r="AR80" i="1"/>
  <c r="AS80" i="1"/>
  <c r="AT80" i="1"/>
  <c r="AU80" i="1"/>
  <c r="AV80" i="1"/>
  <c r="AW80" i="1"/>
  <c r="AX80" i="1"/>
  <c r="AY80" i="1"/>
  <c r="AZ80" i="1"/>
  <c r="BA80" i="1"/>
  <c r="BB80" i="1"/>
  <c r="BC80" i="1"/>
  <c r="BD80" i="1"/>
  <c r="BE80" i="1"/>
  <c r="BF80" i="1"/>
  <c r="BG80" i="1"/>
  <c r="BH80" i="1"/>
  <c r="BI80" i="1"/>
  <c r="BJ80" i="1"/>
  <c r="BK80" i="1"/>
  <c r="BL80" i="1"/>
  <c r="BM80" i="1"/>
  <c r="BN80" i="1"/>
  <c r="BO80" i="1"/>
  <c r="BP80" i="1"/>
  <c r="BQ80" i="1"/>
  <c r="AQ81" i="1"/>
  <c r="AR81" i="1"/>
  <c r="AS81" i="1"/>
  <c r="AT81" i="1"/>
  <c r="AU81" i="1"/>
  <c r="AV81" i="1"/>
  <c r="AW81" i="1"/>
  <c r="AX81" i="1"/>
  <c r="AY81" i="1"/>
  <c r="AZ81" i="1"/>
  <c r="BA81" i="1"/>
  <c r="BB81" i="1"/>
  <c r="BC81" i="1"/>
  <c r="BD81" i="1"/>
  <c r="BE81" i="1"/>
  <c r="BF81" i="1"/>
  <c r="BG81" i="1"/>
  <c r="BH81" i="1"/>
  <c r="BI81" i="1"/>
  <c r="BJ81" i="1"/>
  <c r="BK81" i="1"/>
  <c r="BL81" i="1"/>
  <c r="BM81" i="1"/>
  <c r="BN81" i="1"/>
  <c r="BO81" i="1"/>
  <c r="BP81" i="1"/>
  <c r="BQ81" i="1"/>
  <c r="AQ82" i="1"/>
  <c r="AR82" i="1"/>
  <c r="AS82" i="1"/>
  <c r="AT82" i="1"/>
  <c r="AU82" i="1"/>
  <c r="AV82" i="1"/>
  <c r="AW82" i="1"/>
  <c r="AX82" i="1"/>
  <c r="AY82" i="1"/>
  <c r="AZ82" i="1"/>
  <c r="BA82" i="1"/>
  <c r="BB82" i="1"/>
  <c r="BC82" i="1"/>
  <c r="BD82" i="1"/>
  <c r="BE82" i="1"/>
  <c r="BF82" i="1"/>
  <c r="BG82" i="1"/>
  <c r="BH82" i="1"/>
  <c r="BI82" i="1"/>
  <c r="BJ82" i="1"/>
  <c r="BK82" i="1"/>
  <c r="BL82" i="1"/>
  <c r="BM82" i="1"/>
  <c r="BN82" i="1"/>
  <c r="BO82" i="1"/>
  <c r="BP82" i="1"/>
  <c r="BQ82" i="1"/>
  <c r="AQ83" i="1"/>
  <c r="AR83" i="1"/>
  <c r="AS83" i="1"/>
  <c r="AT83" i="1"/>
  <c r="AU83" i="1"/>
  <c r="AV83" i="1"/>
  <c r="AW83" i="1"/>
  <c r="AX83" i="1"/>
  <c r="AY83" i="1"/>
  <c r="AZ83" i="1"/>
  <c r="BA83" i="1"/>
  <c r="BB83" i="1"/>
  <c r="BC83" i="1"/>
  <c r="BD83" i="1"/>
  <c r="BE83" i="1"/>
  <c r="BF83" i="1"/>
  <c r="BG83" i="1"/>
  <c r="BH83" i="1"/>
  <c r="BI83" i="1"/>
  <c r="BJ83" i="1"/>
  <c r="BK83" i="1"/>
  <c r="BL83" i="1"/>
  <c r="BM83" i="1"/>
  <c r="BN83" i="1"/>
  <c r="BO83" i="1"/>
  <c r="BP83" i="1"/>
  <c r="BQ83" i="1"/>
  <c r="AQ84" i="1"/>
  <c r="AR84" i="1"/>
  <c r="AS84" i="1"/>
  <c r="AT84" i="1"/>
  <c r="AU84" i="1"/>
  <c r="AV84" i="1"/>
  <c r="AW84" i="1"/>
  <c r="AX84" i="1"/>
  <c r="AY84" i="1"/>
  <c r="AZ84" i="1"/>
  <c r="BA84" i="1"/>
  <c r="BB84" i="1"/>
  <c r="BC84" i="1"/>
  <c r="BD84" i="1"/>
  <c r="BE84" i="1"/>
  <c r="BF84" i="1"/>
  <c r="BG84" i="1"/>
  <c r="BH84" i="1"/>
  <c r="BI84" i="1"/>
  <c r="BJ84" i="1"/>
  <c r="BK84" i="1"/>
  <c r="BL84" i="1"/>
  <c r="BM84" i="1"/>
  <c r="BN84" i="1"/>
  <c r="BO84" i="1"/>
  <c r="BP84" i="1"/>
  <c r="BQ84" i="1"/>
  <c r="AQ85" i="1"/>
  <c r="AR85" i="1"/>
  <c r="AS85" i="1"/>
  <c r="AT85" i="1"/>
  <c r="AU85" i="1"/>
  <c r="AV85" i="1"/>
  <c r="AW85" i="1"/>
  <c r="AX85" i="1"/>
  <c r="AY85" i="1"/>
  <c r="AZ85" i="1"/>
  <c r="BA85" i="1"/>
  <c r="BB85" i="1"/>
  <c r="BC85" i="1"/>
  <c r="BD85" i="1"/>
  <c r="BE85" i="1"/>
  <c r="BF85" i="1"/>
  <c r="BG85" i="1"/>
  <c r="BH85" i="1"/>
  <c r="BI85" i="1"/>
  <c r="BJ85" i="1"/>
  <c r="BK85" i="1"/>
  <c r="BL85" i="1"/>
  <c r="BM85" i="1"/>
  <c r="BN85" i="1"/>
  <c r="BO85" i="1"/>
  <c r="BP85" i="1"/>
  <c r="BQ85" i="1"/>
  <c r="AQ86" i="1"/>
  <c r="AR86" i="1"/>
  <c r="AS86" i="1"/>
  <c r="AT86" i="1"/>
  <c r="AU86" i="1"/>
  <c r="AV86" i="1"/>
  <c r="AW86" i="1"/>
  <c r="AX86" i="1"/>
  <c r="AY86" i="1"/>
  <c r="AZ86" i="1"/>
  <c r="BA86" i="1"/>
  <c r="BB86" i="1"/>
  <c r="BC86" i="1"/>
  <c r="BD86" i="1"/>
  <c r="BE86" i="1"/>
  <c r="BF86" i="1"/>
  <c r="BG86" i="1"/>
  <c r="BH86" i="1"/>
  <c r="BI86" i="1"/>
  <c r="BJ86" i="1"/>
  <c r="BK86" i="1"/>
  <c r="BL86" i="1"/>
  <c r="BM86" i="1"/>
  <c r="BN86" i="1"/>
  <c r="BO86" i="1"/>
  <c r="BP86" i="1"/>
  <c r="BQ86" i="1"/>
  <c r="AQ87" i="1"/>
  <c r="AR87" i="1"/>
  <c r="AS87" i="1"/>
  <c r="AT87" i="1"/>
  <c r="AU87" i="1"/>
  <c r="AV87" i="1"/>
  <c r="AW87" i="1"/>
  <c r="AX87" i="1"/>
  <c r="AY87" i="1"/>
  <c r="AZ87" i="1"/>
  <c r="BA87" i="1"/>
  <c r="BB87" i="1"/>
  <c r="BC87" i="1"/>
  <c r="BD87" i="1"/>
  <c r="BE87" i="1"/>
  <c r="BF87" i="1"/>
  <c r="BG87" i="1"/>
  <c r="BH87" i="1"/>
  <c r="BI87" i="1"/>
  <c r="BJ87" i="1"/>
  <c r="BK87" i="1"/>
  <c r="BL87" i="1"/>
  <c r="BM87" i="1"/>
  <c r="BN87" i="1"/>
  <c r="BO87" i="1"/>
  <c r="BP87" i="1"/>
  <c r="BQ87" i="1"/>
  <c r="AQ88" i="1"/>
  <c r="AR88" i="1"/>
  <c r="AS88" i="1"/>
  <c r="AT88" i="1"/>
  <c r="AU88" i="1"/>
  <c r="AV88" i="1"/>
  <c r="AW88" i="1"/>
  <c r="AX88" i="1"/>
  <c r="AY88" i="1"/>
  <c r="AZ88" i="1"/>
  <c r="BA88" i="1"/>
  <c r="BB88" i="1"/>
  <c r="BC88" i="1"/>
  <c r="BD88" i="1"/>
  <c r="BE88" i="1"/>
  <c r="BF88" i="1"/>
  <c r="BG88" i="1"/>
  <c r="BH88" i="1"/>
  <c r="BI88" i="1"/>
  <c r="BJ88" i="1"/>
  <c r="BK88" i="1"/>
  <c r="BL88" i="1"/>
  <c r="BM88" i="1"/>
  <c r="BN88" i="1"/>
  <c r="BO88" i="1"/>
  <c r="BP88" i="1"/>
  <c r="BQ88" i="1"/>
  <c r="AQ89" i="1"/>
  <c r="AR89" i="1"/>
  <c r="AS89" i="1"/>
  <c r="AT89" i="1"/>
  <c r="AU89" i="1"/>
  <c r="AV89" i="1"/>
  <c r="AW89" i="1"/>
  <c r="AX89" i="1"/>
  <c r="AY89" i="1"/>
  <c r="AZ89" i="1"/>
  <c r="BA89" i="1"/>
  <c r="BB89" i="1"/>
  <c r="BC89" i="1"/>
  <c r="BD89" i="1"/>
  <c r="BE89" i="1"/>
  <c r="BF89" i="1"/>
  <c r="BG89" i="1"/>
  <c r="BH89" i="1"/>
  <c r="BI89" i="1"/>
  <c r="BJ89" i="1"/>
  <c r="BK89" i="1"/>
  <c r="BL89" i="1"/>
  <c r="BM89" i="1"/>
  <c r="BN89" i="1"/>
  <c r="BO89" i="1"/>
  <c r="BP89" i="1"/>
  <c r="BQ89" i="1"/>
  <c r="AQ90" i="1"/>
  <c r="AR90" i="1"/>
  <c r="AS90" i="1"/>
  <c r="AT90" i="1"/>
  <c r="AU90" i="1"/>
  <c r="AV90" i="1"/>
  <c r="AW90" i="1"/>
  <c r="AX90" i="1"/>
  <c r="AY90" i="1"/>
  <c r="AZ90" i="1"/>
  <c r="BA90" i="1"/>
  <c r="BB90" i="1"/>
  <c r="BC90" i="1"/>
  <c r="BD90" i="1"/>
  <c r="BE90" i="1"/>
  <c r="BF90" i="1"/>
  <c r="BG90" i="1"/>
  <c r="BH90" i="1"/>
  <c r="BI90" i="1"/>
  <c r="BJ90" i="1"/>
  <c r="BK90" i="1"/>
  <c r="BL90" i="1"/>
  <c r="BM90" i="1"/>
  <c r="BN90" i="1"/>
  <c r="BO90" i="1"/>
  <c r="BP90" i="1"/>
  <c r="BQ90" i="1"/>
  <c r="AQ91" i="1"/>
  <c r="AR91" i="1"/>
  <c r="AS91" i="1"/>
  <c r="AT91" i="1"/>
  <c r="AU91" i="1"/>
  <c r="AV91" i="1"/>
  <c r="AW91" i="1"/>
  <c r="AX91" i="1"/>
  <c r="AY91" i="1"/>
  <c r="AZ91" i="1"/>
  <c r="BA91" i="1"/>
  <c r="BB91" i="1"/>
  <c r="BC91" i="1"/>
  <c r="BD91" i="1"/>
  <c r="BE91" i="1"/>
  <c r="BF91" i="1"/>
  <c r="BG91" i="1"/>
  <c r="BH91" i="1"/>
  <c r="BI91" i="1"/>
  <c r="BJ91" i="1"/>
  <c r="BK91" i="1"/>
  <c r="BL91" i="1"/>
  <c r="BM91" i="1"/>
  <c r="BN91" i="1"/>
  <c r="BO91" i="1"/>
  <c r="BP91" i="1"/>
  <c r="BQ91" i="1"/>
  <c r="AQ92" i="1"/>
  <c r="AR92" i="1"/>
  <c r="AS92" i="1"/>
  <c r="AT92" i="1"/>
  <c r="AU92" i="1"/>
  <c r="AV92" i="1"/>
  <c r="AW92" i="1"/>
  <c r="AX92" i="1"/>
  <c r="AY92" i="1"/>
  <c r="AZ92" i="1"/>
  <c r="BA92" i="1"/>
  <c r="BB92" i="1"/>
  <c r="BC92" i="1"/>
  <c r="BD92" i="1"/>
  <c r="BE92" i="1"/>
  <c r="BF92" i="1"/>
  <c r="BG92" i="1"/>
  <c r="BH92" i="1"/>
  <c r="BI92" i="1"/>
  <c r="BJ92" i="1"/>
  <c r="BK92" i="1"/>
  <c r="BL92" i="1"/>
  <c r="BM92" i="1"/>
  <c r="BN92" i="1"/>
  <c r="BO92" i="1"/>
  <c r="BP92" i="1"/>
  <c r="BQ92" i="1"/>
  <c r="AQ93" i="1"/>
  <c r="AR93" i="1"/>
  <c r="AS93" i="1"/>
  <c r="AT93" i="1"/>
  <c r="AU93" i="1"/>
  <c r="AV93" i="1"/>
  <c r="AW93" i="1"/>
  <c r="AX93" i="1"/>
  <c r="AY93" i="1"/>
  <c r="AZ93" i="1"/>
  <c r="BA93" i="1"/>
  <c r="BB93" i="1"/>
  <c r="BC93" i="1"/>
  <c r="BD93" i="1"/>
  <c r="BE93" i="1"/>
  <c r="BF93" i="1"/>
  <c r="BG93" i="1"/>
  <c r="BH93" i="1"/>
  <c r="BI93" i="1"/>
  <c r="BJ93" i="1"/>
  <c r="BK93" i="1"/>
  <c r="BL93" i="1"/>
  <c r="BM93" i="1"/>
  <c r="BN93" i="1"/>
  <c r="BO93" i="1"/>
  <c r="BP93" i="1"/>
  <c r="BQ93" i="1"/>
  <c r="AQ94" i="1"/>
  <c r="AR94" i="1"/>
  <c r="AS94" i="1"/>
  <c r="AT94" i="1"/>
  <c r="AU94" i="1"/>
  <c r="AV94" i="1"/>
  <c r="AW94" i="1"/>
  <c r="AX94" i="1"/>
  <c r="AY94" i="1"/>
  <c r="AZ94" i="1"/>
  <c r="BA94" i="1"/>
  <c r="BB94" i="1"/>
  <c r="BC94" i="1"/>
  <c r="BD94" i="1"/>
  <c r="BE94" i="1"/>
  <c r="BF94" i="1"/>
  <c r="BG94" i="1"/>
  <c r="BH94" i="1"/>
  <c r="BI94" i="1"/>
  <c r="BJ94" i="1"/>
  <c r="BK94" i="1"/>
  <c r="BL94" i="1"/>
  <c r="BM94" i="1"/>
  <c r="BN94" i="1"/>
  <c r="BO94" i="1"/>
  <c r="BP94" i="1"/>
  <c r="BQ94" i="1"/>
  <c r="AQ95" i="1"/>
  <c r="AR95" i="1"/>
  <c r="AS95" i="1"/>
  <c r="AT95" i="1"/>
  <c r="AU95" i="1"/>
  <c r="AV95" i="1"/>
  <c r="AW95" i="1"/>
  <c r="AX95" i="1"/>
  <c r="AY95" i="1"/>
  <c r="AZ95" i="1"/>
  <c r="BA95" i="1"/>
  <c r="BB95" i="1"/>
  <c r="BC95" i="1"/>
  <c r="BD95" i="1"/>
  <c r="BE95" i="1"/>
  <c r="BF95" i="1"/>
  <c r="BG95" i="1"/>
  <c r="BH95" i="1"/>
  <c r="BI95" i="1"/>
  <c r="BJ95" i="1"/>
  <c r="BK95" i="1"/>
  <c r="BL95" i="1"/>
  <c r="BM95" i="1"/>
  <c r="BN95" i="1"/>
  <c r="BO95" i="1"/>
  <c r="BP95" i="1"/>
  <c r="BQ95" i="1"/>
  <c r="AQ96" i="1"/>
  <c r="AR96" i="1"/>
  <c r="AS96" i="1"/>
  <c r="AT96" i="1"/>
  <c r="AU96" i="1"/>
  <c r="AV96" i="1"/>
  <c r="AW96" i="1"/>
  <c r="AX96" i="1"/>
  <c r="AY96" i="1"/>
  <c r="AZ96" i="1"/>
  <c r="BA96" i="1"/>
  <c r="BB96" i="1"/>
  <c r="BC96" i="1"/>
  <c r="BD96" i="1"/>
  <c r="BE96" i="1"/>
  <c r="BF96" i="1"/>
  <c r="BG96" i="1"/>
  <c r="BH96" i="1"/>
  <c r="BI96" i="1"/>
  <c r="BJ96" i="1"/>
  <c r="BK96" i="1"/>
  <c r="BL96" i="1"/>
  <c r="BM96" i="1"/>
  <c r="BN96" i="1"/>
  <c r="BO96" i="1"/>
  <c r="BP96" i="1"/>
  <c r="BQ96" i="1"/>
  <c r="AQ97" i="1"/>
  <c r="Q3" i="2" s="1"/>
  <c r="AR97" i="1"/>
  <c r="AS97" i="1"/>
  <c r="AT97" i="1"/>
  <c r="AU97" i="1"/>
  <c r="AV97" i="1"/>
  <c r="AW97" i="1"/>
  <c r="AX97" i="1"/>
  <c r="AY97" i="1"/>
  <c r="AZ97" i="1"/>
  <c r="BA97" i="1"/>
  <c r="BB97" i="1"/>
  <c r="BC97" i="1"/>
  <c r="BD97" i="1"/>
  <c r="BE97" i="1"/>
  <c r="BF97" i="1"/>
  <c r="BG97" i="1"/>
  <c r="BH97" i="1"/>
  <c r="BI97" i="1"/>
  <c r="BJ97" i="1"/>
  <c r="BK97" i="1"/>
  <c r="BL97" i="1"/>
  <c r="BM97" i="1"/>
  <c r="BN97" i="1"/>
  <c r="BO97" i="1"/>
  <c r="BP97" i="1"/>
  <c r="BQ97" i="1"/>
  <c r="AQ98" i="1"/>
  <c r="AR98" i="1"/>
  <c r="AS98" i="1"/>
  <c r="AT98" i="1"/>
  <c r="AU98" i="1"/>
  <c r="AV98" i="1"/>
  <c r="AW98" i="1"/>
  <c r="AX98" i="1"/>
  <c r="AY98" i="1"/>
  <c r="AZ98" i="1"/>
  <c r="BA98" i="1"/>
  <c r="BB98" i="1"/>
  <c r="BC98" i="1"/>
  <c r="BD98" i="1"/>
  <c r="BE98" i="1"/>
  <c r="BF98" i="1"/>
  <c r="BG98" i="1"/>
  <c r="BH98" i="1"/>
  <c r="BI98" i="1"/>
  <c r="BJ98" i="1"/>
  <c r="BK98" i="1"/>
  <c r="BL98" i="1"/>
  <c r="BM98" i="1"/>
  <c r="BN98" i="1"/>
  <c r="BO98" i="1"/>
  <c r="BP98" i="1"/>
  <c r="BQ98" i="1"/>
  <c r="AQ99" i="1"/>
  <c r="AR99" i="1"/>
  <c r="AS99" i="1"/>
  <c r="AT99" i="1"/>
  <c r="AU99" i="1"/>
  <c r="AV99" i="1"/>
  <c r="AW99" i="1"/>
  <c r="Q9" i="2" s="1"/>
  <c r="AX99" i="1"/>
  <c r="AY99" i="1"/>
  <c r="AZ99" i="1"/>
  <c r="BA99" i="1"/>
  <c r="BB99" i="1"/>
  <c r="BC99" i="1"/>
  <c r="Q15" i="2" s="1"/>
  <c r="BD99" i="1"/>
  <c r="BE99" i="1"/>
  <c r="BF99" i="1"/>
  <c r="BG99" i="1"/>
  <c r="BH99" i="1"/>
  <c r="BI99" i="1"/>
  <c r="BJ99" i="1"/>
  <c r="BK99" i="1"/>
  <c r="BL99" i="1"/>
  <c r="BM99" i="1"/>
  <c r="BN99" i="1"/>
  <c r="BO99" i="1"/>
  <c r="BP99" i="1"/>
  <c r="BQ99" i="1"/>
  <c r="AQ100" i="1"/>
  <c r="AR100" i="1"/>
  <c r="AS100" i="1"/>
  <c r="AT100" i="1"/>
  <c r="AU100" i="1"/>
  <c r="AV100" i="1"/>
  <c r="AW100" i="1"/>
  <c r="AX100" i="1"/>
  <c r="AY100" i="1"/>
  <c r="AZ100" i="1"/>
  <c r="BA100" i="1"/>
  <c r="BB100" i="1"/>
  <c r="BC100" i="1"/>
  <c r="BD100" i="1"/>
  <c r="BE100" i="1"/>
  <c r="BF100" i="1"/>
  <c r="BG100" i="1"/>
  <c r="BH100" i="1"/>
  <c r="BI100" i="1"/>
  <c r="BJ100" i="1"/>
  <c r="BK100" i="1"/>
  <c r="BL100" i="1"/>
  <c r="BM100" i="1"/>
  <c r="BN100" i="1"/>
  <c r="BO100" i="1"/>
  <c r="BP100" i="1"/>
  <c r="BQ100" i="1"/>
  <c r="AQ101" i="1"/>
  <c r="AR101" i="1"/>
  <c r="AS101" i="1"/>
  <c r="AT101" i="1"/>
  <c r="AU101" i="1"/>
  <c r="AV101" i="1"/>
  <c r="AW101" i="1"/>
  <c r="AX101" i="1"/>
  <c r="AY101" i="1"/>
  <c r="AZ101" i="1"/>
  <c r="BA101" i="1"/>
  <c r="BB101" i="1"/>
  <c r="BC101" i="1"/>
  <c r="BD101" i="1"/>
  <c r="BE101" i="1"/>
  <c r="BF101" i="1"/>
  <c r="BG101" i="1"/>
  <c r="BH101" i="1"/>
  <c r="BI101" i="1"/>
  <c r="Q21" i="2" s="1"/>
  <c r="BJ101" i="1"/>
  <c r="BK101" i="1"/>
  <c r="BL101" i="1"/>
  <c r="BM101" i="1"/>
  <c r="BN101" i="1"/>
  <c r="BO101" i="1"/>
  <c r="Q27" i="2" s="1"/>
  <c r="BP101" i="1"/>
  <c r="BQ101" i="1"/>
  <c r="AQ102" i="1"/>
  <c r="AR102" i="1"/>
  <c r="AS102" i="1"/>
  <c r="AT102" i="1"/>
  <c r="AU102" i="1"/>
  <c r="AV102" i="1"/>
  <c r="AW102" i="1"/>
  <c r="AX102" i="1"/>
  <c r="AY102" i="1"/>
  <c r="AZ102" i="1"/>
  <c r="BA102" i="1"/>
  <c r="BB102" i="1"/>
  <c r="BC102" i="1"/>
  <c r="BD102" i="1"/>
  <c r="BE102" i="1"/>
  <c r="BF102" i="1"/>
  <c r="BG102" i="1"/>
  <c r="BH102" i="1"/>
  <c r="BI102" i="1"/>
  <c r="BJ102" i="1"/>
  <c r="BK102" i="1"/>
  <c r="BL102" i="1"/>
  <c r="BM102" i="1"/>
  <c r="BN102" i="1"/>
  <c r="BO102" i="1"/>
  <c r="BP102" i="1"/>
  <c r="BQ102" i="1"/>
  <c r="AQ103" i="1"/>
  <c r="AR103" i="1"/>
  <c r="AS103" i="1"/>
  <c r="AT103" i="1"/>
  <c r="AU103" i="1"/>
  <c r="AV103" i="1"/>
  <c r="AW103" i="1"/>
  <c r="AX103" i="1"/>
  <c r="AY103" i="1"/>
  <c r="AZ103" i="1"/>
  <c r="BA103" i="1"/>
  <c r="BB103" i="1"/>
  <c r="BC103" i="1"/>
  <c r="BD103" i="1"/>
  <c r="BE103" i="1"/>
  <c r="BF103" i="1"/>
  <c r="BG103" i="1"/>
  <c r="BH103" i="1"/>
  <c r="BI103" i="1"/>
  <c r="BJ103" i="1"/>
  <c r="BK103" i="1"/>
  <c r="BL103" i="1"/>
  <c r="BM103" i="1"/>
  <c r="BN103" i="1"/>
  <c r="BO103" i="1"/>
  <c r="BP103" i="1"/>
  <c r="BQ103" i="1"/>
  <c r="AQ104" i="1"/>
  <c r="AR104" i="1"/>
  <c r="AS104" i="1"/>
  <c r="AT104" i="1"/>
  <c r="AU104" i="1"/>
  <c r="AV104" i="1"/>
  <c r="AW104" i="1"/>
  <c r="AX104" i="1"/>
  <c r="AY104" i="1"/>
  <c r="AZ104" i="1"/>
  <c r="BA104" i="1"/>
  <c r="BB104" i="1"/>
  <c r="BC104" i="1"/>
  <c r="BD104" i="1"/>
  <c r="BE104" i="1"/>
  <c r="BF104" i="1"/>
  <c r="BG104" i="1"/>
  <c r="BH104" i="1"/>
  <c r="BI104" i="1"/>
  <c r="BJ104" i="1"/>
  <c r="BK104" i="1"/>
  <c r="BL104" i="1"/>
  <c r="BM104" i="1"/>
  <c r="BN104" i="1"/>
  <c r="BO104" i="1"/>
  <c r="BP104" i="1"/>
  <c r="BQ104" i="1"/>
  <c r="AQ105" i="1"/>
  <c r="AR105" i="1"/>
  <c r="AS105" i="1"/>
  <c r="AT105" i="1"/>
  <c r="AU105" i="1"/>
  <c r="AV105" i="1"/>
  <c r="Q8" i="2" s="1"/>
  <c r="AW105" i="1"/>
  <c r="AX105" i="1"/>
  <c r="AY105" i="1"/>
  <c r="AZ105" i="1"/>
  <c r="BA105" i="1"/>
  <c r="BB105" i="1"/>
  <c r="BC105" i="1"/>
  <c r="BD105" i="1"/>
  <c r="BE105" i="1"/>
  <c r="BF105" i="1"/>
  <c r="BG105" i="1"/>
  <c r="BH105" i="1"/>
  <c r="Q20" i="2" s="1"/>
  <c r="BI105" i="1"/>
  <c r="BJ105" i="1"/>
  <c r="BK105" i="1"/>
  <c r="BL105" i="1"/>
  <c r="BM105" i="1"/>
  <c r="BN105" i="1"/>
  <c r="Q26" i="2" s="1"/>
  <c r="BO105" i="1"/>
  <c r="BP105" i="1"/>
  <c r="BQ105" i="1"/>
  <c r="AP2" i="1"/>
  <c r="AP3" i="1"/>
  <c r="AP4" i="1"/>
  <c r="AP5" i="1"/>
  <c r="AP6" i="1"/>
  <c r="Q2" i="2" s="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P34" i="1"/>
  <c r="AP35" i="1"/>
  <c r="AP36" i="1"/>
  <c r="AP37" i="1"/>
  <c r="AP38" i="1"/>
  <c r="AP39" i="1"/>
  <c r="AP40" i="1"/>
  <c r="AP41" i="1"/>
  <c r="AP42" i="1"/>
  <c r="AP43" i="1"/>
  <c r="AP44" i="1"/>
  <c r="AP45" i="1"/>
  <c r="AP46" i="1"/>
  <c r="AP47" i="1"/>
  <c r="AP48" i="1"/>
  <c r="AP49" i="1"/>
  <c r="AP50" i="1"/>
  <c r="AP51" i="1"/>
  <c r="AP52" i="1"/>
  <c r="AP53" i="1"/>
  <c r="AP54" i="1"/>
  <c r="AP55" i="1"/>
  <c r="AP56" i="1"/>
  <c r="AP57" i="1"/>
  <c r="AP58" i="1"/>
  <c r="AP59" i="1"/>
  <c r="AP60" i="1"/>
  <c r="AP61" i="1"/>
  <c r="AP62" i="1"/>
  <c r="AP63" i="1"/>
  <c r="AP64" i="1"/>
  <c r="AP65" i="1"/>
  <c r="AP66" i="1"/>
  <c r="AP67" i="1"/>
  <c r="AP68" i="1"/>
  <c r="AP69" i="1"/>
  <c r="AP70" i="1"/>
  <c r="AP71" i="1"/>
  <c r="AP72" i="1"/>
  <c r="AP73" i="1"/>
  <c r="AP74" i="1"/>
  <c r="AP75" i="1"/>
  <c r="AP76" i="1"/>
  <c r="AP77" i="1"/>
  <c r="AP78" i="1"/>
  <c r="AP79" i="1"/>
  <c r="AP80" i="1"/>
  <c r="AP81" i="1"/>
  <c r="AP82" i="1"/>
  <c r="AP83" i="1"/>
  <c r="AP84" i="1"/>
  <c r="AP85" i="1"/>
  <c r="AP86" i="1"/>
  <c r="AP87" i="1"/>
  <c r="AP88" i="1"/>
  <c r="AP89" i="1"/>
  <c r="AP90" i="1"/>
  <c r="AP91" i="1"/>
  <c r="AP92" i="1"/>
  <c r="AP93" i="1"/>
  <c r="AP94" i="1"/>
  <c r="AP95" i="1"/>
  <c r="AP96" i="1"/>
  <c r="AP97" i="1"/>
  <c r="AP98" i="1"/>
  <c r="AP99" i="1"/>
  <c r="AP100" i="1"/>
  <c r="AP101" i="1"/>
  <c r="AP102" i="1"/>
  <c r="AP103" i="1"/>
  <c r="AP104" i="1"/>
  <c r="AP105" i="1"/>
  <c r="Q4" i="2"/>
  <c r="Q5" i="2"/>
  <c r="Q10" i="2"/>
  <c r="Q11" i="2"/>
  <c r="Q14" i="2"/>
  <c r="Q16" i="2"/>
  <c r="Q17" i="2"/>
  <c r="Q22" i="2"/>
  <c r="Q23" i="2"/>
  <c r="Q28" i="2"/>
  <c r="Q29" i="2"/>
  <c r="D19" i="4"/>
  <c r="D18" i="4"/>
  <c r="D17" i="4"/>
  <c r="D16" i="4"/>
  <c r="D15" i="4"/>
  <c r="D14" i="4"/>
  <c r="D13" i="4"/>
  <c r="D12" i="4"/>
  <c r="D11" i="4"/>
  <c r="D10" i="4"/>
  <c r="D9" i="4"/>
  <c r="D8" i="4"/>
  <c r="D7" i="4"/>
  <c r="D6" i="4"/>
  <c r="D5" i="4"/>
  <c r="D4" i="4"/>
  <c r="D3" i="4"/>
  <c r="D2" i="4"/>
</calcChain>
</file>

<file path=xl/sharedStrings.xml><?xml version="1.0" encoding="utf-8"?>
<sst xmlns="http://schemas.openxmlformats.org/spreadsheetml/2006/main" count="1483" uniqueCount="834">
  <si>
    <t>Class</t>
  </si>
  <si>
    <t>Grade</t>
  </si>
  <si>
    <t>Period</t>
  </si>
  <si>
    <t>Student Name</t>
  </si>
  <si>
    <t>ELL?</t>
  </si>
  <si>
    <t>IEP?</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</si>
  <si>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</si>
  <si>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</si>
  <si>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</si>
  <si>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</si>
  <si>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</si>
  <si>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</si>
  <si>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</si>
  <si>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</si>
  <si>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</si>
  <si>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</si>
  <si>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</si>
  <si>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</si>
  <si>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</si>
  <si>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</si>
  <si>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</si>
  <si>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</si>
  <si>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</si>
  <si>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</si>
  <si>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</si>
  <si>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</si>
  <si>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</si>
  <si>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</si>
  <si>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</si>
  <si>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</si>
  <si>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</si>
  <si>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</si>
  <si>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</si>
  <si>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</si>
  <si>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Kovelsky</t>
  </si>
  <si>
    <t>Dushin</t>
  </si>
  <si>
    <t>Sourial</t>
  </si>
  <si>
    <t>#</t>
  </si>
  <si>
    <t>Part</t>
  </si>
  <si>
    <t>Stimulus</t>
  </si>
  <si>
    <t>Question</t>
  </si>
  <si>
    <t>Answer</t>
  </si>
  <si>
    <t>Full Answer</t>
  </si>
  <si>
    <t>Stimulus Type</t>
  </si>
  <si>
    <t>Source Type</t>
  </si>
  <si>
    <t>Task Model</t>
  </si>
  <si>
    <t>Skill</t>
  </si>
  <si>
    <t>Content</t>
  </si>
  <si>
    <t>Need OI?</t>
  </si>
  <si>
    <t>Option 1</t>
  </si>
  <si>
    <t>Option 2</t>
  </si>
  <si>
    <t>Option 3</t>
  </si>
  <si>
    <t>Option 4</t>
  </si>
  <si>
    <t>Part I</t>
  </si>
  <si>
    <t>John W. Dower, “Throwing Off  Asia ,” Massachusetts Institute of Technology, 2008</t>
  </si>
  <si>
    <t>What claim is best supported by this passage?</t>
  </si>
  <si>
    <t>Japan experienced a period of cultural development despite its isolation.</t>
  </si>
  <si>
    <t>Text-based</t>
  </si>
  <si>
    <t>Secondary</t>
  </si>
  <si>
    <t>4. Claim Validity (Without Outside Information)</t>
  </si>
  <si>
    <t>A. Gathering, Interpreting, and Using Evidence</t>
  </si>
  <si>
    <t>10.01b.1</t>
  </si>
  <si>
    <t>No</t>
  </si>
  <si>
    <t>Japan challenged China for supremacy in Asia.</t>
  </si>
  <si>
    <t>Japan relied on natural resources for industrial growth.</t>
  </si>
  <si>
    <t>Japan made great industrial and territorial gains that rivaled world powers.</t>
  </si>
  <si>
    <t>This passage best describes which development in Japanese history?</t>
  </si>
  <si>
    <t>the rule of the Tokugawa Shogunate</t>
  </si>
  <si>
    <t>1. Best Use</t>
  </si>
  <si>
    <t>Yes</t>
  </si>
  <si>
    <t>the arrival of Commodore Matthew Perry</t>
  </si>
  <si>
    <t>the Meiji Restoration</t>
  </si>
  <si>
    <t>the annexation of Korea</t>
  </si>
  <si>
    <t>Declaration of the Rights of Man and of the Citizen, 1789</t>
  </si>
  <si>
    <t>Which group would be most likely to support the ideas presented in this document?</t>
  </si>
  <si>
    <t>the Third Estate</t>
  </si>
  <si>
    <t>Primary</t>
  </si>
  <si>
    <t>14. Stakeholder Issue</t>
  </si>
  <si>
    <t>C. Comparison and Contextualization</t>
  </si>
  <si>
    <t>10.02c.1</t>
  </si>
  <si>
    <t>the nobility</t>
  </si>
  <si>
    <t>the clergy</t>
  </si>
  <si>
    <t>the royal officials</t>
  </si>
  <si>
    <t>Which claim is best supported by this document?</t>
  </si>
  <si>
    <t>The rights of all citizens should be respected with fairness and justice.</t>
  </si>
  <si>
    <t>People arrested should be presumed guilty until proven innocent.</t>
  </si>
  <si>
    <t>Religious practices should be limited by the government.</t>
  </si>
  <si>
    <t>Freedom of speech should be restricted for the public good.</t>
  </si>
  <si>
    <t>Henry Brun et al., Global History and Geography, Amsco, 2004 (adapted)</t>
  </si>
  <si>
    <t>The situation shown on this map was most infl uenced by the</t>
  </si>
  <si>
    <t>French Revolution</t>
  </si>
  <si>
    <t>Map-based</t>
  </si>
  <si>
    <t>7. Cause</t>
  </si>
  <si>
    <t>B. Chronological Reasoning and Causation</t>
  </si>
  <si>
    <t>10.02c.2</t>
  </si>
  <si>
    <t>German Unification</t>
  </si>
  <si>
    <t>Balfour Declaration</t>
  </si>
  <si>
    <t>Treaty of Versailles</t>
  </si>
  <si>
    <t>Which claim about Latin America is best supported by the information on this map?</t>
  </si>
  <si>
    <t>Nationalism became a growing force during the 19th century.</t>
  </si>
  <si>
    <t>13. Interpret Visual Data</t>
  </si>
  <si>
    <t>European countries had control over most of the region until World War I.</t>
  </si>
  <si>
    <t>Most independence movements occurred in the 20th century.</t>
  </si>
  <si>
    <t>Most countries gained independence before the Haitian Revolution.</t>
  </si>
  <si>
    <t>“The Industrial Revolution and the Changing Face of Britain,” The British Museum online</t>
  </si>
  <si>
    <t>This passage would be most useful for</t>
  </si>
  <si>
    <t>explaining the economic benefi ts of the Agricultural Revolution in Britain</t>
  </si>
  <si>
    <t>10.03a.1</t>
  </si>
  <si>
    <t>studying how urbanization affected British government policies</t>
  </si>
  <si>
    <t>explaining the economic benefits of the Agricultural Revolution in Britain</t>
  </si>
  <si>
    <t>analyzing the distribution of natural resources in Britain</t>
  </si>
  <si>
    <t>understanding how the Agricultural Revolution led to British imperialism</t>
  </si>
  <si>
    <t>What was one way British farmers responded to the changes described in this passage?</t>
  </si>
  <si>
    <t>Farmers specialized based on their location</t>
  </si>
  <si>
    <t>18. Response to Problem</t>
  </si>
  <si>
    <t>The enclosure system was eliminated.</t>
  </si>
  <si>
    <t>Agricultural productivity in Britain decreased.</t>
  </si>
  <si>
    <t>Farmers specialized based on their location.</t>
  </si>
  <si>
    <t>Most farmers in the provinces fled to the countryside.</t>
  </si>
  <si>
    <t>Punch, July 3, 1858</t>
  </si>
  <si>
    <t>Which statement best explains the cartoonist’s perspective of conditions in London during this time period?</t>
  </si>
  <si>
    <t>Industrialization led to contamination of water supplies and illness.</t>
  </si>
  <si>
    <t>Visual-based</t>
  </si>
  <si>
    <t>2. POV</t>
  </si>
  <si>
    <t>10.09c.3</t>
  </si>
  <si>
    <t>The growth of factories contributed to poor working conditions.</t>
  </si>
  <si>
    <t>Urbanization caused a scarcity of food and mass starvation.</t>
  </si>
  <si>
    <t>The church offered support to those living in urban poverty.</t>
  </si>
  <si>
    <t>What was the cartoonist’s purpose in creating this illustration?</t>
  </si>
  <si>
    <t>to encourage the government to make reforms</t>
  </si>
  <si>
    <t>to attract people to settle in London</t>
  </si>
  <si>
    <t>to promote Queen Victoria's humanitarian efforts</t>
  </si>
  <si>
    <t>to raise public awareness of the impacts of irrigation</t>
  </si>
  <si>
    <t>Kevin Reilly, Worlds of History, Bedford/St. Martin’s, 2007 (adapted)</t>
  </si>
  <si>
    <t>Based on this map, which two countries acquired the most foreign territory?</t>
  </si>
  <si>
    <t>Great Britain and France</t>
  </si>
  <si>
    <t>10.04a.2</t>
  </si>
  <si>
    <t>the Netherlands and Belgium</t>
  </si>
  <si>
    <t>Spain and Portugal</t>
  </si>
  <si>
    <t>Germany and Italy</t>
  </si>
  <si>
    <t>The situation shown on this map was caused in part by European nations’ desire to</t>
  </si>
  <si>
    <t>obtain raw materials for their industries</t>
  </si>
  <si>
    <t>import factory-made goods</t>
  </si>
  <si>
    <t>encourage immigration into their countries</t>
  </si>
  <si>
    <t>establish democratic governments worldwide</t>
  </si>
  <si>
    <t>Philip Dorf, Visualized World History, Oxford, 1948 (adapted)</t>
  </si>
  <si>
    <t>Which empire’s decline is depicted in this illustration?</t>
  </si>
  <si>
    <t>Ottoman Empire</t>
  </si>
  <si>
    <t>10.02d.1</t>
  </si>
  <si>
    <t>Mughal Empire</t>
  </si>
  <si>
    <t>Austro-Hungarian Empire</t>
  </si>
  <si>
    <t>British Empire</t>
  </si>
  <si>
    <t>The conditions shown in this illustration played a major role in bringing about the</t>
  </si>
  <si>
    <t>start of World War I</t>
  </si>
  <si>
    <t>10.05a.1</t>
  </si>
  <si>
    <t>unification of Italy</t>
  </si>
  <si>
    <t>Potsdam Conference</t>
  </si>
  <si>
    <t>signing of the Warsaw Pact</t>
  </si>
  <si>
    <t>“Armenians Are Sent to Perish in Desert,” New York Times, August 18, 1915</t>
  </si>
  <si>
    <t>Which group faced treatment most similar to the group addressed in this article?</t>
  </si>
  <si>
    <t>Jews in Nazi Germany</t>
  </si>
  <si>
    <t>10. Compare</t>
  </si>
  <si>
    <t>10.05e.1</t>
  </si>
  <si>
    <t>the First Estate in pre-revolutionary France</t>
  </si>
  <si>
    <t>the French in Haiti</t>
  </si>
  <si>
    <t>Indians under the British Raj</t>
  </si>
  <si>
    <t>A historian would fi nd this article most useful for</t>
  </si>
  <si>
    <t>supporting the claim that a genocide took place</t>
  </si>
  <si>
    <t>identifying the cause of the incident</t>
  </si>
  <si>
    <t>researching the geography of Turkey</t>
  </si>
  <si>
    <t>determining the number of people affected by the incident</t>
  </si>
  <si>
    <t>Speech by Ho Chi Minh, February 18, 1930</t>
  </si>
  <si>
    <t>Which claim is best supported by the evidence in this speech?</t>
  </si>
  <si>
    <t>Ho Chi Minh intended to reclaim what the French had taken from his people.</t>
  </si>
  <si>
    <t>10.07a.2</t>
  </si>
  <si>
    <t>Under French control, the Vietnamese economy had grown.</t>
  </si>
  <si>
    <t>The French had established education systems throughout Indochina.</t>
  </si>
  <si>
    <t>Ho Chi Minh gained Western support for a democratic republic in Vietnam.</t>
  </si>
  <si>
    <t>Which statement best describes the author’s purpose in delivering this speech?</t>
  </si>
  <si>
    <t>to explain the goals of a Vietnamese nationalist movement</t>
  </si>
  <si>
    <t>to explain why he is supporting the Communist Revolution in Russia</t>
  </si>
  <si>
    <t>to ask the French for independence</t>
  </si>
  <si>
    <t>to ask for international support for his revolution</t>
  </si>
  <si>
    <t>John Hersey, Hiroshima, Alfred A. Knopf, 1946</t>
  </si>
  <si>
    <t>How could a historian best use this passage?</t>
  </si>
  <si>
    <t>to understand how the atomic bomb affected civilians</t>
  </si>
  <si>
    <t>10.05b.1</t>
  </si>
  <si>
    <t>to investigate why the military dropped the atomic bomb</t>
  </si>
  <si>
    <t>to illustrate how the war effort was affected by the atomic bomb</t>
  </si>
  <si>
    <t>to show how the atomic bomb changed government policy</t>
  </si>
  <si>
    <t>The events described in the passage led to the</t>
  </si>
  <si>
    <t>Japanese surrender in World War II</t>
  </si>
  <si>
    <t>8. Effect</t>
  </si>
  <si>
    <t>creation of spheres of influence in China</t>
  </si>
  <si>
    <t>D-Day invasion of Normandy</t>
  </si>
  <si>
    <t>collapse of the Soviet Union</t>
  </si>
  <si>
    <t>New York Times Upfront, December 11, 2017</t>
  </si>
  <si>
    <t>What claim is best supported by the evidence included in this article?</t>
  </si>
  <si>
    <t>Cold War confl icts in Afghanistan contributed to the rise of the Taliban.</t>
  </si>
  <si>
    <t>3. Claim Validity (With Outside Information)</t>
  </si>
  <si>
    <t>10.06b.1</t>
  </si>
  <si>
    <t>The United States attempted to eliminate the mujahedeen in the 1980s.</t>
  </si>
  <si>
    <t>The invasion of Afghanistan secured Soviet influence in the region.</t>
  </si>
  <si>
    <t>The mujahedeen supported the pro-communist government in Afghanistan.</t>
  </si>
  <si>
    <t>Cold War conflicts in Afghanistan contributed to the rise of the Taliban.</t>
  </si>
  <si>
    <t>The American actions described in this article are an example of which policy?</t>
  </si>
  <si>
    <t>containment</t>
  </si>
  <si>
    <t>perestroika</t>
  </si>
  <si>
    <t>globalization</t>
  </si>
  <si>
    <t>collectivization</t>
  </si>
  <si>
    <t>Mikhail Gorbachev’s resignation speech, December 25, 1991</t>
  </si>
  <si>
    <t>The policies described by Mikhail Gorbachev in this speech refer to</t>
  </si>
  <si>
    <t>glasnost</t>
  </si>
  <si>
    <t>10.06c.1</t>
  </si>
  <si>
    <t>nuclear proliferation</t>
  </si>
  <si>
    <t>détente</t>
  </si>
  <si>
    <t>nonalignment</t>
  </si>
  <si>
    <t>This speech is most closely associated with the end of which international confl ict?</t>
  </si>
  <si>
    <t>the Cold War</t>
  </si>
  <si>
    <t>10.06c.2</t>
  </si>
  <si>
    <t>the Vietnam War</t>
  </si>
  <si>
    <t>the Korean War</t>
  </si>
  <si>
    <t>the Persian Gulf War</t>
  </si>
  <si>
    <t>Newsweek, October 18, 2010 (adapted)</t>
  </si>
  <si>
    <t>Based on this infographic, which region is experiencing the greatest freshwater shortage?</t>
  </si>
  <si>
    <t>Southwest Asia</t>
  </si>
  <si>
    <t>Eastern Europe</t>
  </si>
  <si>
    <t>South America</t>
  </si>
  <si>
    <t>Australia</t>
  </si>
  <si>
    <t>Sarah Pruitt, “10 Memorable Moments in United Nations History,” The History Channel Online, 2015 (adapted)</t>
  </si>
  <si>
    <t>This timeline would be most useful to a person attempting to prove</t>
  </si>
  <si>
    <t>the range of United Nations efforts maintaining peace and providing humanitarian aid</t>
  </si>
  <si>
    <t>10.09d.1</t>
  </si>
  <si>
    <t>how effective the work of the United Nations has been in addressing epidemic disease outbreaks over time</t>
  </si>
  <si>
    <t>the degree to which the United Nations has been able to promote women's rights in developing regions</t>
  </si>
  <si>
    <t>the extent to which environmental policy has been supported by member states of the United Nations</t>
  </si>
  <si>
    <t>Carlotta Gall, “Erdogan’s Plan to Raise a ‘Pious Generation’ Divides Parents in Turkey,” New York Times, June 18, 2018</t>
  </si>
  <si>
    <t>What is the central issue described in this article?</t>
  </si>
  <si>
    <t>conflict over Turkey’s cultural identity</t>
  </si>
  <si>
    <t>17. Problem</t>
  </si>
  <si>
    <t>10.08b.1</t>
  </si>
  <si>
    <t>conflict over Turkey's cultural identity</t>
  </si>
  <si>
    <t>fighting between Kemal Atatürk and Turkey's President Erdogan</t>
  </si>
  <si>
    <t>passing aggressive reforms to restore Turkey's democratic institutions</t>
  </si>
  <si>
    <t>crackdown on protests by Turkish troops</t>
  </si>
  <si>
    <t>Which event led to changes similar to those described in this article?</t>
  </si>
  <si>
    <t>the Islamic Revolution of 1979 in Iran</t>
  </si>
  <si>
    <t>the seizing of the Suez Canal by Gamal Nasser</t>
  </si>
  <si>
    <t>the collapse of the Austrian Empire</t>
  </si>
  <si>
    <t>the partition of India in 1948</t>
  </si>
  <si>
    <t>Unit / Concept / Content</t>
  </si>
  <si>
    <t>Unit</t>
  </si>
  <si>
    <t>Conceptual Understanding</t>
  </si>
  <si>
    <t>Specifications</t>
  </si>
  <si>
    <t>Colonial Foundations (1607-1763)</t>
  </si>
  <si>
    <t>European colonization in North America prompted cultural contact and exchange between diverse peoples; cultural differences and misunderstandings at times led to conflict. A variety of factors contributed to the development of regional differences, including social and racial hierarchies, in colonial America.</t>
  </si>
  <si>
    <t>The World in 1750</t>
  </si>
  <si>
    <t>THE WORLD in 1750</t>
  </si>
  <si>
    <t>The world in 1750 was marked by powerful Eurasian states and empires, coastal African kingdoms, and growing European maritime empires. The interactions of these states, empires, and kingdoms disrupted regional trade networks and influenced the development of new global trade networks.</t>
  </si>
  <si>
    <t>10.01a</t>
  </si>
  <si>
    <t>Eurasian States and Empires ca. 1750</t>
  </si>
  <si>
    <t>Powerful Eurasian states and empires faced and responded to challenges ca. 1750.</t>
  </si>
  <si>
    <t>10.01a.1</t>
  </si>
  <si>
    <t>Mughal &amp; Ottoman (c. 1750)</t>
  </si>
  <si>
    <t>Students will compare and contrast the Mughal Empire and the Ottoman Empire in 1750 in terms of religious and ethnic tolerance, political organization, and commercial activity.</t>
  </si>
  <si>
    <t>10.01a.2</t>
  </si>
  <si>
    <t>Tokugawa Shogunate</t>
  </si>
  <si>
    <t>Students will examine efforts to unify, stabilize, and centralize Japan under the rule of the Tokugawa Shogunate.</t>
  </si>
  <si>
    <t>10.01a.3</t>
  </si>
  <si>
    <t>Comparing Tokugawa Shogunate &amp; Bourbon Dynasty</t>
  </si>
  <si>
    <t>Students will compare and contrast the Tokugawa Shogunate in Japan with France under the rule of the Bourbon Dynasty, looking at the role of Edo and Paris/Versailles, attempts to control the daimyo and nobles, and the development of bureaucracies.</t>
  </si>
  <si>
    <t>10.01b</t>
  </si>
  <si>
    <t>Interactions with Outsiders Eurasian States and Empire ca. 1750</t>
  </si>
  <si>
    <t>Perceptions of outsiders and interactions with them varied across Eurasia.</t>
  </si>
  <si>
    <t>Tokugawa &amp; Mughal Responses to Outsiders</t>
  </si>
  <si>
    <t>Students will compare and contrast the Tokugawa and Mughal responses to outsiders, with attention to the impacts of those decisions.</t>
  </si>
  <si>
    <t>10.01b.2</t>
  </si>
  <si>
    <t>Eurasia World Map</t>
  </si>
  <si>
    <t>Students will create a world map showing the extent of European maritime empires, the Russian Empire, the Ottoman Empire, Mughal Empire, China under the Qing Dynasty, Japan under the Tokugawa Shogunate, Ashanti, Benin, and Dahomey ca. 1750.</t>
  </si>
  <si>
    <t>10.01b.3</t>
  </si>
  <si>
    <t>Comparing Empire's Geography &amp; Power</t>
  </si>
  <si>
    <t>Students will compare the size of these states, empires, and kingdoms relative to the power they wielded in their regions and in the world.</t>
  </si>
  <si>
    <t>Enlightenment, Revolution, &amp; Nationalism</t>
  </si>
  <si>
    <t>ENLIGHTENMENT, REVOLUTION, AND NATIONALISM</t>
  </si>
  <si>
    <t>The Enlightenment called into question traditional beliefs and inspired widespread political, economic, and social change. This intellectual movement was used to challenge political authorities in Europe and colonial rule in the Americas. These ideals inspired political and social movements.</t>
  </si>
  <si>
    <t>Constitutional Foundations (1763–1824)</t>
  </si>
  <si>
    <t>Growing political and economic tensions led the American colonists to declare their independence from Great Britain. Once independent, the new nation confronted the challenge of creating a stable federal republic.</t>
  </si>
  <si>
    <t>10.02a</t>
  </si>
  <si>
    <t>Political Philosophies</t>
  </si>
  <si>
    <t>Enlightenment thinkers developed political philosophies based on natural laws, which included the concepts of social contract, consent of the governed, and the rights of citizens.</t>
  </si>
  <si>
    <t>10.02a.1</t>
  </si>
  <si>
    <t>Students will examine at least three Enlightenment thinkers, including John Locke, Baron de Montesquieu, and Jean-Jacques Rousseau, and key ideas from their written works.</t>
  </si>
  <si>
    <t>10.02b</t>
  </si>
  <si>
    <t>Challenging Tradition</t>
  </si>
  <si>
    <t>Individuals used Enlightenment ideals to challenge traditional beliefs and secure people’s rights in reform movements, such as women’s rights and abolition; some leaders may be considered enlightened despots.</t>
  </si>
  <si>
    <t>10.02b.1</t>
  </si>
  <si>
    <t>Gender &amp; Abolition</t>
  </si>
  <si>
    <t>Students will explore the influence of Enlightenment ideals on issues of gender and abolition by examining the ideas of individuals such as Mary Wollstonecraft and William Wilberforce.</t>
  </si>
  <si>
    <t>10.02b.2</t>
  </si>
  <si>
    <t>Enlightened Despots</t>
  </si>
  <si>
    <t>Students will examine enlightened despots including Catherine the Great.</t>
  </si>
  <si>
    <t>10.02c</t>
  </si>
  <si>
    <t>Political Revolutions</t>
  </si>
  <si>
    <t>Individuals and groups drew upon principles of the Enlightenment to spread rebellions and call for revolutions in France and the Americas.</t>
  </si>
  <si>
    <t>French Revolutions</t>
  </si>
  <si>
    <t>Students will examine evidence related to the preconditions of the French Revolution and the course of the revolution, noting the roles of Olympe de Gouges, Maximilien Robespierre, and Napoleon Bonaparte.</t>
  </si>
  <si>
    <t>Latin American Revolutions</t>
  </si>
  <si>
    <t>Students will examine the evidence related to the impacts of the French Revolution on resistance and revolutionary movements, noting the roles of Toussaint L'Ouverture and Simon Bolivar.</t>
  </si>
  <si>
    <t>10.02d</t>
  </si>
  <si>
    <t>Cultural Identity and Nationalism</t>
  </si>
  <si>
    <t>Cultural identity and nationalism inspired political movements that attempted to unify people into new nation-states and posed challenges to multinational states.</t>
  </si>
  <si>
    <t>Italy, Germany &amp; Ottoman, Austrian</t>
  </si>
  <si>
    <t>Students will investigate the role of cultural identity and nationalism in the unification of Italy and Germany and in the dissolution of the Ottoman and Austrian Empires.</t>
  </si>
  <si>
    <t>Industrial Revolution</t>
  </si>
  <si>
    <t>CAUSES AND EFFECTS OF THE INDUSTRIAL REVOLUTION</t>
  </si>
  <si>
    <t>Innovations in agriculture, production, and transportation led to the Industrial Revolution, which originated in Western Europe and spread over time to Japan and other regions. This led to major population shifts and transformed economic and social systems.</t>
  </si>
  <si>
    <t>10.03a</t>
  </si>
  <si>
    <t>Economic and Social Revolutions</t>
  </si>
  <si>
    <t>Agricultural innovations and technologies enabled people to alter their environment, allowing them to increase and support farming on a large scale.</t>
  </si>
  <si>
    <t>British Agricultural Revolution</t>
  </si>
  <si>
    <t>Students will examine the agricultural revolution in Great Britain.</t>
  </si>
  <si>
    <t>10.03b</t>
  </si>
  <si>
    <t>Economics &amp; Innovations</t>
  </si>
  <si>
    <t>Factors including new economic theories and practices, new sources of energy, and technological innovations influenced the development of new communication and transportation systems and new methods of production. These developments had numerous effects.</t>
  </si>
  <si>
    <t>10.03b.1</t>
  </si>
  <si>
    <t>Industrial Production &amp; Economic Practices</t>
  </si>
  <si>
    <t>Students will analyze the factors and conditions needed to industrialize and to expand industrial production, as well as shifts in economic practices.</t>
  </si>
  <si>
    <t>10.03b.2</t>
  </si>
  <si>
    <t>Wealth of Nations</t>
  </si>
  <si>
    <t>Students will examine the economic theory presented in The Wealth of Nations.</t>
  </si>
  <si>
    <t>Expansion, Nationalism, and Sectionalism (1800-1865)</t>
  </si>
  <si>
    <t>As the nation expanded, growing sectional tensions, especially over slavery, resulted in political and constitutional crises that culminated in the Civil War.</t>
  </si>
  <si>
    <t>10.03b.3</t>
  </si>
  <si>
    <t>Energy, Technology, Communication, &amp; Transportation</t>
  </si>
  <si>
    <t>Students will examine changes and innovations in energy, technology, communication, and transportation that enabled industrialization.</t>
  </si>
  <si>
    <t>10.03c</t>
  </si>
  <si>
    <t>Urbanization &amp; Social Impact</t>
  </si>
  <si>
    <t>Shifts in population from rural to urban areas led to social changes in class structure, family structure, and the daily lives of people.</t>
  </si>
  <si>
    <t>10.03c.1</t>
  </si>
  <si>
    <t>Comparing Victorian England &amp; Meiji Japan</t>
  </si>
  <si>
    <t>Students will investigate the social, political, and economic impacts of industrialization in Victorian England and Meiji Japan and compare and contrast them.</t>
  </si>
  <si>
    <t>10.03d</t>
  </si>
  <si>
    <t>Social &amp; Political Reform</t>
  </si>
  <si>
    <t>Social and political reform, as well as new ideologies, developed in response to industrial growth.</t>
  </si>
  <si>
    <t>10.03d.1</t>
  </si>
  <si>
    <t>Suffrage, Education/ Labor Reforms, &amp; Marxism</t>
  </si>
  <si>
    <t>Students will investigate suffrage, education, and labor reforms, as well as ideologies such as Marxism, that were intended to transform society.</t>
  </si>
  <si>
    <t>10.03d.2</t>
  </si>
  <si>
    <t>Irish Potato Famine</t>
  </si>
  <si>
    <t>Students will examine the Irish potato famine within the context of the British agricultural revolution and Industrial Revolution.</t>
  </si>
  <si>
    <t>Imperialism</t>
  </si>
  <si>
    <t>IMPERIALISM</t>
  </si>
  <si>
    <t>Western European interactions with Africa and Asia shifted from limited regional contacts along the coast to greater influence and connections throughout these regions. Competing industrialized states sought to control and transport raw materials and create new markets across the world.</t>
  </si>
  <si>
    <t>10.04a</t>
  </si>
  <si>
    <t>Europe/Japan &amp; Control of Resources</t>
  </si>
  <si>
    <t>European industrialized states and Japan sought to play a dominant role in the world and to control natural resources for political, economic, and cultural reasons.</t>
  </si>
  <si>
    <t>10.04a.1</t>
  </si>
  <si>
    <t>Perspectives on Imperialism</t>
  </si>
  <si>
    <t>Students will explore imperialism from a variety of perspectives such as those of missionaries, indigenous peoples, women, merchants/business people, and government officials.</t>
  </si>
  <si>
    <t>Control &amp; Spheres of Influence in Africa &amp; China</t>
  </si>
  <si>
    <t>Students will trace how imperial powers politically and economically controlled territories and people, including direct and indirect rule in Africa (South Africa, Congo, and one other territory), India, Indochina, and spheres of influence in China.</t>
  </si>
  <si>
    <t>10.04b</t>
  </si>
  <si>
    <t>Resistance &amp; Adaption to Colonial Rule</t>
  </si>
  <si>
    <t>Those who faced being colonized engaged in varying forms of resistance and adaptation to colonial rule with varying degrees of success.</t>
  </si>
  <si>
    <t>10.04b.1</t>
  </si>
  <si>
    <t>Resistance in Africa &amp; China</t>
  </si>
  <si>
    <t>Students will investigate one example of resistance in Africa (Zulu, Ethiopia, or Southern Egypt/Sudan) and one in China (Taiping Rebellion or Boxer Rebellion and the role of Empress Dowager CiXi).</t>
  </si>
  <si>
    <t>10.04b.2</t>
  </si>
  <si>
    <t>Japanese Reaction to Western Imperialism</t>
  </si>
  <si>
    <t>Students will investigate how Japan reacted to the threat of Western imperialism in Asia.</t>
  </si>
  <si>
    <t>Post-Civil War Era (1865-1900)</t>
  </si>
  <si>
    <t>Reconstruction resulted in political reunion and expanded constitutional rights. However, those rights were undermined, and issues of inequality continued for African Americans, women, Native Americans, Mexican Americans, and Chinese immigrants.</t>
  </si>
  <si>
    <t>10.04c</t>
  </si>
  <si>
    <t>International Conflicts over Control (incl. Berlin Conference)</t>
  </si>
  <si>
    <t>International conflicts developed as imperial powers competed for control. Claims over land often resulted in borders being shifted on political maps, often with little regard for traditional cultures and commerce (e.g., Berlin Conference).</t>
  </si>
  <si>
    <t>10.04c.1</t>
  </si>
  <si>
    <t>Comparing Geography of Africa (c. 1800-1914)</t>
  </si>
  <si>
    <t>Students will compare and contrast maps of Africa from ca. 1800 and ca. 1914, noting the changes and continuities of ethnic groups and regions, African states, and European claims.</t>
  </si>
  <si>
    <t>World Wars (1914-1945)</t>
  </si>
  <si>
    <t>UNRESOLVED GLOBAL CONFLICT (1914–1945)</t>
  </si>
  <si>
    <t>World War I and World War II led to geopolitical changes, human and environmental devastation, and attempts to bring stability and peace.</t>
  </si>
  <si>
    <t>10.05a</t>
  </si>
  <si>
    <t>Nationalism, Imperialism, &amp; Militarism</t>
  </si>
  <si>
    <t>International competition, fueled by nationalism, imperialism, and militarism along with shifts in the balance of power and alliances, led to world wars.</t>
  </si>
  <si>
    <t>Comparing Cause &amp; Effects of the World Wars</t>
  </si>
  <si>
    <t>Students will compare and contrast long- and short-term causes and effects of World War I and World War II.</t>
  </si>
  <si>
    <t>10.05b</t>
  </si>
  <si>
    <t>Technological Development</t>
  </si>
  <si>
    <t>Technological developments increased the extent of damage and casualties in both World War I and World War II.</t>
  </si>
  <si>
    <t>Technological Development &amp; Devastation</t>
  </si>
  <si>
    <t>Students will compare and contrast the technologies utilized in both World War I and World War II, noting the human and environmental devastation.</t>
  </si>
  <si>
    <t>10.05c</t>
  </si>
  <si>
    <t>Total War &amp; International Efforts for Peace</t>
  </si>
  <si>
    <t>The devastation of the world wars and use of total war led people to explore ways to prevent future world wars.</t>
  </si>
  <si>
    <t>10.05c.1</t>
  </si>
  <si>
    <t>Fourteen Points, the Treaty of Versailles, League of Nations, &amp; United Nations</t>
  </si>
  <si>
    <t>Students will examine international efforts to work together to build stability and peace, including Wilson’s Fourteen Points, the Treaty of Versailles, the League of Nations, and the United Nations.</t>
  </si>
  <si>
    <t>10.05d</t>
  </si>
  <si>
    <t>Interwar Nationalism &amp; Ideology</t>
  </si>
  <si>
    <t>Nationalism and ideology played a significant role in shaping the period between the world wars.</t>
  </si>
  <si>
    <t>10.05d.1</t>
  </si>
  <si>
    <t>Russian Revolution, Soviet Union, Lenin &amp; Stalin</t>
  </si>
  <si>
    <t>Students will examine the Russian Revolution and the development of Soviet ideology and nationalism under Lenin and Stalin.</t>
  </si>
  <si>
    <t>10.05d.2</t>
  </si>
  <si>
    <t>Nationalism, the Nazi Party, &amp; Hitler in Germany</t>
  </si>
  <si>
    <t>Students will examine the role of nationalism and the development of the National Socialist state under Hitler in Germany.</t>
  </si>
  <si>
    <t>10.05d.3</t>
  </si>
  <si>
    <t>Nationalism &amp; Militarism in Japan</t>
  </si>
  <si>
    <t>Students will examine the role of nationalism and militarism in Japan.</t>
  </si>
  <si>
    <t>Industrialization and Urbanization (1870-1920)</t>
  </si>
  <si>
    <t>The United States was transformed from an agrarian to an increasingly industrial and urbanized society. Although this transformation created new economic opportunities, it also created societal problems that were addressed by a variety of reform efforts.</t>
  </si>
  <si>
    <t>10.05d.4</t>
  </si>
  <si>
    <t>Great Depression &amp; Totalitarian Dictators</t>
  </si>
  <si>
    <t>Students will investigate the causes of the Great Depression and its influence on the rise of totalitarian dictators and determine the common characteristics of these dictators.</t>
  </si>
  <si>
    <t>10.05e</t>
  </si>
  <si>
    <t>Atrocities</t>
  </si>
  <si>
    <t>Human atrocities and mass murders occurred in this time period.</t>
  </si>
  <si>
    <t>Armenian Genocide, Ukranian Holodomor, &amp; the Holocaust</t>
  </si>
  <si>
    <t>Students will examine the atrocities against the Armenians; examine the Ukrainian Holodomor, and examine the Holocaust.</t>
  </si>
  <si>
    <t>Cold War (1945-1991)</t>
  </si>
  <si>
    <t>UNRESOLVED GLOBAL CONFLICT (1945–1991: THE COLD WAR)</t>
  </si>
  <si>
    <t>The second half of the 20th century was shaped by the Cold War, a legacy of World War II. The United States and the Soviet Union emerged as global superpowers engaged in ideological, political, economic, and military competition.</t>
  </si>
  <si>
    <t>10.06a</t>
  </si>
  <si>
    <t>Cold War Balance of Power (1945-1991 C.E.)</t>
  </si>
  <si>
    <t>The Cold War originated from tensions near the end of World War II as plans for peace were made and implemented. The Cold War was characterized by competition for power and ideological differences between the United States and the Soviet Union.</t>
  </si>
  <si>
    <t>10.06a.1</t>
  </si>
  <si>
    <t>Conceptions of Peace vs the Reality of Post-War Europe</t>
  </si>
  <si>
    <t>Students will compare and contrast how peace was conceived at Yalta and Potsdam with what happened in Europe in the four years after World War II (i.e., Soviet occupation of Eastern Europe, Truman Doctrine, Berlin blockade, NATO).</t>
  </si>
  <si>
    <t>10.06b</t>
  </si>
  <si>
    <t>Cold War Confrontations and Attempts at Peace</t>
  </si>
  <si>
    <t>The Cold War was a period of confrontations and attempts at peaceful coexistence.</t>
  </si>
  <si>
    <t>Cuba, Vietnam, Afghanistan</t>
  </si>
  <si>
    <t>Students will investigate the efforts to expand and contain communism in Cuba, Vietnam, and Afghanistan from multiple perspectives.</t>
  </si>
  <si>
    <t>10.06b.2</t>
  </si>
  <si>
    <t>Military Alliances, Nuclear Proliferation, &amp; the Military-Industrial Complex</t>
  </si>
  <si>
    <t>Students will examine the new military alliances, nuclear proliferation, and the rise of the military-industrial complex.</t>
  </si>
  <si>
    <t>10.06b.3</t>
  </si>
  <si>
    <t>Nonalignment</t>
  </si>
  <si>
    <t>Students will examine the reasons countries such as Egypt and India chose nonalignment.</t>
  </si>
  <si>
    <t>10.06b.4</t>
  </si>
  <si>
    <t>Détente Perspectives</t>
  </si>
  <si>
    <t>Students will explore the era of détente from both American and Soviet perspectives.</t>
  </si>
  <si>
    <t>10.06c</t>
  </si>
  <si>
    <t>Collapse of Communism and the Breakup of the Soviet Union</t>
  </si>
  <si>
    <t>The end of the Cold War and the collapse of the communist bloc in Europe had a global impact.</t>
  </si>
  <si>
    <t>Rise of American Power (1890-1920)</t>
  </si>
  <si>
    <t>Numerous factors contributed to the rise of the United States as a world power. Debates over the United States’ role in world affairs increased in response to overseas expansion and involvement in World War I. United States participation in the war had important effects on American society.</t>
  </si>
  <si>
    <t>Glasnost &amp; Perestroika Reforms</t>
  </si>
  <si>
    <t>Students will investigate the political reforms of glasnost and economic reforms of perestroika.</t>
  </si>
  <si>
    <t>Impact of Reform on  the Soviet Union, Bloc, and the World</t>
  </si>
  <si>
    <t>Students will examine the impacts of those reforms within the Soviet Union, on the Soviet communist bloc, and in the world.</t>
  </si>
  <si>
    <t>Decolonization &amp; Nationalism (1900's)</t>
  </si>
  <si>
    <t>DECOLONIZATION AND NATIONALISM (1900–2000)</t>
  </si>
  <si>
    <t>Nationalist and decolonization movements employed a variety of methods, including nonviolent resistance and armed struggle. Tensions and conflicts often continued after independence as new challenges arose.</t>
  </si>
  <si>
    <t>10.07a</t>
  </si>
  <si>
    <t>India and Indochina Independence (1931 – 1975 C.E.)</t>
  </si>
  <si>
    <t>Independence movements in India and Indochina developed in response to European control.</t>
  </si>
  <si>
    <t>10.07a.1</t>
  </si>
  <si>
    <t>Gandhi’s Nonviolent Nationalist Movement, the Muslim League, &amp; Partition</t>
  </si>
  <si>
    <t>Students will explore Gandhi’s nonviolent nationalist movement and nationalist efforts led by the Muslim League aimed at the masses that resulted in a British-partitioned subcontinent.</t>
  </si>
  <si>
    <t>Comparing Gandhi &amp; Ho Chi Minh</t>
  </si>
  <si>
    <t>Students will compare and contrast the ideologies and methodologies of Gandhi and Ho Chi Minh as nationalist leaders.</t>
  </si>
  <si>
    <t>10.07b</t>
  </si>
  <si>
    <t>African Independence Movements (1884 – 1994 C.E.)</t>
  </si>
  <si>
    <t>African independence movements gained strength as European states struggled economically after World War II. European efforts to limit African nationalist movements were often unsuccessful.</t>
  </si>
  <si>
    <t>10.07b.1</t>
  </si>
  <si>
    <t>Ghana, Algeria, and/or Kenya</t>
  </si>
  <si>
    <t>Students will explore at least two of these three African independence movements: Ghana, Algeria, Kenya.</t>
  </si>
  <si>
    <t>10.07c</t>
  </si>
  <si>
    <t>Conflicts and Change in Middle East</t>
  </si>
  <si>
    <t>Nationalism in the Middle East was often influenced by factors such as religious beliefs and secularism.</t>
  </si>
  <si>
    <t>10.07c.1</t>
  </si>
  <si>
    <t>Zionism, Mandates, &amp; Arab Nationalism</t>
  </si>
  <si>
    <t>Students will investigate Zionism, the mandates created at the end of World War I, and Arab nationalism.</t>
  </si>
  <si>
    <t>10.07c.2</t>
  </si>
  <si>
    <t>Arab-Israeli Conflict</t>
  </si>
  <si>
    <t>Students will examine the creation of the State of Israel and the Arab-Israeli conflict.</t>
  </si>
  <si>
    <t>10.07d</t>
  </si>
  <si>
    <t>Chinese Communist Revolution</t>
  </si>
  <si>
    <t>Nationalism in China influenced the removal of the imperial regime, led to numerous conflicts, and resulted in the formation of the communist People’s Republic of China.</t>
  </si>
  <si>
    <t>10.07d.1</t>
  </si>
  <si>
    <t>Chinese Civil War, Communist China, &amp; Nationalist Taiwan</t>
  </si>
  <si>
    <t>Students will trace the Chinese Civil War, including the role of warlords, nationalists, communists, and the world wars that resulted in the division of China into a communist-run People’s Republic of China and a nationalist-run Taiwan.</t>
  </si>
  <si>
    <t>10.07d.2</t>
  </si>
  <si>
    <t>Comparing Mao Zedong &amp; Deng Xiaoping</t>
  </si>
  <si>
    <t>Students will investigate political, economic, and social policies under Mao Zedong and Deng Xiaoping and compare and contrast these policies.</t>
  </si>
  <si>
    <t>Prosperity and Depression (1920-1939)</t>
  </si>
  <si>
    <t>The 1920s and 1930s were a time of cultural and economic changes in the nation. During this period, the nation faced significant domestic challenges, including the Great Depression</t>
  </si>
  <si>
    <t>Tradition vs Modernization</t>
  </si>
  <si>
    <t>TENSIONS BETWEEN TRADITIONAL CULTURES AND MODERNIZATION</t>
  </si>
  <si>
    <t>Tensions exist between traditional cultures and agents of modernization. Reactions for and against modernization depend on perspective and context.</t>
  </si>
  <si>
    <t>10.08a</t>
  </si>
  <si>
    <t>Tensions Between Traditional Cultures and Modernization</t>
  </si>
  <si>
    <t>Cultures and countries experience and view modernization differently. For some, it is a change from a traditional rural, agrarian condition to a secular, urban, industrial condition. Some see modernization as a potential threat and others as an opportunity to be met.</t>
  </si>
  <si>
    <t>10.08a.1</t>
  </si>
  <si>
    <t>Changes  in Social Roles &amp; Institutions</t>
  </si>
  <si>
    <t>Students will investigate the extent to which urbanization and industrialization have modified the roles of social institutions such as family, religion, education, and government by examining one case study in each of these regions: Africa (e.g., Zimbabwe, Kenya, Nigeria, Sierra Leone), Latin America (e.g., Brazil, Argentina, Chile, Mexico), and Asia (e.g., China, India, Indonesia, South Korea).</t>
  </si>
  <si>
    <t>10.08b</t>
  </si>
  <si>
    <t>Modernization and Traditional Culture</t>
  </si>
  <si>
    <t>Tensions between agents of modernization and traditional cultures have resulted in ongoing debates within affected societies regarding social norms, gender roles, and the role of authorities and institutions.</t>
  </si>
  <si>
    <t>Comparing Turkey (Kemal Atatürk) &amp; Iran (Pahlavis &amp; the Ayatollahs)</t>
  </si>
  <si>
    <t>Students will investigate, compare, and contrast tensions between modernization and traditional culture in Turkey under the rule of Kemal Atatürk and in Iran under the Pahlavis and the Ayatollahs.</t>
  </si>
  <si>
    <t>10.08b.2</t>
  </si>
  <si>
    <t>Advancements in Communications &amp; Transportation Effect on Authority</t>
  </si>
  <si>
    <t>Students will explore how changes in technology, such as communication and transportation, have affected interactions between people and those in authority (e.g., efforts to affect change in government policy, engage people in the political process including use of social media, control access to information, and use terrorism as a tactic).</t>
  </si>
  <si>
    <t>Globalization &amp; Environment</t>
  </si>
  <si>
    <t>GLOBALIZATION AND A CHANGING GLOBAL ENVIRONMENT (1990–PRESENT)</t>
  </si>
  <si>
    <t>Technological changes have resulted in a more interconnected world, affecting economic and political relations and in some cases leading to conflict and in others to efforts to cooperate. Globalization and population pressures have led to strains on the environment.</t>
  </si>
  <si>
    <t>10.09a</t>
  </si>
  <si>
    <t>Globalization and an Increasingly Interconnected World</t>
  </si>
  <si>
    <t>Technological changes in communication and transportation systems allow for instantaneous interconnections and new networks of exchange between people and places that have lessened the effects of time and distance.</t>
  </si>
  <si>
    <t>10.09a.1</t>
  </si>
  <si>
    <t>Information &amp; Business Changes</t>
  </si>
  <si>
    <t>Students will explore how information is accessed, exchanged, and controlled and how business is conducted in light of changing technology.</t>
  </si>
  <si>
    <t>10.09a.2</t>
  </si>
  <si>
    <t>Infectious Diseases Response</t>
  </si>
  <si>
    <t>Students will investigate the causes and effects of, and responses to, one infectious disease (e.g., malaria, HIV/AIDS).</t>
  </si>
  <si>
    <t>10.09b</t>
  </si>
  <si>
    <t>Globalization: a Contentious Concept</t>
  </si>
  <si>
    <t>Globalization is contentious, supported by some and criticized by others.</t>
  </si>
  <si>
    <t>10.09b.1</t>
  </si>
  <si>
    <t>Globalization Arguments</t>
  </si>
  <si>
    <t>Students will compare and contrast arguments supporting and criticizing globalization by examining concerns including...</t>
  </si>
  <si>
    <t>10.09c</t>
  </si>
  <si>
    <t>Environment and Sustainability</t>
  </si>
  <si>
    <t>Population pressures, industrialization, and urbanization have increased demands for limited natural resources and food resources, often straining the environment.</t>
  </si>
  <si>
    <t>10.09c.1</t>
  </si>
  <si>
    <t>Population Growth &amp; Distribution</t>
  </si>
  <si>
    <t>Students will examine how the world’s population is growing exponentially for numerous reasons and how it is not evenly distributed.</t>
  </si>
  <si>
    <t>10.09c.2</t>
  </si>
  <si>
    <t>Industrial Agriculture</t>
  </si>
  <si>
    <t>Students will explore efforts to increase and intensify food production through industrial agriculture (e.g., Green Revolutions, use of fertilizers and pesticides, irrigation, and genetic modifications).</t>
  </si>
  <si>
    <t>World War II (1935-1945)</t>
  </si>
  <si>
    <t>The participation of the United States in World War II was a transformative event for the nation and its role in the world.</t>
  </si>
  <si>
    <t>Environmental Strains</t>
  </si>
  <si>
    <t>Students will examine strains on the environment, such as threats to wildlife and degradation of the physical environment (i.e., desertification, deforestation and pollution) due to population growth, industrialization, and urbanization.</t>
  </si>
  <si>
    <t>10.09d</t>
  </si>
  <si>
    <t>International Possibilities and Conflict</t>
  </si>
  <si>
    <t>Globalization has created new possibilities for international cooperation and for international conflict.</t>
  </si>
  <si>
    <t>Attempts at Cooperation with the UN, NATO, EU, &amp; NGOs</t>
  </si>
  <si>
    <t>Students will examine the roles of the United Nations (UN), North Atlantic Treaty Organization (NATO), the European Union, nongovernmental organizations (NGOs), and efforts to build coalitions to promote international cooperation to address conflicts and issues. They will also examine the extent to which these efforts were successful.</t>
  </si>
  <si>
    <t>10.09d.2</t>
  </si>
  <si>
    <t>Organizations &amp; International Action against Environmental Issues</t>
  </si>
  <si>
    <t>Students will investigate one organization and one international action that sought to provide solutions to environmental issues, including the Kyoto Protocol.</t>
  </si>
  <si>
    <t>10.09d.3</t>
  </si>
  <si>
    <t>Threats to Global Security</t>
  </si>
  <si>
    <t>Students will examine threats to global security, such as international trade in weapons (e.g., chemical, biological, and nuclear), nuclear proliferation, cyber war, and terrorism, including a discussion of the events of September 11, 2001.</t>
  </si>
  <si>
    <t>Human Rights Violations</t>
  </si>
  <si>
    <t>HUMAN RIGHTS VIOLATIONS</t>
  </si>
  <si>
    <t>Since the Holocaust, human rights violations have generated worldwide attention and concern. The United Nations Universal Declaration of Human Rights has provided a set of principles to guide efforts to protect threatened groups Page 27 Grades 9-12 and has served as a lens through which historical occurrences of oppression can be evaluated.</t>
  </si>
  <si>
    <t>10.10a</t>
  </si>
  <si>
    <t>Human Rights</t>
  </si>
  <si>
    <t>Following World War II, the United Nations Universal Declaration of Human Rights (1948) was written. This provides a set of principles to guide efforts to protect threatened groups.</t>
  </si>
  <si>
    <t>10.10a.1</t>
  </si>
  <si>
    <t>Impact of the Holocaust, Nuremberg Trials, &amp; Tokyo Trials</t>
  </si>
  <si>
    <t>Students will investigate and analyze the historical context of the Holocaust, Nuremberg Trials, and Tokyo Trials and their impacts on the UN Universal Declaration of Human Rights.</t>
  </si>
  <si>
    <t>10.10a.2</t>
  </si>
  <si>
    <t>The United Nations Universal Declaration of Human Rights (1948)</t>
  </si>
  <si>
    <t>Students will examine the articles contained in the UN Universal Declaration of Human Rights.</t>
  </si>
  <si>
    <t>10.10b</t>
  </si>
  <si>
    <t>Response to Atrocities</t>
  </si>
  <si>
    <t>Governments, groups, and individuals have responded in various ways to the human atrocities committed in the 20th and 21st centuries.</t>
  </si>
  <si>
    <t>10.10b.1</t>
  </si>
  <si>
    <t>Treaties &amp; International Courts</t>
  </si>
  <si>
    <t>Students will explore multinational treaties and international court systems that bind countries to adhere to international human rights.</t>
  </si>
  <si>
    <t>10.10b.2</t>
  </si>
  <si>
    <t>International Organization for Peace, Stability, Prosperity, &amp; Protection from Violence</t>
  </si>
  <si>
    <t>Students will explore international organizations that work to maintain peace, stability, and economic prosperity, and to protect nations and people from oppressive governments and political violence.</t>
  </si>
  <si>
    <t>10.10c</t>
  </si>
  <si>
    <t>Case Studies of Human Rights Violations</t>
  </si>
  <si>
    <t>Historical and contemporary violations of human rights can be evaluated, using the principles and articles established within the UN Universal Declaration of Human Rights.</t>
  </si>
  <si>
    <t>10.10c.1</t>
  </si>
  <si>
    <t>Atrocities of Augusto Pinochet, Deng Xiaoping, &amp; Slobodan Milosevic</t>
  </si>
  <si>
    <t>Students will examine the atrocities committed under Augusto Pinochet, Deng Xiaoping, and Slobodan Milosevic in light of the principles and articles within the UN Universal Declaration of Human Rights.</t>
  </si>
  <si>
    <t>Cold War (1945-1990)</t>
  </si>
  <si>
    <t>In the period following World War II, the United States entered into an extended era of international conflict called the Cold War which influenced foreign and domestic policy for more than 40 years.</t>
  </si>
  <si>
    <t>10.10c.2</t>
  </si>
  <si>
    <t>Perpetrators &amp; Bystanders in Cambodia, Rwanda, &amp; Darfur</t>
  </si>
  <si>
    <t>Students will examine and analyze the roles of perpetrators and bystanders in human rights violations in Cambodia, Rwanda, and Darfur in light of the principles and articles within the UN Universal Declaration of Human Rights.</t>
  </si>
  <si>
    <t>10.10c.3</t>
  </si>
  <si>
    <t>Anti-Apartheid &amp; Nelson Mandela</t>
  </si>
  <si>
    <t>Students will examine the policy of apartheid in South Africa and the growth of the anti-apartheid movements, exploring Nelson Mandela’s role in these movements and in the post-apartheid period.</t>
  </si>
  <si>
    <t>10.10c.4</t>
  </si>
  <si>
    <t>Efforts to Address Human Rights Violations</t>
  </si>
  <si>
    <t>Students will explore efforts to address human rights violations by individuals and groups, including the efforts of Mother Teresa, Aung San Suu Kyi, and the Mothers of the Plaza de Mayo.</t>
  </si>
  <si>
    <t>11.09a.3</t>
  </si>
  <si>
    <t>McCarthyism</t>
  </si>
  <si>
    <t>After World War II, ideological differences led to political tensions between the United States and the Soviet Union. In an attempt to halt the spread of Soviet influence, the United States pursued a policy of containment.</t>
  </si>
  <si>
    <t>Students will examine domestic concerns about the spread of communism and the rise of McCarthyism.</t>
  </si>
  <si>
    <t>11.09a.4</t>
  </si>
  <si>
    <t>Korean War</t>
  </si>
  <si>
    <t>Students will examine the consequences of Truman’s decision to fight a limited war in defense of South Korea.</t>
  </si>
  <si>
    <t>11.09a.5</t>
  </si>
  <si>
    <t>Vietnam War</t>
  </si>
  <si>
    <t>Students will trace the United States involvement in Vietnam, including President Johnson’s decision to escalate the fighting in Vietnam.</t>
  </si>
  <si>
    <t>11.09a.6</t>
  </si>
  <si>
    <t>Antiwar Movement &amp; Watergate</t>
  </si>
  <si>
    <t>Students will examine reasons for declining public confidence in government, including America’s involvement in Vietnam, student protests, the growing antiwar movement, and the Watergate affair.</t>
  </si>
  <si>
    <t>11.09a.7</t>
  </si>
  <si>
    <t>War Powers Act</t>
  </si>
  <si>
    <t>Students will examine the congressional effort to limit presidential power through the War Powers Act.</t>
  </si>
  <si>
    <t>11.09b</t>
  </si>
  <si>
    <t>Nuclear Arms Race</t>
  </si>
  <si>
    <t>The United States and the Soviet Union engaged in a nuclear arms race that eventually led to agreements that limited the arms buildup and improved United States-Soviet relations.</t>
  </si>
  <si>
    <t>11.09b.1</t>
  </si>
  <si>
    <t>Students will trace the acceleration of the nuclear arms race, beginning with the detonation of an atomic bomb by the Soviet Union in 1949, through 1969, including the effects of Sputnik and the Space Race.</t>
  </si>
  <si>
    <t>11.09b.2</t>
  </si>
  <si>
    <t>Cuban Missile Crisis &amp; the Nuclear Test Ban Treaty</t>
  </si>
  <si>
    <t>Students will examine Soviet motives for placing missiles in Cuba and the impact of the Cuban missile crisis on Soviet-American relations, leading to the adoption of the Nuclear Test Ban Treaty.</t>
  </si>
  <si>
    <t>11.09b.3</t>
  </si>
  <si>
    <t>Détente</t>
  </si>
  <si>
    <t>Students will examine the policy of détente and its effect on the nuclear arms race.</t>
  </si>
  <si>
    <t>11.09c</t>
  </si>
  <si>
    <t>Foreign Policy</t>
  </si>
  <si>
    <t>American strategic interests in the Middle East grew with the Cold War, the creation of the State of Israel, and the increased United States dependence on Middle Eastern oil. The continuing nature of the Arab-Israeli dispute has helped to define the contours of American policy in the Middle East.</t>
  </si>
  <si>
    <t>11.09c.1</t>
  </si>
  <si>
    <t>Israel &amp; the Camp David Accords</t>
  </si>
  <si>
    <t>Students will examine United States foreign policy toward the Middle East, including the recognition of and support for the State of Israel, the Camp David Accords, and the interaction with radical groups in the region.</t>
  </si>
  <si>
    <t>11.09d</t>
  </si>
  <si>
    <t>Cold War Ends</t>
  </si>
  <si>
    <t>A combination of factors contributed to the end of the Cold War, including American policies and Soviet economic and political problems that led to the loss of Soviet control over Eastern Europe</t>
  </si>
  <si>
    <t>11.09d.1</t>
  </si>
  <si>
    <t>Berlin Wall &amp; the Soviet Loss of Control</t>
  </si>
  <si>
    <t>Students will trace factors that led to the fall of the Berlin Wall and the end of the Cold War, including American policies, Soviet economic problems, Soviet efforts at reform, and the loss of Soviet control over Eastern Europe.</t>
  </si>
  <si>
    <t>Social and Economic Change/ Domestic Issues (1945-present)</t>
  </si>
  <si>
    <t>Racial, gender, and socioeconomic inequalities were addressed by individuals, groups, and organizations. Varying political philosophies prompted debates over the role of the federal government in regulating the economy and providing a social safety net.</t>
  </si>
  <si>
    <t>11.10a</t>
  </si>
  <si>
    <t>Civil Rights Movement</t>
  </si>
  <si>
    <t>After World War II, long-term demands for equality by African Americans led to the civil rights movement. The efforts of individuals, groups, and institutions helped to redefine African American civil rights, though numerous issues remain unresolved.</t>
  </si>
  <si>
    <t>11.10a.1</t>
  </si>
  <si>
    <t>Important Civil Rights Individuals</t>
  </si>
  <si>
    <t>Students will examine the roles and impact of individuals such as Rev. Martin Luther King Jr., Stokely Carmichael, Fannie Lou Hamer, and Malcolm X on the movement and their perspectives on change.</t>
  </si>
  <si>
    <t>11.10a.2</t>
  </si>
  <si>
    <t>Civil Rights Groups &amp; Tactics</t>
  </si>
  <si>
    <t>Students will examine the role of groups such as the National Association for the Advancement of Colored People (NAACP), Southern Christian Leadership Conference (SCLC), and Student Non-Violent Coordinating Committee (SNCC) in the movement, their goals and strategies, and major contributions.</t>
  </si>
  <si>
    <t>11.10a.3</t>
  </si>
  <si>
    <t>Civil Rights Judicial &amp; Legislative Achievements</t>
  </si>
  <si>
    <t>Students will examine judicial actions and legislative achievements during the movement, such as Brown v. Board of Education of Topeka (1954), the Civil Rights Act of 1964, Heart of Atlanta Motel, Inc. v. United States (1964) and the Voting Rights Act of 1965.</t>
  </si>
  <si>
    <t>11.10a.4</t>
  </si>
  <si>
    <t>Civil Rights Protests &amp; Civil Resistance</t>
  </si>
  <si>
    <t>Students will analyze the significance of key events in the movement, including the Montgomery bus boycott, federal intervention at Little Rock, Arkansas; the Birmingham protest; and the March on Washington.</t>
  </si>
  <si>
    <t>11.10b</t>
  </si>
  <si>
    <t>Individuals, Diverse Groups, and Organizations That Have Changed America</t>
  </si>
  <si>
    <t>Individuals, diverse groups, and organizations have sought to bring about change in American society through a variety of methods.</t>
  </si>
  <si>
    <t>11.10b.1</t>
  </si>
  <si>
    <t>Individuals &amp; Groups Fight for Equality</t>
  </si>
  <si>
    <t>Students will trace the following efforts in terms of issues/goals, key individuals and groups, and successes/limitations: 
Modern women’s movement (e.g., The Feminine Mystique [1963], National Organization for Women, Equal Pay Act and Title IX, Roe v.Wade) Native Americans (e.g., American Indian Movement, Russell Means, native identity, sovereignty, and land claims) Brown Power (Chicano) movement (e.g., Cesar Chavez, United Farm Workers) People with disabilities (e.g. Individuals with Disabilities Education Act [1975], Americans with Disabilities Act [1990] ) Rights of the accused (e.g., Mapp v. Ohio [1961], Gideon v. Wainwright [1963], Miranda v. Arizona [1966]) Immigration (e.g., Immigration Act of 1965, Immigration Act of 1986, continuing debates over immigration) Page 43 Grades 9-12 Gay Rights and the LGBT movement (e.g., Stonewall Inn riots [1969], efforts for equal legal rights) Environment (e.g., Silent Spring [1962], Clean Air Act of 1970, Clean Water Act of 1972, Endangered Species Act of 1973, Environmental Protection Agency [1970], Reagan’s policy) Student rights (e.g., Engel v. Vitale [1962], Tinker v. Des Moines School District [1969], New Jersey v. TLO [1985])</t>
  </si>
  <si>
    <t>11.10b.2</t>
  </si>
  <si>
    <t>Civil Rights Case Studies</t>
  </si>
  <si>
    <t>Students will thoroughly investigate at least one of the efforts above.</t>
  </si>
  <si>
    <t>11.10c</t>
  </si>
  <si>
    <t>Domestic Policies and Problems and the Role of Government</t>
  </si>
  <si>
    <t>Varying political philosophies prompted debates over the role of the federal government in regulating the economy and providing a social safety net.</t>
  </si>
  <si>
    <t>11.10c.1</t>
  </si>
  <si>
    <t>Great Society vs Reaganomics</t>
  </si>
  <si>
    <t>Students will compare and contrast the economic policies of President Johnson (Great Society) and President Reagan (Reaganomics) regarding the size and role of the federal government.</t>
  </si>
  <si>
    <t>11.10c.2</t>
  </si>
  <si>
    <t>Great Recession</t>
  </si>
  <si>
    <t>Students will examine the causes of the financial panic of 2008 and the federal government's response to the Great Recession.</t>
  </si>
  <si>
    <t>11.10c.3</t>
  </si>
  <si>
    <t>Social Safety Nets</t>
  </si>
  <si>
    <t>Students will examine the debates over the role of the government in providing a social safety net, including the stability of the Social Security Trust Fund and Medicare Trust Fund, as well as changes under the Affordable Care Act.</t>
  </si>
  <si>
    <t>United States in a Changing World (1990-present)</t>
  </si>
  <si>
    <t>The United States’ political and economic status in the world has faced external and internal challenges related to international conflicts, economic competition, and globalization. Throughout this time period, the nation has continued to debate and define its role in the world.</t>
  </si>
  <si>
    <t>11.11a</t>
  </si>
  <si>
    <t>United States: Political and Economic Status</t>
  </si>
  <si>
    <t>The United States created a coalition to defeat Iraq in the Persian Gulf War (1991), but was reluctant to commit American military power through the rest of the decade.</t>
  </si>
  <si>
    <t>11.11a.1</t>
  </si>
  <si>
    <t>Persian Gulf War</t>
  </si>
  <si>
    <t>Students will examine the decision of President George H. W. Bush to oppose Iraq’s invasion of Kuwait. Students will evaluate the positive and negative consequences of the Persian Gulf War.</t>
  </si>
  <si>
    <t>11.11a.2</t>
  </si>
  <si>
    <t>Reluctance to Defend Human Rights</t>
  </si>
  <si>
    <t>Students will trace United States foreign policy regarding Bosnia, Rwanda, and Kosovo, exploring the tension between defending human rights and the reluctance to intervene stemming from the Vietnam syndrome.</t>
  </si>
  <si>
    <t>11.11b</t>
  </si>
  <si>
    <t>War on Terror</t>
  </si>
  <si>
    <t>In response to the terrorist attacks of September 11, 2001, the United States launched the War on Terror, which involved controversial foreign and domestic policies.</t>
  </si>
  <si>
    <t>11.11b.1</t>
  </si>
  <si>
    <t>9-11, War on Terror, &amp; PATRIOT Act</t>
  </si>
  <si>
    <t>Students will trace the reactions to the September 11, 2001, attacks, including responses of the American public, the authorization of the War on Terror, the invasion of Afghanistan, and the passage of the USA PATRIOT Act.</t>
  </si>
  <si>
    <t>11.11b.2</t>
  </si>
  <si>
    <t>Invasion of Iraq</t>
  </si>
  <si>
    <t>Students will examine the decision to invade Iraq, which was based on allegations concerning weapons of mass destruction, and trace the course of the war.</t>
  </si>
  <si>
    <t>11.11b.3</t>
  </si>
  <si>
    <t>Violation of Civil Liberties &amp; Surveillance</t>
  </si>
  <si>
    <t>Students will evaluate the USA PATRIOT Act, including constitutional issues raised about the violation of civil liberties by the federal government’s electronic surveillance programs.</t>
  </si>
  <si>
    <t>11.11c</t>
  </si>
  <si>
    <t>Globalization and Advances in Technology</t>
  </si>
  <si>
    <t>Globalization and advances in technology have affected the United States economy and society.</t>
  </si>
  <si>
    <t>11.11c.1</t>
  </si>
  <si>
    <t>Globalization &amp; the US Economy</t>
  </si>
  <si>
    <t>Students will examine the positive and negative consequences of globalization in relation to the United States economy.</t>
  </si>
  <si>
    <t>11.11c.2</t>
  </si>
  <si>
    <t>Multinational Corporations</t>
  </si>
  <si>
    <t>Students will investigate the role of multinational corporations and their influence on both the United States economy and on other countries around the world.</t>
  </si>
  <si>
    <t>11.11c.3</t>
  </si>
  <si>
    <t>US vs China Rivalry</t>
  </si>
  <si>
    <t>Students will examine the economic relationship and the strategic rivalry between the United States and China.</t>
  </si>
  <si>
    <t>Number</t>
  </si>
  <si>
    <t>Title</t>
  </si>
  <si>
    <t>Details</t>
  </si>
  <si>
    <t>Lookup Key</t>
  </si>
  <si>
    <t>Best Use</t>
  </si>
  <si>
    <t>Students are given a stimulus and asked to evaluate and classify (identify) best use.</t>
  </si>
  <si>
    <t>POV</t>
  </si>
  <si>
    <t>Students are given a stimulus and asked to identify point of view, purpose, context, bias, format of source, location of source in time and/or place, and/or intended audience of sources using background knowledge.</t>
  </si>
  <si>
    <t>Claim Validity (With Outside Information)</t>
  </si>
  <si>
    <t>Students are given a stimulus and asked to identify support for a claim found in the stimulus (bound in the same timeframe/event/space). It must require students to draw on their knowledge rather than on straight comprehension of text.</t>
  </si>
  <si>
    <t>Claim Validity (Without Outside Information)</t>
  </si>
  <si>
    <t>Students are given a stimulus and asked to select a plausible claim that logically follows from evidence presented.</t>
  </si>
  <si>
    <t>Turning Point</t>
  </si>
  <si>
    <t>Students are given a stimulus and asked to identify the significance of a turning point in history.</t>
  </si>
  <si>
    <t>Change Over Time</t>
  </si>
  <si>
    <t>Students are given a stimulus and asked to identify significance of an event, action, idea, or development as part of change or part of continuity in history.</t>
  </si>
  <si>
    <t>Cause</t>
  </si>
  <si>
    <t>Students are given a stimulus and asked to identify a central cause of the described phenomenon.</t>
  </si>
  <si>
    <t>Effect</t>
  </si>
  <si>
    <t>Students are given a stimulus and asked to identify a central effect of the described phenomenon.</t>
  </si>
  <si>
    <t>Impact of Setting</t>
  </si>
  <si>
    <t>Students are given a stimulus and asked to identify the impact of time and place on an issue or event linked to that stimulus.</t>
  </si>
  <si>
    <t>Compare</t>
  </si>
  <si>
    <t>Students are given one stimulus or two stimuli and asked to identify a similarity in the described phenomenon (historical development, historical event, geographic setting, economic situation, individual’s action/belief) (implicit comparison).</t>
  </si>
  <si>
    <t>Contrast</t>
  </si>
  <si>
    <t>Students are given one/two stimuli and asked to identify a difference in the described phenomenon (historical development, historical event, geographic setting, economic situation, individual’s action/belief) (implicit comparison).</t>
  </si>
  <si>
    <t>Informed Civic Action</t>
  </si>
  <si>
    <t>Students are given a stimulus and asked to identify an informed action taken by an individual, group, or government connected to civic activism.</t>
  </si>
  <si>
    <t>Interpret Visual Data</t>
  </si>
  <si>
    <t>Students are given a visual stimulus such as a map, graph, chart, timeline, cartoon, or photograph and asked to extract and interpret relevant information to answer a question.</t>
  </si>
  <si>
    <t>Stakeholder Issue</t>
  </si>
  <si>
    <t>Students are given one stimulus or two stimuli and asked to identify a stakeholder or a stakeholder’s issue.</t>
  </si>
  <si>
    <t>Recommended Action</t>
  </si>
  <si>
    <t>Students are given a stimulus and asked to identify a course of action recommended by a historical figure, a group, or a government.</t>
  </si>
  <si>
    <t>Sequence of Events</t>
  </si>
  <si>
    <t>Students are given a stimulus and asked to identify how historical events are related chronologically.</t>
  </si>
  <si>
    <t>Problem</t>
  </si>
  <si>
    <t>Students are given one stimulus or two stimuli and asked to identify a problem (issue).</t>
  </si>
  <si>
    <t>Response to Problem</t>
  </si>
  <si>
    <t>Students are given one stimulus or two stimuli and asked to identify a response to a problem (issue).</t>
  </si>
  <si>
    <t>Subdivision</t>
  </si>
  <si>
    <t>Detail</t>
  </si>
  <si>
    <t>Define and frame questions about events and the world in which we live, form hypotheses as potential answers to these questions, use evidence to answer these questions, and consider and analyze counter-hypotheses.</t>
  </si>
  <si>
    <t>Identify, describe, and evaluate evidence about events from diverse sources (including written documents, works of art, photographs, charts and graphs, artifacts, oral traditions, and other primary and secondary sources).</t>
  </si>
  <si>
    <t>Analyze evidence in terms of content, authorship, point of view, bias, purpose, format, and audience.</t>
  </si>
  <si>
    <t>Describe, analyze, and evaluate arguments of others.</t>
  </si>
  <si>
    <t>Make inferences and draw conclusions from evidence.</t>
  </si>
  <si>
    <t>Deconstruct and construct plausible and persuasive arguments, using evidence.</t>
  </si>
  <si>
    <t>Create meaningful and persuasive understandings of the past by fusing disparate and relevant evidence from primary and secondary sources and drawing connections to the present.</t>
  </si>
  <si>
    <t>Articulate how events are related chronologically to one another in time and explain the ways in which earlier ideas and events may influence subsequent ideas and events.</t>
  </si>
  <si>
    <t>Identify causes and effects using examples from different time periods and courses of study across several grade levels.</t>
  </si>
  <si>
    <t>Identify, analyze, and evaluate the relationship between multiple causes and effects.</t>
  </si>
  <si>
    <t>Distinguish between long-term and immediate causes and multiple effects (time, continuity, and change).</t>
  </si>
  <si>
    <t>Recognize, analyze, and evaluate dynamics of historical continuity and change over periods of time and investigate factors that caused those changes over time.</t>
  </si>
  <si>
    <t>Recognize that choice of specific periodization favors or advantages one narrative, region, or group over another narrative, region, or group.</t>
  </si>
  <si>
    <t>Relate patterns of continuity and change to larger historical processes and themes.</t>
  </si>
  <si>
    <t>Describe, analyze, evaluate, and construct models of historical periodization that historians use to categorize events.</t>
  </si>
  <si>
    <t>Identify similarities and differences between geographic regions across historical time periods, and relate differences in geography to different historical events andoutcomes.</t>
  </si>
  <si>
    <t>Identify, compare, and evaluate multiple perspectives on a given historical experience.</t>
  </si>
  <si>
    <t>Identify and compare similarities and differences between historical developments over time and in different geographical and cultural contexts.</t>
  </si>
  <si>
    <t>Describe, compare, and evaluate multiple historical developments (within societies; across and between societies; in various chronological and geographical contexts).</t>
  </si>
  <si>
    <t>Recognize the relationship between geography, economics, and history as a context for events and movements and as a matrix of time and place.</t>
  </si>
  <si>
    <t>Connect historical developments to specific circumstances of time and place and to broader regional, national, or global processes and draw connections to the present (where appropriate).</t>
  </si>
  <si>
    <t>D. Geographic Reasoning</t>
  </si>
  <si>
    <t>Ask geographic questions about where places are located, why their locations are important, and how their locations are related to the locations of other places and people.</t>
  </si>
  <si>
    <t>Identify, describe, and evaluate the relationships between people, places, regions, and environments by using geographic tools to place them in a spatial context.</t>
  </si>
  <si>
    <t>Identify, analyze, and evaluate the relationship between the environment and human activities, how the physical environment is modified by human activities, and how human activities are also influenced by Earth’s physical features and processes.</t>
  </si>
  <si>
    <t>Recognize and interpret (at different scales) the relationships between patterns and processes.</t>
  </si>
  <si>
    <t>Recognize and analyze how place and region influence the social, cultural, and economic characteristics of civilizations.</t>
  </si>
  <si>
    <t>Characterize and analyze changing connections between places and regions.</t>
  </si>
  <si>
    <t>E. Economics and Economics Systems</t>
  </si>
  <si>
    <t xml:space="preserve">Use marginal benefits and marginal costs to construct an argument for or against an approach or solution to an economic issue. 
</t>
  </si>
  <si>
    <t>Analyze the ways in which incentives influence what is produced and distributed ina market system.</t>
  </si>
  <si>
    <t>Evaluate the extent to which competition between sellers and between buyers exists in specific markets.</t>
  </si>
  <si>
    <t>Describe concepts of property rights and rule of law as they apply to a market economy.</t>
  </si>
  <si>
    <t>Use economic indicators to analyze the current and future state of the economy.</t>
  </si>
  <si>
    <t>Analyze government economic policies and the effects on the national and global economy.</t>
  </si>
  <si>
    <t>F. Civic Participation</t>
  </si>
  <si>
    <t>Demonstrate respect for the rights of others in discussions and classroom debates; respectfully disagree with other viewpoints and provide evidence for a counter-argument.</t>
  </si>
  <si>
    <t>Participate in activities that focus on a classroom, school, community, state, or national issue or problem.</t>
  </si>
  <si>
    <t>Explain differing philosophies of social and political participation and the role of the individual leading to group-driven philosophies.</t>
  </si>
  <si>
    <t>Identify, describe, and contrast the roles of the individual in opportunities for social and political participation in different societies.</t>
  </si>
  <si>
    <t>Participate in persuading, debating, negotiating, and compromising in the resolution of conflicts and differences.</t>
  </si>
  <si>
    <t>Identify situations in which social actions are required and determine an appropriate course of action.</t>
  </si>
  <si>
    <t>Work to influence those in positions of power to strive for extensions of freedom, social justice, and human rights.</t>
  </si>
  <si>
    <t>Fulfill social and political responsibilities associated with citizenship in a democratic society and interdependent global community by developing awareness of and/or engaging in the political process.</t>
  </si>
  <si>
    <t>YES</t>
  </si>
  <si>
    <t>34a</t>
  </si>
  <si>
    <t>34b</t>
  </si>
  <si>
    <t>29</t>
  </si>
  <si>
    <t>30</t>
  </si>
  <si>
    <t>31</t>
  </si>
  <si>
    <t>32</t>
  </si>
  <si>
    <t>33</t>
  </si>
  <si>
    <t>Part II</t>
  </si>
  <si>
    <t>Adam Hochschild, King Leopold’s Ghost, Mariner Books, 1999</t>
  </si>
  <si>
    <t>Explain the geographic context for the historical development described in this passage.</t>
  </si>
  <si>
    <t>9. Impact of Setting</t>
  </si>
  <si>
    <t>Patrice Lumumba, speech at the ceremony of the proclamation of the Congo’s independence, June 30, 1960</t>
  </si>
  <si>
    <t>Based on this passage, explain how the audience affects what Lumumba includes in his speech.</t>
  </si>
  <si>
    <t>—</t>
  </si>
  <si>
    <t>Identify and explain a cause-and-effect relationship between the events and/or ideas found in these documents. Be sure to use evidence from both Documents 1 and 2 in your response.</t>
  </si>
  <si>
    <t>Dr. Sue Gronewold, “The Opium War and Foreign Encroachment,” Asia for Educators, Columbia University</t>
  </si>
  <si>
    <t>Explain the historical circumstances that led to China’s century of “unequal treaties.”</t>
  </si>
  <si>
    <t>Wolfgang Lehmacher, “Why China Could Lead the Next Phase of Globalization,” World Economic Forum, November 22, 2016</t>
  </si>
  <si>
    <t>Based on this document, identify the author’s point of view regarding China’s economy in the 21st century.</t>
  </si>
  <si>
    <t>Identify a similarity or a difference in China’s role in the world economy.</t>
  </si>
  <si>
    <t>Explain the similarity or difference you identified using evidence from both
documents.</t>
  </si>
  <si>
    <t>Q1</t>
  </si>
  <si>
    <t>Q2</t>
  </si>
  <si>
    <t>Q3</t>
  </si>
  <si>
    <t>Q4</t>
  </si>
  <si>
    <t>Q12</t>
  </si>
  <si>
    <t>Q23</t>
  </si>
  <si>
    <t>Q16</t>
  </si>
  <si>
    <t>Q27</t>
  </si>
  <si>
    <t>Q5</t>
  </si>
  <si>
    <t>Q6</t>
  </si>
  <si>
    <t>Q7</t>
  </si>
  <si>
    <t>Q8</t>
  </si>
  <si>
    <t>Q9</t>
  </si>
  <si>
    <t>Q10</t>
  </si>
  <si>
    <t>Q11</t>
  </si>
  <si>
    <t>Q13</t>
  </si>
  <si>
    <t>Q14</t>
  </si>
  <si>
    <t>Q15</t>
  </si>
  <si>
    <t>Q17</t>
  </si>
  <si>
    <t>Q18</t>
  </si>
  <si>
    <t>Q19</t>
  </si>
  <si>
    <t>Q20</t>
  </si>
  <si>
    <t>Q21</t>
  </si>
  <si>
    <t>Q22</t>
  </si>
  <si>
    <t>Q24</t>
  </si>
  <si>
    <t>Q25</t>
  </si>
  <si>
    <t>Q26</t>
  </si>
  <si>
    <t>Q28</t>
  </si>
  <si>
    <t>Pct_correct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</si>
</sst>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0"/>
      <color rgb="FF000000"/>
      <name val="Arial"/>
      <scheme val="minor"/>
    </font>
    <font>
      <sz val="10"/>
      <color theme="1"/>
      <name val="Arial"/>
      <family val="2"/>
      <scheme val="minor"/>
    </font>
    <font>
      <b/>
      <sz val="10"/>
      <color theme="1"/>
      <name val="Arial"/>
      <family val="2"/>
      <scheme val="minor"/>
    </font>
    <font>
      <sz val="10"/>
      <color rgb="FF000000"/>
      <name val="Arial"/>
      <family val="2"/>
      <scheme val="minor"/>
    </font>
    <font>
      <sz val="8"/>
      <name val="Arial"/>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3" fillId="0" borderId="0" applyFont="0" applyFill="0" applyBorder="0" applyAlignment="0" applyProtection="0"/>
  </cellStyleXfs>
  <cellXfs count="11">
    <xf numFmtId="0" fontId="0" fillId="0" borderId="0" xfId="0"/>
    <xf numFmtId="0" fontId="1" fillId="0" borderId="0" xfId="0" applyFont="1" applyAlignment="1">
      <alignment vertical="center"/>
    </xf>
    <xf numFmtId="0" fontId="1" fillId="0" borderId="0" xfId="0" applyFont="1" applyAlignment="1">
      <alignment horizontal="center" vertical="center"/>
    </xf>
    <xf numFmtId="0" fontId="1" fillId="0" borderId="0" xfId="0" applyFont="1" applyAlignment="1">
      <alignment horizontal="left" vertical="center" wrapText="1"/>
    </xf>
    <xf numFmtId="0" fontId="2" fillId="0" borderId="0" xfId="0" applyFont="1" applyAlignment="1">
      <alignment horizontal="left" vertical="center" wrapText="1"/>
    </xf>
    <xf numFmtId="0" fontId="1" fillId="0" borderId="0" xfId="0" applyFont="1" applyAlignment="1">
      <alignment vertical="center" wrapText="1"/>
    </xf>
    <xf numFmtId="0" fontId="1" fillId="0" borderId="0" xfId="0" applyFont="1" applyAlignment="1">
      <alignment horizontal="left" vertical="center"/>
    </xf>
    <xf numFmtId="0" fontId="0" fillId="0" borderId="0" xfId="0" applyAlignment="1">
      <alignment horizontal="center"/>
    </xf>
    <xf numFmtId="0" fontId="0" fillId="0" borderId="0" xfId="0" applyAlignment="1">
      <alignment horizontal="center" vertical="center"/>
    </xf>
    <xf numFmtId="0" fontId="3" fillId="0" borderId="0" xfId="0" applyFont="1"/>
    <xf numFmtId="9" fontId="0" fillId="0" borderId="0" xfId="1" applyFont="1"/>
  </cellXfs>
  <cellStyles count="2">
    <cellStyle name="Normal" xfId="0" builtinId="0"/>
    <cellStyle name="Percent" xfId="1" builtinId="5"/>
  </cellStyles>
  <dxfs count="160">
    <dxf>
      <numFmt numFmtId="0" formatCode="General"/>
      <alignment horizontal="center" vertical="center" textRotation="0" wrapText="0" indent="0" justifyLastLine="0" shrinkToFit="0" readingOrder="0"/>
    </dxf>
    <dxf>
      <font>
        <strike val="0"/>
        <condense val="0"/>
        <extend val="0"/>
        <outline val="0"/>
        <shadow val="0"/>
        <vertAlign val="baseline"/>
        <sz val="10"/>
        <color theme="1"/>
        <name val="Roboto"/>
      </font>
      <alignment horizontal="center" vertical="center"/>
    </dxf>
    <dxf>
      <alignment horizontal="center" vertical="center" textRotation="0" wrapText="0" indent="0" justifyLastLine="0" shrinkToFit="0" readingOrder="0"/>
    </dxf>
    <dxf>
      <font>
        <strike val="0"/>
        <condense val="0"/>
        <extend val="0"/>
        <outline val="0"/>
        <shadow val="0"/>
        <vertAlign val="baseline"/>
        <sz val="10"/>
        <color theme="1"/>
        <name val="Roboto"/>
      </font>
      <alignment horizontal="center" vertical="center"/>
    </dxf>
    <dxf>
      <alignment horizontal="center" vertical="center" textRotation="0" wrapText="0" indent="0" justifyLastLine="0" shrinkToFit="0" readingOrder="0"/>
    </dxf>
    <dxf>
      <font>
        <strike val="0"/>
        <condense val="0"/>
        <extend val="0"/>
        <outline val="0"/>
        <shadow val="0"/>
        <vertAlign val="baseline"/>
        <sz val="10"/>
        <color theme="1"/>
        <name val="Roboto"/>
      </font>
      <alignment horizontal="center" vertical="center"/>
    </dxf>
    <dxf>
      <alignment horizontal="center" vertical="center" textRotation="0" wrapText="0" indent="0" justifyLastLine="0" shrinkToFit="0" readingOrder="0"/>
    </dxf>
    <dxf>
      <font>
        <strike val="0"/>
        <condense val="0"/>
        <extend val="0"/>
        <outline val="0"/>
        <shadow val="0"/>
        <vertAlign val="baseline"/>
        <sz val="10"/>
        <color theme="1"/>
        <name val="Roboto"/>
      </font>
      <alignment horizontal="center" vertical="center"/>
    </dxf>
    <dxf>
      <alignment horizontal="center" vertical="center" textRotation="0" wrapText="0" indent="0" justifyLastLine="0" shrinkToFit="0" readingOrder="0"/>
    </dxf>
    <dxf>
      <font>
        <strike val="0"/>
        <condense val="0"/>
        <extend val="0"/>
        <outline val="0"/>
        <shadow val="0"/>
        <vertAlign val="baseline"/>
        <sz val="10"/>
        <color theme="1"/>
        <name val="Roboto"/>
      </font>
      <alignment horizontal="center" vertical="center"/>
    </dxf>
    <dxf>
      <alignment horizontal="center" vertical="center" textRotation="0" wrapText="0" indent="0" justifyLastLine="0" shrinkToFit="0" readingOrder="0"/>
    </dxf>
    <dxf>
      <font>
        <strike val="0"/>
        <condense val="0"/>
        <extend val="0"/>
        <outline val="0"/>
        <shadow val="0"/>
        <vertAlign val="baseline"/>
        <sz val="10"/>
        <color theme="1"/>
        <name val="Roboto"/>
      </font>
      <alignment horizontal="center" vertical="center"/>
    </dxf>
    <dxf>
      <alignment horizontal="center" vertical="center" textRotation="0" wrapText="0" indent="0" justifyLastLine="0" shrinkToFit="0" readingOrder="0"/>
    </dxf>
    <dxf>
      <font>
        <strike val="0"/>
        <condense val="0"/>
        <extend val="0"/>
        <outline val="0"/>
        <shadow val="0"/>
        <vertAlign val="baseline"/>
        <sz val="10"/>
        <color theme="1"/>
        <name val="Roboto"/>
      </font>
      <alignment horizontal="center" vertical="center"/>
    </dxf>
    <dxf>
      <alignment horizontal="center" vertical="center" textRotation="0" wrapText="0" indent="0" justifyLastLine="0" shrinkToFit="0" readingOrder="0"/>
    </dxf>
    <dxf>
      <font>
        <strike val="0"/>
        <condense val="0"/>
        <extend val="0"/>
        <outline val="0"/>
        <shadow val="0"/>
        <vertAlign val="baseline"/>
        <sz val="10"/>
        <color theme="1"/>
        <name val="Roboto"/>
      </font>
      <alignment horizontal="center" vertical="center"/>
    </dxf>
    <dxf>
      <alignment horizontal="center" vertical="center" textRotation="0" wrapText="0" indent="0" justifyLastLine="0" shrinkToFit="0" readingOrder="0"/>
    </dxf>
    <dxf>
      <font>
        <strike val="0"/>
        <condense val="0"/>
        <extend val="0"/>
        <outline val="0"/>
        <shadow val="0"/>
        <vertAlign val="baseline"/>
        <sz val="10"/>
        <color theme="1"/>
        <name val="Roboto"/>
      </font>
      <alignment horizontal="center" vertical="center"/>
    </dxf>
    <dxf>
      <alignment horizontal="center" vertical="center" textRotation="0" wrapText="0" indent="0" justifyLastLine="0" shrinkToFit="0" readingOrder="0"/>
    </dxf>
    <dxf>
      <font>
        <strike val="0"/>
        <condense val="0"/>
        <extend val="0"/>
        <outline val="0"/>
        <shadow val="0"/>
        <vertAlign val="baseline"/>
        <sz val="10"/>
        <color theme="1"/>
        <name val="Roboto"/>
      </font>
      <alignment horizontal="center" vertical="center"/>
    </dxf>
    <dxf>
      <alignment horizontal="center" vertical="center" textRotation="0" wrapText="0" indent="0" justifyLastLine="0" shrinkToFit="0" readingOrder="0"/>
    </dxf>
    <dxf>
      <font>
        <strike val="0"/>
        <condense val="0"/>
        <extend val="0"/>
        <outline val="0"/>
        <shadow val="0"/>
        <vertAlign val="baseline"/>
        <sz val="10"/>
        <color theme="1"/>
        <name val="Roboto"/>
      </font>
      <alignment horizontal="center" vertical="center"/>
    </dxf>
    <dxf>
      <alignment horizontal="center" vertical="center" textRotation="0" wrapText="0" indent="0" justifyLastLine="0" shrinkToFit="0" readingOrder="0"/>
    </dxf>
    <dxf>
      <font>
        <strike val="0"/>
        <condense val="0"/>
        <extend val="0"/>
        <outline val="0"/>
        <shadow val="0"/>
        <vertAlign val="baseline"/>
        <sz val="10"/>
        <color theme="1"/>
        <name val="Roboto"/>
      </font>
      <alignment horizontal="center" vertical="center"/>
    </dxf>
    <dxf>
      <alignment horizontal="center" vertical="center" textRotation="0" wrapText="0" indent="0" justifyLastLine="0" shrinkToFit="0" readingOrder="0"/>
    </dxf>
    <dxf>
      <font>
        <strike val="0"/>
        <condense val="0"/>
        <extend val="0"/>
        <outline val="0"/>
        <shadow val="0"/>
        <vertAlign val="baseline"/>
        <sz val="10"/>
        <color theme="1"/>
        <name val="Roboto"/>
      </font>
      <alignment horizontal="center" vertical="center"/>
    </dxf>
    <dxf>
      <alignment horizontal="center" vertical="center" textRotation="0" wrapText="0" indent="0" justifyLastLine="0" shrinkToFit="0" readingOrder="0"/>
    </dxf>
    <dxf>
      <font>
        <strike val="0"/>
        <condense val="0"/>
        <extend val="0"/>
        <outline val="0"/>
        <shadow val="0"/>
        <vertAlign val="baseline"/>
        <sz val="10"/>
        <color theme="1"/>
        <name val="Roboto"/>
      </font>
      <alignment horizontal="center" vertical="center"/>
    </dxf>
    <dxf>
      <alignment horizontal="center" vertical="center" textRotation="0" wrapText="0" indent="0" justifyLastLine="0" shrinkToFit="0" readingOrder="0"/>
    </dxf>
    <dxf>
      <font>
        <strike val="0"/>
        <condense val="0"/>
        <extend val="0"/>
        <outline val="0"/>
        <shadow val="0"/>
        <vertAlign val="baseline"/>
        <sz val="10"/>
        <color theme="1"/>
        <name val="Roboto"/>
      </font>
      <alignment horizontal="center" vertical="center"/>
    </dxf>
    <dxf>
      <alignment horizontal="center" vertical="center" textRotation="0" wrapText="0" indent="0" justifyLastLine="0" shrinkToFit="0" readingOrder="0"/>
    </dxf>
    <dxf>
      <font>
        <strike val="0"/>
        <condense val="0"/>
        <extend val="0"/>
        <outline val="0"/>
        <shadow val="0"/>
        <vertAlign val="baseline"/>
        <sz val="10"/>
        <color theme="1"/>
        <name val="Roboto"/>
      </font>
      <alignment horizontal="center" vertical="center"/>
    </dxf>
    <dxf>
      <alignment horizontal="center" vertical="center" textRotation="0" wrapText="0" indent="0" justifyLastLine="0" shrinkToFit="0" readingOrder="0"/>
    </dxf>
    <dxf>
      <font>
        <strike val="0"/>
        <condense val="0"/>
        <extend val="0"/>
        <outline val="0"/>
        <shadow val="0"/>
        <vertAlign val="baseline"/>
        <sz val="10"/>
        <color theme="1"/>
        <name val="Roboto"/>
      </font>
      <alignment horizontal="center" vertical="center"/>
    </dxf>
    <dxf>
      <alignment horizontal="center" vertical="center" textRotation="0" wrapText="0" indent="0" justifyLastLine="0" shrinkToFit="0" readingOrder="0"/>
    </dxf>
    <dxf>
      <font>
        <strike val="0"/>
        <condense val="0"/>
        <extend val="0"/>
        <outline val="0"/>
        <shadow val="0"/>
        <vertAlign val="baseline"/>
        <sz val="10"/>
        <color theme="1"/>
        <name val="Roboto"/>
      </font>
      <alignment horizontal="center" vertical="center"/>
    </dxf>
    <dxf>
      <alignment horizontal="center" vertical="center" textRotation="0" wrapText="0" indent="0" justifyLastLine="0" shrinkToFit="0" readingOrder="0"/>
    </dxf>
    <dxf>
      <font>
        <strike val="0"/>
        <condense val="0"/>
        <extend val="0"/>
        <outline val="0"/>
        <shadow val="0"/>
        <vertAlign val="baseline"/>
        <sz val="10"/>
        <color theme="1"/>
        <name val="Roboto"/>
      </font>
      <alignment horizontal="center" vertical="center"/>
    </dxf>
    <dxf>
      <alignment horizontal="center" vertical="center" textRotation="0" wrapText="0" indent="0" justifyLastLine="0" shrinkToFit="0" readingOrder="0"/>
    </dxf>
    <dxf>
      <font>
        <strike val="0"/>
        <condense val="0"/>
        <extend val="0"/>
        <outline val="0"/>
        <shadow val="0"/>
        <vertAlign val="baseline"/>
        <sz val="10"/>
        <color theme="1"/>
        <name val="Roboto"/>
      </font>
      <alignment horizontal="center" vertical="center"/>
    </dxf>
    <dxf>
      <alignment horizontal="center" vertical="center" textRotation="0" wrapText="0" indent="0" justifyLastLine="0" shrinkToFit="0" readingOrder="0"/>
    </dxf>
    <dxf>
      <font>
        <strike val="0"/>
        <condense val="0"/>
        <extend val="0"/>
        <outline val="0"/>
        <shadow val="0"/>
        <vertAlign val="baseline"/>
        <sz val="10"/>
        <color theme="1"/>
        <name val="Roboto"/>
      </font>
      <alignment horizontal="center" vertical="center"/>
    </dxf>
    <dxf>
      <alignment horizontal="center" vertical="center" textRotation="0" wrapText="0" indent="0" justifyLastLine="0" shrinkToFit="0" readingOrder="0"/>
    </dxf>
    <dxf>
      <font>
        <strike val="0"/>
        <condense val="0"/>
        <extend val="0"/>
        <outline val="0"/>
        <shadow val="0"/>
        <vertAlign val="baseline"/>
        <sz val="10"/>
        <color theme="1"/>
        <name val="Roboto"/>
      </font>
      <alignment horizontal="center" vertical="center"/>
    </dxf>
    <dxf>
      <alignment horizontal="center" vertical="center" textRotation="0" wrapText="0" indent="0" justifyLastLine="0" shrinkToFit="0" readingOrder="0"/>
    </dxf>
    <dxf>
      <font>
        <strike val="0"/>
        <condense val="0"/>
        <extend val="0"/>
        <outline val="0"/>
        <shadow val="0"/>
        <vertAlign val="baseline"/>
        <sz val="10"/>
        <color theme="1"/>
        <name val="Roboto"/>
      </font>
      <alignment horizontal="center" vertical="center"/>
    </dxf>
    <dxf>
      <alignment horizontal="center" vertical="center" textRotation="0" wrapText="0" indent="0" justifyLastLine="0" shrinkToFit="0" readingOrder="0"/>
    </dxf>
    <dxf>
      <font>
        <strike val="0"/>
        <condense val="0"/>
        <extend val="0"/>
        <outline val="0"/>
        <shadow val="0"/>
        <vertAlign val="baseline"/>
        <sz val="10"/>
        <color theme="1"/>
        <name val="Roboto"/>
      </font>
      <alignment horizontal="center" vertical="center"/>
    </dxf>
    <dxf>
      <alignment horizontal="center" vertical="center" textRotation="0" wrapText="0" indent="0" justifyLastLine="0" shrinkToFit="0" readingOrder="0"/>
    </dxf>
    <dxf>
      <font>
        <strike val="0"/>
        <condense val="0"/>
        <extend val="0"/>
        <outline val="0"/>
        <shadow val="0"/>
        <vertAlign val="baseline"/>
        <sz val="10"/>
        <color theme="1"/>
        <name val="Roboto"/>
      </font>
      <alignment horizontal="center" vertical="center"/>
    </dxf>
    <dxf>
      <alignment horizontal="center" vertical="center" textRotation="0" wrapText="0" indent="0" justifyLastLine="0" shrinkToFit="0" readingOrder="0"/>
    </dxf>
    <dxf>
      <font>
        <strike val="0"/>
        <condense val="0"/>
        <extend val="0"/>
        <outline val="0"/>
        <shadow val="0"/>
        <vertAlign val="baseline"/>
        <sz val="10"/>
        <color theme="1"/>
        <name val="Roboto"/>
      </font>
      <alignment horizontal="center" vertical="center"/>
    </dxf>
    <dxf>
      <alignment horizontal="center" vertical="center" textRotation="0" wrapText="0" indent="0" justifyLastLine="0" shrinkToFit="0" readingOrder="0"/>
    </dxf>
    <dxf>
      <alignment horizontal="center" vertical="center" textRotation="0" wrapText="0" indent="0" justifyLastLine="0" shrinkToFit="0" readingOrder="0"/>
    </dxf>
    <dxf>
      <font>
        <strike val="0"/>
        <condense val="0"/>
        <extend val="0"/>
        <outline val="0"/>
        <shadow val="0"/>
        <vertAlign val="baseline"/>
        <sz val="10"/>
        <color theme="1"/>
        <name val="Roboto"/>
      </font>
      <alignment horizontal="center" vertical="center"/>
    </dxf>
    <dxf>
      <font>
        <strike val="0"/>
        <condense val="0"/>
        <extend val="0"/>
        <outline val="0"/>
        <shadow val="0"/>
        <vertAlign val="baseline"/>
        <sz val="10"/>
        <color theme="1"/>
        <name val="Roboto"/>
      </font>
      <alignment horizontal="center" vertical="center"/>
    </dxf>
    <dxf>
      <alignment horizontal="center" vertical="center" textRotation="0" wrapText="0" indent="0" justifyLastLine="0" shrinkToFit="0" readingOrder="0"/>
    </dxf>
    <dxf>
      <font>
        <strike val="0"/>
        <condense val="0"/>
        <extend val="0"/>
        <outline val="0"/>
        <shadow val="0"/>
        <vertAlign val="baseline"/>
        <sz val="10"/>
        <color theme="1"/>
        <name val="Roboto"/>
      </font>
      <alignment horizontal="center" vertical="center"/>
    </dxf>
    <dxf>
      <alignment horizontal="center" vertical="center" textRotation="0" wrapText="0" indent="0" justifyLastLine="0" shrinkToFit="0" readingOrder="0"/>
    </dxf>
    <dxf>
      <font>
        <strike val="0"/>
        <condense val="0"/>
        <extend val="0"/>
        <outline val="0"/>
        <shadow val="0"/>
        <vertAlign val="baseline"/>
        <sz val="10"/>
        <color theme="1"/>
        <name val="Roboto"/>
      </font>
      <alignment horizontal="center" vertical="center"/>
    </dxf>
    <dxf>
      <alignment horizontal="center" vertical="center" textRotation="0" wrapText="0" indent="0" justifyLastLine="0" shrinkToFit="0" readingOrder="0"/>
    </dxf>
    <dxf>
      <font>
        <strike val="0"/>
        <condense val="0"/>
        <extend val="0"/>
        <outline val="0"/>
        <shadow val="0"/>
        <vertAlign val="baseline"/>
        <sz val="10"/>
        <color theme="1"/>
        <name val="Roboto"/>
      </font>
      <alignment horizontal="center" vertical="center"/>
    </dxf>
    <dxf>
      <alignment horizontal="center" vertical="center" textRotation="0" wrapText="0" indent="0" justifyLastLine="0" shrinkToFit="0" readingOrder="0"/>
    </dxf>
    <dxf>
      <font>
        <strike val="0"/>
        <condense val="0"/>
        <extend val="0"/>
        <outline val="0"/>
        <shadow val="0"/>
        <vertAlign val="baseline"/>
        <sz val="10"/>
        <color theme="1"/>
        <name val="Roboto"/>
      </font>
      <alignment horizontal="center" vertical="center"/>
    </dxf>
    <dxf>
      <alignment horizontal="center" vertical="center" textRotation="0" wrapText="0" indent="0" justifyLastLine="0" shrinkToFit="0" readingOrder="0"/>
    </dxf>
    <dxf>
      <font>
        <strike val="0"/>
        <condense val="0"/>
        <extend val="0"/>
        <outline val="0"/>
        <shadow val="0"/>
        <vertAlign val="baseline"/>
        <sz val="10"/>
        <color theme="1"/>
        <name val="Roboto"/>
      </font>
      <alignment horizontal="center" vertical="center"/>
    </dxf>
    <dxf>
      <alignment horizontal="center" vertical="center" textRotation="0" wrapText="0" indent="0" justifyLastLine="0" shrinkToFit="0" readingOrder="0"/>
    </dxf>
    <dxf>
      <font>
        <strike val="0"/>
        <condense val="0"/>
        <extend val="0"/>
        <outline val="0"/>
        <shadow val="0"/>
        <vertAlign val="baseline"/>
        <sz val="10"/>
        <color theme="1"/>
        <name val="Roboto"/>
      </font>
      <alignment horizontal="center" vertical="center"/>
    </dxf>
    <dxf>
      <alignment horizontal="center" vertical="center" textRotation="0" wrapText="0" indent="0" justifyLastLine="0" shrinkToFit="0" readingOrder="0"/>
    </dxf>
    <dxf>
      <font>
        <strike val="0"/>
        <condense val="0"/>
        <extend val="0"/>
        <outline val="0"/>
        <shadow val="0"/>
        <vertAlign val="baseline"/>
        <sz val="10"/>
        <color theme="1"/>
        <name val="Roboto"/>
      </font>
      <alignment horizontal="center" vertical="center"/>
    </dxf>
    <dxf>
      <alignment horizontal="center" vertical="center" textRotation="0" wrapText="0" indent="0" justifyLastLine="0" shrinkToFit="0" readingOrder="0"/>
    </dxf>
    <dxf>
      <font>
        <strike val="0"/>
        <condense val="0"/>
        <extend val="0"/>
        <outline val="0"/>
        <shadow val="0"/>
        <vertAlign val="baseline"/>
        <sz val="10"/>
        <color theme="1"/>
        <name val="Roboto"/>
      </font>
      <alignment horizontal="center" vertical="center"/>
      <border outline="0">
        <left/>
        <right style="thick">
          <color rgb="FFCCCCCC"/>
        </right>
        <top/>
        <bottom/>
      </border>
    </dxf>
    <dxf>
      <alignment horizontal="center" vertical="center" textRotation="0" wrapText="0" indent="0" justifyLastLine="0" shrinkToFit="0" readingOrder="0"/>
    </dxf>
    <dxf>
      <font>
        <strike val="0"/>
        <condense val="0"/>
        <extend val="0"/>
        <outline val="0"/>
        <shadow val="0"/>
        <vertAlign val="baseline"/>
        <sz val="10"/>
        <color theme="1"/>
        <name val="Roboto"/>
      </font>
      <alignment horizontal="center" vertical="center"/>
    </dxf>
    <dxf>
      <alignment horizontal="center" vertical="center" textRotation="0" wrapText="0" indent="0" justifyLastLine="0" shrinkToFit="0" readingOrder="0"/>
    </dxf>
    <dxf>
      <font>
        <strike val="0"/>
        <condense val="0"/>
        <extend val="0"/>
        <outline val="0"/>
        <shadow val="0"/>
        <vertAlign val="baseline"/>
        <sz val="10"/>
        <color theme="1"/>
        <name val="Roboto"/>
      </font>
      <alignment horizontal="center" vertical="center"/>
    </dxf>
    <dxf>
      <alignment horizontal="center" vertical="center" textRotation="0" wrapText="0" indent="0" justifyLastLine="0" shrinkToFit="0" readingOrder="0"/>
    </dxf>
    <dxf>
      <font>
        <strike val="0"/>
        <condense val="0"/>
        <extend val="0"/>
        <outline val="0"/>
        <shadow val="0"/>
        <vertAlign val="baseline"/>
        <sz val="10"/>
        <color theme="1"/>
        <name val="Roboto"/>
      </font>
      <alignment horizontal="center" vertical="center"/>
    </dxf>
    <dxf>
      <alignment horizontal="center" vertical="center" textRotation="0" wrapText="0" indent="0" justifyLastLine="0" shrinkToFit="0" readingOrder="0"/>
    </dxf>
    <dxf>
      <font>
        <strike val="0"/>
        <condense val="0"/>
        <extend val="0"/>
        <outline val="0"/>
        <shadow val="0"/>
        <vertAlign val="baseline"/>
        <sz val="10"/>
        <color theme="1"/>
        <name val="Roboto"/>
      </font>
      <alignment horizontal="center" vertical="center"/>
    </dxf>
    <dxf>
      <alignment horizontal="center" vertical="center" textRotation="0" wrapText="0" indent="0" justifyLastLine="0" shrinkToFit="0" readingOrder="0"/>
    </dxf>
    <dxf>
      <font>
        <strike val="0"/>
        <condense val="0"/>
        <extend val="0"/>
        <outline val="0"/>
        <shadow val="0"/>
        <vertAlign val="baseline"/>
        <sz val="10"/>
        <color theme="1"/>
        <name val="Roboto"/>
      </font>
      <alignment horizontal="center" vertical="center"/>
    </dxf>
    <dxf>
      <alignment horizontal="center" vertical="center" textRotation="0" wrapText="0" indent="0" justifyLastLine="0" shrinkToFit="0" readingOrder="0"/>
    </dxf>
    <dxf>
      <font>
        <strike val="0"/>
        <condense val="0"/>
        <extend val="0"/>
        <outline val="0"/>
        <shadow val="0"/>
        <vertAlign val="baseline"/>
        <sz val="10"/>
        <color theme="1"/>
        <name val="Roboto"/>
      </font>
      <alignment horizontal="center" vertical="center"/>
    </dxf>
    <dxf>
      <alignment horizontal="center" vertical="center" textRotation="0" wrapText="0" indent="0" justifyLastLine="0" shrinkToFit="0" readingOrder="0"/>
    </dxf>
    <dxf>
      <font>
        <strike val="0"/>
        <condense val="0"/>
        <extend val="0"/>
        <outline val="0"/>
        <shadow val="0"/>
        <vertAlign val="baseline"/>
        <sz val="10"/>
        <color theme="1"/>
        <name val="Roboto"/>
      </font>
      <alignment horizontal="center" vertical="center"/>
    </dxf>
    <dxf>
      <alignment horizontal="center" vertical="center" textRotation="0" wrapText="0" indent="0" justifyLastLine="0" shrinkToFit="0" readingOrder="0"/>
    </dxf>
    <dxf>
      <font>
        <strike val="0"/>
        <condense val="0"/>
        <extend val="0"/>
        <outline val="0"/>
        <shadow val="0"/>
        <vertAlign val="baseline"/>
        <sz val="10"/>
        <color theme="1"/>
        <name val="Roboto"/>
      </font>
      <alignment horizontal="center" vertical="center"/>
    </dxf>
    <dxf>
      <alignment horizontal="center" vertical="center" textRotation="0" wrapText="0" indent="0" justifyLastLine="0" shrinkToFit="0" readingOrder="0"/>
    </dxf>
    <dxf>
      <font>
        <strike val="0"/>
        <condense val="0"/>
        <extend val="0"/>
        <outline val="0"/>
        <shadow val="0"/>
        <vertAlign val="baseline"/>
        <sz val="10"/>
        <color theme="1"/>
        <name val="Roboto"/>
      </font>
      <alignment horizontal="center" vertical="center"/>
    </dxf>
    <dxf>
      <alignment horizontal="center" vertical="center" textRotation="0" wrapText="0" indent="0" justifyLastLine="0" shrinkToFit="0" readingOrder="0"/>
    </dxf>
    <dxf>
      <font>
        <strike val="0"/>
        <condense val="0"/>
        <extend val="0"/>
        <outline val="0"/>
        <shadow val="0"/>
        <vertAlign val="baseline"/>
        <sz val="10"/>
        <color theme="1"/>
        <name val="Roboto"/>
      </font>
      <alignment horizontal="center" vertical="center"/>
    </dxf>
    <dxf>
      <alignment horizontal="center" vertical="center" textRotation="0" wrapText="0" indent="0" justifyLastLine="0" shrinkToFit="0" readingOrder="0"/>
    </dxf>
    <dxf>
      <font>
        <strike val="0"/>
        <condense val="0"/>
        <extend val="0"/>
        <outline val="0"/>
        <shadow val="0"/>
        <vertAlign val="baseline"/>
        <sz val="10"/>
        <color theme="1"/>
        <name val="Roboto"/>
      </font>
      <alignment horizontal="center" vertical="center"/>
    </dxf>
    <dxf>
      <alignment horizontal="center" vertical="center" textRotation="0" wrapText="0" indent="0" justifyLastLine="0" shrinkToFit="0" readingOrder="0"/>
    </dxf>
    <dxf>
      <font>
        <strike val="0"/>
        <condense val="0"/>
        <extend val="0"/>
        <outline val="0"/>
        <shadow val="0"/>
        <vertAlign val="baseline"/>
        <sz val="10"/>
        <color theme="1"/>
        <name val="Roboto"/>
      </font>
      <alignment horizontal="center" vertical="center"/>
    </dxf>
    <dxf>
      <alignment horizontal="center" vertical="center" textRotation="0" wrapText="0" indent="0" justifyLastLine="0" shrinkToFit="0" readingOrder="0"/>
    </dxf>
    <dxf>
      <font>
        <strike val="0"/>
        <condense val="0"/>
        <extend val="0"/>
        <outline val="0"/>
        <shadow val="0"/>
        <vertAlign val="baseline"/>
        <sz val="10"/>
        <color theme="1"/>
        <name val="Roboto"/>
      </font>
      <alignment horizontal="center" vertical="center"/>
    </dxf>
    <dxf>
      <alignment horizontal="center" vertical="center" textRotation="0" wrapText="0" indent="0" justifyLastLine="0" shrinkToFit="0" readingOrder="0"/>
    </dxf>
    <dxf>
      <font>
        <strike val="0"/>
        <condense val="0"/>
        <extend val="0"/>
        <outline val="0"/>
        <shadow val="0"/>
        <vertAlign val="baseline"/>
        <sz val="10"/>
        <color theme="1"/>
        <name val="Roboto"/>
      </font>
      <alignment horizontal="center" vertical="center"/>
    </dxf>
    <dxf>
      <alignment horizontal="center" vertical="center" textRotation="0" wrapText="0" indent="0" justifyLastLine="0" shrinkToFit="0" readingOrder="0"/>
    </dxf>
    <dxf>
      <font>
        <strike val="0"/>
        <condense val="0"/>
        <extend val="0"/>
        <outline val="0"/>
        <shadow val="0"/>
        <vertAlign val="baseline"/>
        <sz val="10"/>
        <color theme="1"/>
        <name val="Roboto"/>
      </font>
      <alignment horizontal="center" vertical="center"/>
    </dxf>
    <dxf>
      <alignment horizontal="center" vertical="center" textRotation="0" wrapText="0" indent="0" justifyLastLine="0" shrinkToFit="0" readingOrder="0"/>
    </dxf>
    <dxf>
      <font>
        <strike val="0"/>
        <condense val="0"/>
        <extend val="0"/>
        <outline val="0"/>
        <shadow val="0"/>
        <vertAlign val="baseline"/>
        <sz val="10"/>
        <color theme="1"/>
        <name val="Roboto"/>
      </font>
      <alignment horizontal="center" vertical="center"/>
    </dxf>
    <dxf>
      <alignment horizontal="center" vertical="center" textRotation="0" wrapText="0" indent="0" justifyLastLine="0" shrinkToFit="0" readingOrder="0"/>
    </dxf>
    <dxf>
      <font>
        <strike val="0"/>
        <condense val="0"/>
        <extend val="0"/>
        <outline val="0"/>
        <shadow val="0"/>
        <vertAlign val="baseline"/>
        <sz val="10"/>
        <color theme="1"/>
        <name val="Roboto"/>
      </font>
      <alignment horizontal="center" vertical="center"/>
    </dxf>
    <dxf>
      <alignment horizontal="center" vertical="center" textRotation="0" wrapText="0" indent="0" justifyLastLine="0" shrinkToFit="0" readingOrder="0"/>
    </dxf>
    <dxf>
      <font>
        <strike val="0"/>
        <condense val="0"/>
        <extend val="0"/>
        <outline val="0"/>
        <shadow val="0"/>
        <vertAlign val="baseline"/>
        <sz val="10"/>
        <color theme="1"/>
        <name val="Roboto"/>
      </font>
      <alignment horizontal="center" vertical="center"/>
    </dxf>
    <dxf>
      <alignment horizontal="center" vertical="center" textRotation="0" wrapText="0" indent="0" justifyLastLine="0" shrinkToFit="0" readingOrder="0"/>
    </dxf>
    <dxf>
      <font>
        <strike val="0"/>
        <condense val="0"/>
        <extend val="0"/>
        <outline val="0"/>
        <shadow val="0"/>
        <vertAlign val="baseline"/>
        <sz val="10"/>
        <color theme="1"/>
        <name val="Roboto"/>
      </font>
      <alignment horizontal="center" vertical="center"/>
    </dxf>
    <dxf>
      <alignment horizontal="center" vertical="center" textRotation="0" wrapText="0" indent="0" justifyLastLine="0" shrinkToFit="0" readingOrder="0"/>
    </dxf>
    <dxf>
      <font>
        <strike val="0"/>
        <condense val="0"/>
        <extend val="0"/>
        <outline val="0"/>
        <shadow val="0"/>
        <vertAlign val="baseline"/>
        <sz val="10"/>
        <color theme="1"/>
        <name val="Roboto"/>
      </font>
      <alignment horizontal="center" vertical="center"/>
    </dxf>
    <dxf>
      <alignment horizontal="center" vertical="center" textRotation="0" wrapText="0" indent="0" justifyLastLine="0" shrinkToFit="0" readingOrder="0"/>
    </dxf>
    <dxf>
      <font>
        <strike val="0"/>
        <condense val="0"/>
        <extend val="0"/>
        <outline val="0"/>
        <shadow val="0"/>
        <vertAlign val="baseline"/>
        <sz val="10"/>
        <color theme="1"/>
        <name val="Roboto"/>
      </font>
      <alignment horizontal="center" vertical="center"/>
    </dxf>
    <dxf>
      <alignment horizontal="center" vertical="center" textRotation="0" wrapText="0" indent="0" justifyLastLine="0" shrinkToFit="0" readingOrder="0"/>
    </dxf>
    <dxf>
      <font>
        <strike val="0"/>
        <condense val="0"/>
        <extend val="0"/>
        <outline val="0"/>
        <shadow val="0"/>
        <vertAlign val="baseline"/>
        <sz val="10"/>
        <color theme="1"/>
        <name val="Roboto"/>
      </font>
      <alignment horizontal="center" vertical="center"/>
    </dxf>
    <dxf>
      <alignment horizontal="center" vertical="center" textRotation="0" wrapText="0" indent="0" justifyLastLine="0" shrinkToFit="0" readingOrder="0"/>
    </dxf>
    <dxf>
      <font>
        <strike val="0"/>
        <condense val="0"/>
        <extend val="0"/>
        <outline val="0"/>
        <shadow val="0"/>
        <vertAlign val="baseline"/>
        <sz val="10"/>
        <color theme="1"/>
        <name val="Roboto"/>
      </font>
      <alignment horizontal="center" vertical="center"/>
    </dxf>
    <dxf>
      <alignment horizontal="center" vertical="center" textRotation="0" wrapText="0" indent="0" justifyLastLine="0" shrinkToFit="0" readingOrder="0"/>
    </dxf>
    <dxf>
      <font>
        <strike val="0"/>
        <condense val="0"/>
        <extend val="0"/>
        <outline val="0"/>
        <shadow val="0"/>
        <vertAlign val="baseline"/>
        <sz val="10"/>
        <color theme="1"/>
        <name val="Roboto"/>
      </font>
      <alignment horizontal="center" vertical="center"/>
    </dxf>
    <dxf>
      <alignment horizontal="center" vertical="center" textRotation="0" wrapText="0" indent="0" justifyLastLine="0" shrinkToFit="0" readingOrder="0"/>
    </dxf>
    <dxf>
      <font>
        <strike val="0"/>
        <condense val="0"/>
        <extend val="0"/>
        <outline val="0"/>
        <shadow val="0"/>
        <vertAlign val="baseline"/>
        <sz val="10"/>
        <color theme="1"/>
        <name val="Roboto"/>
      </font>
      <alignment horizontal="center" vertical="center"/>
    </dxf>
    <dxf>
      <alignment horizontal="center" vertical="center" textRotation="0" wrapText="0" indent="0" justifyLastLine="0" shrinkToFit="0" readingOrder="0"/>
    </dxf>
    <dxf>
      <font>
        <strike val="0"/>
        <condense val="0"/>
        <extend val="0"/>
        <outline val="0"/>
        <shadow val="0"/>
        <vertAlign val="baseline"/>
        <sz val="10"/>
        <color theme="1"/>
        <name val="Roboto"/>
      </font>
      <alignment horizontal="center" vertical="center"/>
    </dxf>
    <dxf>
      <alignment horizontal="center" vertical="center" textRotation="0" wrapText="0" indent="0" justifyLastLine="0" shrinkToFit="0" readingOrder="0"/>
    </dxf>
    <dxf>
      <font>
        <strike val="0"/>
        <condense val="0"/>
        <extend val="0"/>
        <outline val="0"/>
        <shadow val="0"/>
        <vertAlign val="baseline"/>
        <sz val="10"/>
        <color theme="1"/>
        <name val="Roboto"/>
      </font>
      <alignment horizontal="center" vertical="center"/>
      <border outline="0">
        <left style="thick">
          <color rgb="FFCCCCCC"/>
        </left>
        <right/>
        <top/>
        <bottom/>
      </border>
    </dxf>
    <dxf>
      <alignment horizontal="center" vertical="center" textRotation="0" wrapText="0" indent="0" justifyLastLine="0" shrinkToFit="0" readingOrder="0"/>
    </dxf>
    <dxf>
      <font>
        <strike val="0"/>
        <condense val="0"/>
        <extend val="0"/>
        <outline val="0"/>
        <shadow val="0"/>
        <vertAlign val="baseline"/>
        <sz val="10"/>
        <color theme="1"/>
        <name val="Roboto"/>
      </font>
      <alignment horizontal="center" vertical="center"/>
    </dxf>
    <dxf>
      <alignment horizontal="center" vertical="center" textRotation="0" wrapText="0" indent="0" justifyLastLine="0" shrinkToFit="0" readingOrder="0"/>
    </dxf>
    <dxf>
      <font>
        <strike val="0"/>
        <condense val="0"/>
        <extend val="0"/>
        <outline val="0"/>
        <shadow val="0"/>
        <vertAlign val="baseline"/>
        <sz val="10"/>
        <color theme="1"/>
        <name val="Roboto"/>
      </font>
      <alignment horizontal="center" vertical="center"/>
    </dxf>
    <dxf>
      <font>
        <strike val="0"/>
        <condense val="0"/>
        <extend val="0"/>
        <outline val="0"/>
        <shadow val="0"/>
        <vertAlign val="baseline"/>
        <sz val="10"/>
        <color theme="1"/>
        <name val="Roboto"/>
      </font>
      <alignment horizontal="general" vertical="center"/>
      <border outline="0">
        <left style="thick">
          <color rgb="FFD9D9D9"/>
        </left>
        <right/>
        <top/>
        <bottom/>
      </border>
    </dxf>
    <dxf>
      <alignment horizontal="center" vertical="bottom" textRotation="0" wrapText="0" indent="0" justifyLastLine="0" shrinkToFit="0" readingOrder="0"/>
    </dxf>
    <dxf>
      <font>
        <strike val="0"/>
        <condense val="0"/>
        <extend val="0"/>
        <outline val="0"/>
        <shadow val="0"/>
        <vertAlign val="baseline"/>
        <sz val="10"/>
        <color theme="1"/>
        <name val="Roboto"/>
      </font>
      <alignment horizontal="center" vertical="center"/>
    </dxf>
    <dxf>
      <alignment horizontal="center" vertical="bottom" textRotation="0" wrapText="0" indent="0" justifyLastLine="0" shrinkToFit="0" readingOrder="0"/>
    </dxf>
    <dxf>
      <font>
        <strike val="0"/>
        <condense val="0"/>
        <extend val="0"/>
        <outline val="0"/>
        <shadow val="0"/>
        <vertAlign val="baseline"/>
        <sz val="10"/>
        <color theme="1"/>
        <name val="Roboto"/>
      </font>
      <alignment horizontal="center" vertical="center"/>
    </dxf>
    <dxf>
      <font>
        <strike val="0"/>
        <condense val="0"/>
        <extend val="0"/>
        <outline val="0"/>
        <shadow val="0"/>
        <vertAlign val="baseline"/>
        <sz val="10"/>
        <color theme="1"/>
        <name val="Roboto"/>
      </font>
      <alignment horizontal="general" vertical="center"/>
    </dxf>
    <dxf>
      <numFmt numFmtId="0" formatCode="General"/>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rgb="FFF6F8F9"/>
          <bgColor rgb="FFF6F8F9"/>
        </patternFill>
      </fill>
    </dxf>
    <dxf>
      <fill>
        <patternFill patternType="solid">
          <fgColor rgb="FFFFFFFF"/>
          <bgColor rgb="FFFFFFFF"/>
        </patternFill>
      </fill>
    </dxf>
    <dxf>
      <fill>
        <patternFill patternType="solid">
          <fgColor rgb="FFBB463C"/>
          <bgColor rgb="FFBB463C"/>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4A568D"/>
          <bgColor rgb="FF4A568D"/>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CCD9D4"/>
          <bgColor rgb="FFCCD9D4"/>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5" defaultTableStyle="TableStyleMedium9" defaultPivotStyle="PivotStyleLight16">
    <tableStyle name="Scores-style" pivot="0" count="5" xr9:uid="{00000000-0011-0000-FFFF-FFFF00000000}">
      <tableStyleElement type="wholeTable" size="0" dxfId="159"/>
      <tableStyleElement type="headerRow" dxfId="158"/>
      <tableStyleElement type="totalRow" dxfId="157"/>
      <tableStyleElement type="firstRowStripe" dxfId="156"/>
      <tableStyleElement type="secondRowStripe" dxfId="155"/>
    </tableStyle>
    <tableStyle name="Questions-style" pivot="0" count="4" xr9:uid="{00000000-0011-0000-FFFF-FFFF01000000}">
      <tableStyleElement type="wholeTable" size="0" dxfId="154"/>
      <tableStyleElement type="headerRow" dxfId="153"/>
      <tableStyleElement type="firstRowStripe" dxfId="152"/>
      <tableStyleElement type="secondRowStripe" dxfId="151"/>
    </tableStyle>
    <tableStyle name="Content Standards-style" pivot="0" count="4" xr9:uid="{00000000-0011-0000-FFFF-FFFF02000000}">
      <tableStyleElement type="wholeTable" size="0" dxfId="150"/>
      <tableStyleElement type="headerRow" dxfId="149"/>
      <tableStyleElement type="firstRowStripe" dxfId="148"/>
      <tableStyleElement type="secondRowStripe" dxfId="147"/>
    </tableStyle>
    <tableStyle name="Task Models-style" pivot="0" count="4" xr9:uid="{00000000-0011-0000-FFFF-FFFF03000000}">
      <tableStyleElement type="wholeTable" size="0" dxfId="146"/>
      <tableStyleElement type="headerRow" dxfId="145"/>
      <tableStyleElement type="firstRowStripe" dxfId="144"/>
      <tableStyleElement type="secondRowStripe" dxfId="143"/>
    </tableStyle>
    <tableStyle name="Skill Standards-style" pivot="0" count="4" xr9:uid="{00000000-0011-0000-FFFF-FFFF04000000}">
      <tableStyleElement type="wholeTable" size="0" dxfId="142"/>
      <tableStyleElement type="headerRow" dxfId="141"/>
      <tableStyleElement type="firstRowStripe" dxfId="140"/>
      <tableStyleElement type="secondRowStripe" dxfId="13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cores" displayName="Scores" ref="A1:BQ105" totalsRowShown="0">
  <tableColumns count="69">
    <tableColumn id="1" xr3:uid="{00000000-0010-0000-0000-000001000000}" name="Class" totalsRowDxfId="135"/>
    <tableColumn id="2" xr3:uid="{00000000-0010-0000-0000-000002000000}" name="Grade" dataDxfId="133" totalsRowDxfId="134"/>
    <tableColumn id="3" xr3:uid="{00000000-0010-0000-0000-000003000000}" name="Period" dataDxfId="131" totalsRowDxfId="132"/>
    <tableColumn id="4" xr3:uid="{00000000-0010-0000-0000-000004000000}" name="Student Name" totalsRowDxfId="130"/>
    <tableColumn id="5" xr3:uid="{00000000-0010-0000-0000-000005000000}" name="ELL?" dataDxfId="128" totalsRowDxfId="129"/>
    <tableColumn id="6" xr3:uid="{00000000-0010-0000-0000-000006000000}" name="IEP?" dataDxfId="126" totalsRowDxfId="127"/>
    <tableColumn id="11" xr3:uid="{00000000-0010-0000-0000-00000B000000}" name="1" dataDxfId="124" totalsRowDxfId="125"/>
    <tableColumn id="12" xr3:uid="{00000000-0010-0000-0000-00000C000000}" name="2" dataDxfId="122" totalsRowDxfId="123"/>
    <tableColumn id="13" xr3:uid="{00000000-0010-0000-0000-00000D000000}" name="3" dataDxfId="120" totalsRowDxfId="121"/>
    <tableColumn id="14" xr3:uid="{00000000-0010-0000-0000-00000E000000}" name="4" dataDxfId="118" totalsRowDxfId="119"/>
    <tableColumn id="15" xr3:uid="{00000000-0010-0000-0000-00000F000000}" name="5" dataDxfId="116" totalsRowDxfId="117"/>
    <tableColumn id="16" xr3:uid="{00000000-0010-0000-0000-000010000000}" name="6" dataDxfId="114" totalsRowDxfId="115"/>
    <tableColumn id="17" xr3:uid="{00000000-0010-0000-0000-000011000000}" name="7" dataDxfId="112" totalsRowDxfId="113"/>
    <tableColumn id="18" xr3:uid="{00000000-0010-0000-0000-000012000000}" name="8" dataDxfId="110" totalsRowDxfId="111"/>
    <tableColumn id="19" xr3:uid="{00000000-0010-0000-0000-000013000000}" name="9" dataDxfId="108" totalsRowDxfId="109"/>
    <tableColumn id="20" xr3:uid="{00000000-0010-0000-0000-000014000000}" name="10" dataDxfId="106" totalsRowDxfId="107"/>
    <tableColumn id="21" xr3:uid="{00000000-0010-0000-0000-000015000000}" name="11" dataDxfId="104" totalsRowDxfId="105"/>
    <tableColumn id="22" xr3:uid="{00000000-0010-0000-0000-000016000000}" name="12" dataDxfId="102" totalsRowDxfId="103"/>
    <tableColumn id="23" xr3:uid="{00000000-0010-0000-0000-000017000000}" name="13" dataDxfId="100" totalsRowDxfId="101"/>
    <tableColumn id="24" xr3:uid="{00000000-0010-0000-0000-000018000000}" name="14" dataDxfId="98" totalsRowDxfId="99"/>
    <tableColumn id="25" xr3:uid="{00000000-0010-0000-0000-000019000000}" name="15" dataDxfId="96" totalsRowDxfId="97"/>
    <tableColumn id="26" xr3:uid="{00000000-0010-0000-0000-00001A000000}" name="16" dataDxfId="94" totalsRowDxfId="95"/>
    <tableColumn id="27" xr3:uid="{00000000-0010-0000-0000-00001B000000}" name="17" dataDxfId="92" totalsRowDxfId="93"/>
    <tableColumn id="28" xr3:uid="{00000000-0010-0000-0000-00001C000000}" name="18" dataDxfId="90" totalsRowDxfId="91"/>
    <tableColumn id="29" xr3:uid="{00000000-0010-0000-0000-00001D000000}" name="19" dataDxfId="88" totalsRowDxfId="89"/>
    <tableColumn id="30" xr3:uid="{00000000-0010-0000-0000-00001E000000}" name="20" dataDxfId="86" totalsRowDxfId="87"/>
    <tableColumn id="31" xr3:uid="{00000000-0010-0000-0000-00001F000000}" name="21" dataDxfId="84" totalsRowDxfId="85"/>
    <tableColumn id="32" xr3:uid="{00000000-0010-0000-0000-000020000000}" name="22" dataDxfId="82" totalsRowDxfId="83"/>
    <tableColumn id="33" xr3:uid="{00000000-0010-0000-0000-000021000000}" name="23" dataDxfId="80" totalsRowDxfId="81"/>
    <tableColumn id="34" xr3:uid="{00000000-0010-0000-0000-000022000000}" name="24" dataDxfId="78" totalsRowDxfId="79"/>
    <tableColumn id="35" xr3:uid="{00000000-0010-0000-0000-000023000000}" name="25" dataDxfId="76" totalsRowDxfId="77"/>
    <tableColumn id="36" xr3:uid="{00000000-0010-0000-0000-000024000000}" name="26" dataDxfId="74" totalsRowDxfId="75"/>
    <tableColumn id="37" xr3:uid="{00000000-0010-0000-0000-000025000000}" name="27" dataDxfId="72" totalsRowDxfId="73"/>
    <tableColumn id="38" xr3:uid="{00000000-0010-0000-0000-000026000000}" name="28" dataDxfId="70" totalsRowDxfId="71"/>
    <tableColumn id="7" xr3:uid="{C01B33B5-5B08-7B43-A697-68E34212D917}" name="29" dataDxfId="68" totalsRowDxfId="69"/>
    <tableColumn id="8" xr3:uid="{30C07121-F2FA-9048-8585-C6981A8B4069}" name="30" dataDxfId="66" totalsRowDxfId="67"/>
    <tableColumn id="9" xr3:uid="{B6B798C6-4EC9-FA4B-9CEF-6144AC466B92}" name="31" dataDxfId="64" totalsRowDxfId="65"/>
    <tableColumn id="10" xr3:uid="{A355BD93-92BC-3A4A-8B1F-9ADA2512EF9F}" name="32" dataDxfId="62" totalsRowDxfId="63"/>
    <tableColumn id="39" xr3:uid="{4A0E91A6-A610-D140-803D-02A987639139}" name="33" dataDxfId="60" totalsRowDxfId="61"/>
    <tableColumn id="40" xr3:uid="{F2C83CC1-93FA-DF49-BD43-4238A41FDFA8}" name="34a" dataDxfId="58" totalsRowDxfId="59"/>
    <tableColumn id="41" xr3:uid="{35387AC6-4F70-A549-8D87-576B0EB1FEEC}" name="34b" dataDxfId="56" totalsRowDxfId="57"/>
    <tableColumn id="42" xr3:uid="{4E8C4403-EBEB-1547-9284-E2678AE2A0A3}" name="Q1" dataDxfId="0" totalsRowDxfId="55">
      <calculatedColumnFormula>IF(G2=VLOOKUP(VALUE(G$1),Questions!$A:$E,5,FALSE),1,0)</calculatedColumnFormula>
    </tableColumn>
    <tableColumn id="43" xr3:uid="{186B05F5-684F-2747-A50A-9A152A0AEC9A}" name="Q2" dataDxfId="53" totalsRowDxfId="54">
      <calculatedColumnFormula>IF(H2=VLOOKUP(VALUE(H$1),Questions!$A:$E,5,FALSE),1,0)</calculatedColumnFormula>
    </tableColumn>
    <tableColumn id="44" xr3:uid="{4A66EF78-9209-914D-8107-20D46285CBC0}" name="Q3" dataDxfId="52" totalsRowDxfId="51">
      <calculatedColumnFormula>IF(I2=VLOOKUP(VALUE(I$1),Questions!$A:$E,5,FALSE),1,0)</calculatedColumnFormula>
    </tableColumn>
    <tableColumn id="45" xr3:uid="{3361D196-71CF-294B-AC95-1ED5615EEC23}" name="Q4" dataDxfId="50" totalsRowDxfId="49">
      <calculatedColumnFormula>IF(J2=VLOOKUP(VALUE(J$1),Questions!$A:$E,5,FALSE),1,0)</calculatedColumnFormula>
    </tableColumn>
    <tableColumn id="46" xr3:uid="{F3121D98-C0C3-5A40-8361-153BA205274C}" name="Q5" dataDxfId="48" totalsRowDxfId="47">
      <calculatedColumnFormula>IF(K2=VLOOKUP(VALUE(K$1),Questions!$A:$E,5,FALSE),1,0)</calculatedColumnFormula>
    </tableColumn>
    <tableColumn id="47" xr3:uid="{D39BA148-0608-E940-B870-3FC75FDF0B0C}" name="Q6" dataDxfId="46" totalsRowDxfId="45">
      <calculatedColumnFormula>IF(L2=VLOOKUP(VALUE(L$1),Questions!$A:$E,5,FALSE),1,0)</calculatedColumnFormula>
    </tableColumn>
    <tableColumn id="48" xr3:uid="{6163843C-5558-C64E-A622-33D92B3F4881}" name="Q7" dataDxfId="44" totalsRowDxfId="43">
      <calculatedColumnFormula>IF(M2=VLOOKUP(VALUE(M$1),Questions!$A:$E,5,FALSE),1,0)</calculatedColumnFormula>
    </tableColumn>
    <tableColumn id="49" xr3:uid="{1EA77F96-C4BA-2040-BEAB-9E5123860C9D}" name="Q8" dataDxfId="42" totalsRowDxfId="41">
      <calculatedColumnFormula>IF(N2=VLOOKUP(VALUE(N$1),Questions!$A:$E,5,FALSE),1,0)</calculatedColumnFormula>
    </tableColumn>
    <tableColumn id="50" xr3:uid="{9147C12C-2DD3-8149-8500-FD0BDBE06B6B}" name="Q9" dataDxfId="40" totalsRowDxfId="39">
      <calculatedColumnFormula>IF(O2=VLOOKUP(VALUE(O$1),Questions!$A:$E,5,FALSE),1,0)</calculatedColumnFormula>
    </tableColumn>
    <tableColumn id="51" xr3:uid="{348521FE-821A-EA4B-8D02-7ED7BB5C1164}" name="Q10" dataDxfId="38" totalsRowDxfId="37">
      <calculatedColumnFormula>IF(P2=VLOOKUP(VALUE(P$1),Questions!$A:$E,5,FALSE),1,0)</calculatedColumnFormula>
    </tableColumn>
    <tableColumn id="52" xr3:uid="{C3A92952-F622-0348-AC07-D886F705CBD4}" name="Q11" dataDxfId="36" totalsRowDxfId="35">
      <calculatedColumnFormula>IF(Q2=VLOOKUP(VALUE(Q$1),Questions!$A:$E,5,FALSE),1,0)</calculatedColumnFormula>
    </tableColumn>
    <tableColumn id="53" xr3:uid="{9B804D47-CA40-A14C-9E7E-A71D42B65FBA}" name="Q12" dataDxfId="34" totalsRowDxfId="33">
      <calculatedColumnFormula>IF(R2=VLOOKUP(VALUE(R$1),Questions!$A:$E,5,FALSE),1,0)</calculatedColumnFormula>
    </tableColumn>
    <tableColumn id="54" xr3:uid="{7038A619-5FF2-3546-932C-D271B18AA07E}" name="Q13" dataDxfId="32" totalsRowDxfId="31">
      <calculatedColumnFormula>IF(S2=VLOOKUP(VALUE(S$1),Questions!$A:$E,5,FALSE),1,0)</calculatedColumnFormula>
    </tableColumn>
    <tableColumn id="55" xr3:uid="{2172D2C7-F663-1144-8369-FDA2E44A21DD}" name="Q14" dataDxfId="30" totalsRowDxfId="29">
      <calculatedColumnFormula>IF(T2=VLOOKUP(VALUE(T$1),Questions!$A:$E,5,FALSE),1,0)</calculatedColumnFormula>
    </tableColumn>
    <tableColumn id="56" xr3:uid="{7C650571-1B65-2B41-B647-A9678E432653}" name="Q15" dataDxfId="28" totalsRowDxfId="27">
      <calculatedColumnFormula>IF(U2=VLOOKUP(VALUE(U$1),Questions!$A:$E,5,FALSE),1,0)</calculatedColumnFormula>
    </tableColumn>
    <tableColumn id="57" xr3:uid="{E974F396-33F0-5548-B052-8CC386F7DF40}" name="Q16" dataDxfId="26" totalsRowDxfId="25">
      <calculatedColumnFormula>IF(V2=VLOOKUP(VALUE(V$1),Questions!$A:$E,5,FALSE),1,0)</calculatedColumnFormula>
    </tableColumn>
    <tableColumn id="58" xr3:uid="{E79817B8-FFE9-B340-93EC-2CA997188377}" name="Q17" dataDxfId="24" totalsRowDxfId="23">
      <calculatedColumnFormula>IF(W2=VLOOKUP(VALUE(W$1),Questions!$A:$E,5,FALSE),1,0)</calculatedColumnFormula>
    </tableColumn>
    <tableColumn id="59" xr3:uid="{3878EB11-4312-FE4D-8F4F-C87B22360FC2}" name="Q18" dataDxfId="22" totalsRowDxfId="21">
      <calculatedColumnFormula>IF(X2=VLOOKUP(VALUE(X$1),Questions!$A:$E,5,FALSE),1,0)</calculatedColumnFormula>
    </tableColumn>
    <tableColumn id="60" xr3:uid="{284417BE-BC02-A140-851F-19435A0482AD}" name="Q19" dataDxfId="20" totalsRowDxfId="19">
      <calculatedColumnFormula>IF(Y2=VLOOKUP(VALUE(Y$1),Questions!$A:$E,5,FALSE),1,0)</calculatedColumnFormula>
    </tableColumn>
    <tableColumn id="61" xr3:uid="{2B260628-6D0C-5040-8C17-EAED1094DC46}" name="Q20" dataDxfId="18" totalsRowDxfId="17">
      <calculatedColumnFormula>IF(Z2=VLOOKUP(VALUE(Z$1),Questions!$A:$E,5,FALSE),1,0)</calculatedColumnFormula>
    </tableColumn>
    <tableColumn id="62" xr3:uid="{1CCD1589-6696-CC41-A999-87E7F50EF15C}" name="Q21" dataDxfId="16" totalsRowDxfId="15">
      <calculatedColumnFormula>IF(AA2=VLOOKUP(VALUE(AA$1),Questions!$A:$E,5,FALSE),1,0)</calculatedColumnFormula>
    </tableColumn>
    <tableColumn id="63" xr3:uid="{E1ED4070-4200-7543-9578-1A68CDD8913F}" name="Q22" dataDxfId="14" totalsRowDxfId="13">
      <calculatedColumnFormula>IF(AB2=VLOOKUP(VALUE(AB$1),Questions!$A:$E,5,FALSE),1,0)</calculatedColumnFormula>
    </tableColumn>
    <tableColumn id="64" xr3:uid="{CD80077B-5D0A-1C4A-9729-5CF2EA8F4A50}" name="Q23" dataDxfId="12" totalsRowDxfId="11">
      <calculatedColumnFormula>IF(AC2=VLOOKUP(VALUE(AC$1),Questions!$A:$E,5,FALSE),1,0)</calculatedColumnFormula>
    </tableColumn>
    <tableColumn id="65" xr3:uid="{BBCDAA8A-4F21-6E4F-B46F-F12D61291B1B}" name="Q24" dataDxfId="10" totalsRowDxfId="9">
      <calculatedColumnFormula>IF(AD2=VLOOKUP(VALUE(AD$1),Questions!$A:$E,5,FALSE),1,0)</calculatedColumnFormula>
    </tableColumn>
    <tableColumn id="66" xr3:uid="{F6E3F8BC-C13B-874C-B33D-31583EB08F89}" name="Q25" dataDxfId="8" totalsRowDxfId="7">
      <calculatedColumnFormula>IF(AE2=VLOOKUP(VALUE(AE$1),Questions!$A:$E,5,FALSE),1,0)</calculatedColumnFormula>
    </tableColumn>
    <tableColumn id="67" xr3:uid="{48F318CF-1157-0545-BD76-C96B1A484D16}" name="Q26" dataDxfId="6" totalsRowDxfId="5">
      <calculatedColumnFormula>IF(AF2=VLOOKUP(VALUE(AF$1),Questions!$A:$E,5,FALSE),1,0)</calculatedColumnFormula>
    </tableColumn>
    <tableColumn id="68" xr3:uid="{0AB9B92F-E95B-EE4B-9098-F2109EE4C127}" name="Q27" dataDxfId="4" totalsRowDxfId="3">
      <calculatedColumnFormula>IF(AG2=VLOOKUP(VALUE(AG$1),Questions!$A:$E,5,FALSE),1,0)</calculatedColumnFormula>
    </tableColumn>
    <tableColumn id="69" xr3:uid="{6843CE67-C336-284D-B601-EEA612315A24}" name="Q28" dataDxfId="2" totalsRowDxfId="1">
      <calculatedColumnFormula>IF(AH2=VLOOKUP(VALUE(AH$1),Questions!$A:$E,5,FALSE),1,0)</calculatedColumnFormula>
    </tableColumn>
  </tableColumns>
  <tableStyleInfo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estions" displayName="Questions" ref="A1:Q36">
  <tableColumns count="17">
    <tableColumn id="1" xr3:uid="{00000000-0010-0000-0100-000001000000}" name="#" dataDxfId="138"/>
    <tableColumn id="2" xr3:uid="{00000000-0010-0000-0100-000002000000}" name="Part" dataDxfId="137"/>
    <tableColumn id="3" xr3:uid="{00000000-0010-0000-0100-000003000000}" name="Stimulus"/>
    <tableColumn id="4" xr3:uid="{00000000-0010-0000-0100-000004000000}" name="Question"/>
    <tableColumn id="5" xr3:uid="{00000000-0010-0000-0100-000005000000}" name="Answer"/>
    <tableColumn id="6" xr3:uid="{00000000-0010-0000-0100-000006000000}" name="Full Answer"/>
    <tableColumn id="7" xr3:uid="{00000000-0010-0000-0100-000007000000}" name="Stimulus Type"/>
    <tableColumn id="8" xr3:uid="{00000000-0010-0000-0100-000008000000}" name="Source Type"/>
    <tableColumn id="9" xr3:uid="{00000000-0010-0000-0100-000009000000}" name="Task Model"/>
    <tableColumn id="10" xr3:uid="{00000000-0010-0000-0100-00000A000000}" name="Skill"/>
    <tableColumn id="11" xr3:uid="{00000000-0010-0000-0100-00000B000000}" name="Content"/>
    <tableColumn id="12" xr3:uid="{00000000-0010-0000-0100-00000C000000}" name="Need OI?"/>
    <tableColumn id="14" xr3:uid="{CB202329-2E0A-1044-A4BB-3323346A7E37}" name="Option 1"/>
    <tableColumn id="15" xr3:uid="{057EFDE1-CA39-2B4A-A349-BBFCB588AA08}" name="Option 2"/>
    <tableColumn id="16" xr3:uid="{EE309DA3-0F66-ED4C-ADDD-095F21B447F8}" name="Option 3"/>
    <tableColumn id="17" xr3:uid="{C97CE6A7-2077-8343-9B44-CA9FA5CE9DCB}" name="Option 4"/>
    <tableColumn id="13" xr3:uid="{83AB089D-1CB2-8247-BF94-8D428DEA8D65}" name="Pct_correct" dataDxfId="136">
      <calculatedColumnFormula>AVERAGE(INDEX(Scores[#Data],0,MATCH("Q"&amp;$A2,Scores[#Headers],0)))</calculatedColumnFormula>
    </tableColumn>
  </tableColumns>
  <tableStyleInfo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ontent_Standards" displayName="Content_Standards" ref="A1:E158">
  <autoFilter ref="A1:E158" xr:uid="{00000000-0009-0000-0100-000003000000}">
    <filterColumn colId="0">
      <filters>
        <filter val="10.01"/>
        <filter val="10.01a"/>
        <filter val="10.01a.1"/>
        <filter val="10.01a.2"/>
        <filter val="10.01a.3"/>
        <filter val="10.01b"/>
        <filter val="10.01b.1"/>
        <filter val="10.01b.2"/>
        <filter val="10.01b.3"/>
        <filter val="10.02"/>
        <filter val="10.02a"/>
        <filter val="10.02a.1"/>
        <filter val="10.02b"/>
        <filter val="10.02b.1"/>
        <filter val="10.02b.2"/>
        <filter val="10.02c"/>
        <filter val="10.02c.1"/>
        <filter val="10.02c.2"/>
        <filter val="10.02d"/>
        <filter val="10.02d.1"/>
        <filter val="10.03"/>
        <filter val="10.03a"/>
        <filter val="10.03a.1"/>
        <filter val="10.03b"/>
        <filter val="10.03b.1"/>
        <filter val="10.03b.2"/>
        <filter val="10.03b.3"/>
        <filter val="10.03c"/>
        <filter val="10.03c.1"/>
        <filter val="10.03d"/>
        <filter val="10.03d.1"/>
        <filter val="10.03d.2"/>
        <filter val="10.04"/>
        <filter val="10.04a"/>
        <filter val="10.04a.1"/>
        <filter val="10.04a.2"/>
        <filter val="10.04b"/>
        <filter val="10.04b.1"/>
        <filter val="10.04b.2"/>
        <filter val="10.04c"/>
        <filter val="10.04c.1"/>
        <filter val="10.05"/>
        <filter val="10.05a"/>
        <filter val="10.05a.1"/>
        <filter val="10.05b"/>
        <filter val="10.05b.1"/>
        <filter val="10.05c"/>
        <filter val="10.05c.1"/>
        <filter val="10.05d"/>
        <filter val="10.05d.1"/>
        <filter val="10.05d.2"/>
        <filter val="10.05d.3"/>
        <filter val="10.05d.4"/>
        <filter val="10.05e"/>
        <filter val="10.05e.1"/>
        <filter val="10.06"/>
        <filter val="10.06a"/>
        <filter val="10.06a.1"/>
        <filter val="10.06b"/>
        <filter val="10.06b.1"/>
        <filter val="10.06b.2"/>
        <filter val="10.06b.3"/>
        <filter val="10.06b.4"/>
        <filter val="10.06c"/>
        <filter val="10.06c.1"/>
        <filter val="10.06c.2"/>
        <filter val="10.07"/>
        <filter val="10.07a"/>
        <filter val="10.07a.1"/>
        <filter val="10.07a.2"/>
        <filter val="10.07b"/>
        <filter val="10.07b.1"/>
        <filter val="10.07c"/>
        <filter val="10.07c.1"/>
        <filter val="10.07c.2"/>
        <filter val="10.07d"/>
        <filter val="10.07d.1"/>
        <filter val="10.07d.2"/>
        <filter val="10.08"/>
        <filter val="10.08a"/>
        <filter val="10.08a.1"/>
        <filter val="10.08b"/>
        <filter val="10.08b.1"/>
        <filter val="10.08b.2"/>
        <filter val="10.09"/>
        <filter val="10.09a"/>
        <filter val="10.09a.1"/>
        <filter val="10.09a.2"/>
        <filter val="10.09b"/>
        <filter val="10.09b.1"/>
        <filter val="10.09c"/>
        <filter val="10.09c.1"/>
        <filter val="10.09c.2"/>
        <filter val="10.09c.3"/>
        <filter val="10.09d"/>
        <filter val="10.09d.1"/>
        <filter val="10.09d.2"/>
        <filter val="10.09d.3"/>
        <filter val="10.1"/>
        <filter val="10.10a"/>
        <filter val="10.10a.1"/>
        <filter val="10.10a.2"/>
        <filter val="10.10b"/>
        <filter val="10.10b.1"/>
        <filter val="10.10b.2"/>
        <filter val="10.10c"/>
        <filter val="10.10c.1"/>
        <filter val="10.10c.2"/>
        <filter val="10.10c.3"/>
        <filter val="10.10c.4"/>
        <filter val="11.09a.3"/>
        <filter val="11.09a.4"/>
        <filter val="11.09a.5"/>
        <filter val="11.09a.6"/>
        <filter val="11.09a.7"/>
        <filter val="11.09b"/>
        <filter val="11.09b.1"/>
        <filter val="11.09b.2"/>
        <filter val="11.09b.3"/>
        <filter val="11.09c"/>
        <filter val="11.09c.1"/>
        <filter val="11.09d"/>
        <filter val="11.09d.1"/>
        <filter val="11.10a"/>
        <filter val="11.10a.1"/>
        <filter val="11.10a.2"/>
        <filter val="11.10a.3"/>
        <filter val="11.10a.4"/>
        <filter val="11.10b"/>
        <filter val="11.10b.1"/>
        <filter val="11.10b.2"/>
        <filter val="11.10c"/>
        <filter val="11.10c.1"/>
        <filter val="11.10c.2"/>
        <filter val="11.10c.3"/>
        <filter val="11.11a"/>
        <filter val="11.11a.1"/>
        <filter val="11.11a.2"/>
        <filter val="11.11b"/>
        <filter val="11.11b.1"/>
        <filter val="11.11b.2"/>
        <filter val="11.11b.3"/>
        <filter val="11.11c"/>
        <filter val="11.11c.1"/>
        <filter val="11.11c.2"/>
        <filter val="11.11c.3"/>
      </filters>
    </filterColumn>
  </autoFilter>
  <sortState xmlns:xlrd2="http://schemas.microsoft.com/office/spreadsheetml/2017/richdata2" ref="A3:E158">
    <sortCondition ref="A1:A158"/>
  </sortState>
  <tableColumns count="5">
    <tableColumn id="1" xr3:uid="{00000000-0010-0000-0200-000001000000}" name="#"/>
    <tableColumn id="2" xr3:uid="{00000000-0010-0000-0200-000002000000}" name="Unit / Concept / Content"/>
    <tableColumn id="3" xr3:uid="{00000000-0010-0000-0200-000003000000}" name="Unit"/>
    <tableColumn id="4" xr3:uid="{00000000-0010-0000-0200-000004000000}" name="Conceptual Understanding"/>
    <tableColumn id="5" xr3:uid="{00000000-0010-0000-0200-000005000000}" name="Specifications"/>
  </tableColumns>
  <tableStyleInfo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sk_Models" displayName="Task_Models" ref="A1:D19">
  <tableColumns count="4">
    <tableColumn id="1" xr3:uid="{00000000-0010-0000-0300-000001000000}" name="Number"/>
    <tableColumn id="2" xr3:uid="{00000000-0010-0000-0300-000002000000}" name="Title"/>
    <tableColumn id="3" xr3:uid="{00000000-0010-0000-0300-000003000000}" name="Details"/>
    <tableColumn id="4" xr3:uid="{00000000-0010-0000-0300-000004000000}" name="Lookup Key"/>
  </tableColumns>
  <tableStyleInfo name="Task Models-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Skill_Standards" displayName="Skill_Standards" ref="A1:C42">
  <tableColumns count="3">
    <tableColumn id="1" xr3:uid="{00000000-0010-0000-0400-000001000000}" name="Skill"/>
    <tableColumn id="2" xr3:uid="{00000000-0010-0000-0400-000002000000}" name="Subdivision"/>
    <tableColumn id="3" xr3:uid="{00000000-0010-0000-0400-000003000000}" name="Detail"/>
  </tableColumns>
  <tableStyleInfo name="Skill Standard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Q105"/>
  <sheetViews>
    <sheetView showGridLines="0" tabSelected="1" workbookViewId="0">
      <pane ySplit="1" topLeftCell="A2" activePane="bottomLeft" state="frozen"/>
      <selection pane="bottomLeft" activeCell="B29" sqref="B29"/>
    </sheetView>
  </sheetViews>
  <sheetFormatPr baseColWidth="10" defaultColWidth="12.6640625" defaultRowHeight="13" customHeight="1" x14ac:dyDescent="0.15"/>
  <cols>
    <col min="2" max="2" width="12.6640625" style="7"/>
    <col min="3" max="3" width="8" style="7" customWidth="1"/>
    <col min="4" max="4" width="21.33203125" customWidth="1"/>
    <col min="5" max="6" width="12.6640625" style="8"/>
    <col min="7" max="41" width="6.83203125" style="8" customWidth="1"/>
  </cols>
  <sheetData>
    <row r="1" spans="1:69" ht="13" customHeight="1" x14ac:dyDescent="0.15">
      <c r="A1" t="s">
        <v>0</v>
      </c>
      <c r="B1" s="7" t="s">
        <v>1</v>
      </c>
      <c r="C1" s="7" t="s">
        <v>2</v>
      </c>
      <c r="D1"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c r="T1" s="8" t="s">
        <v>19</v>
      </c>
      <c r="U1" s="8" t="s">
        <v>20</v>
      </c>
      <c r="V1" s="8" t="s">
        <v>21</v>
      </c>
      <c r="W1" s="8" t="s">
        <v>22</v>
      </c>
      <c r="X1" s="8" t="s">
        <v>23</v>
      </c>
      <c r="Y1" s="8" t="s">
        <v>24</v>
      </c>
      <c r="Z1" s="8" t="s">
        <v>25</v>
      </c>
      <c r="AA1" s="8" t="s">
        <v>26</v>
      </c>
      <c r="AB1" s="8" t="s">
        <v>27</v>
      </c>
      <c r="AC1" s="8" t="s">
        <v>28</v>
      </c>
      <c r="AD1" s="8" t="s">
        <v>29</v>
      </c>
      <c r="AE1" s="8" t="s">
        <v>30</v>
      </c>
      <c r="AF1" s="8" t="s">
        <v>31</v>
      </c>
      <c r="AG1" s="8" t="s">
        <v>32</v>
      </c>
      <c r="AH1" s="8" t="s">
        <v>33</v>
      </c>
      <c r="AI1" s="8" t="s">
        <v>786</v>
      </c>
      <c r="AJ1" s="8" t="s">
        <v>787</v>
      </c>
      <c r="AK1" s="8" t="s">
        <v>788</v>
      </c>
      <c r="AL1" s="8" t="s">
        <v>789</v>
      </c>
      <c r="AM1" s="8" t="s">
        <v>790</v>
      </c>
      <c r="AN1" s="8" t="s">
        <v>784</v>
      </c>
      <c r="AO1" s="8" t="s">
        <v>785</v>
      </c>
      <c r="AP1" s="9" t="s">
        <v>805</v>
      </c>
      <c r="AQ1" s="9" t="s">
        <v>806</v>
      </c>
      <c r="AR1" s="9" t="s">
        <v>807</v>
      </c>
      <c r="AS1" s="9" t="s">
        <v>808</v>
      </c>
      <c r="AT1" s="9" t="s">
        <v>813</v>
      </c>
      <c r="AU1" s="9" t="s">
        <v>814</v>
      </c>
      <c r="AV1" s="9" t="s">
        <v>815</v>
      </c>
      <c r="AW1" s="9" t="s">
        <v>816</v>
      </c>
      <c r="AX1" s="9" t="s">
        <v>817</v>
      </c>
      <c r="AY1" s="9" t="s">
        <v>818</v>
      </c>
      <c r="AZ1" s="9" t="s">
        <v>819</v>
      </c>
      <c r="BA1" s="9" t="s">
        <v>809</v>
      </c>
      <c r="BB1" s="9" t="s">
        <v>820</v>
      </c>
      <c r="BC1" s="9" t="s">
        <v>821</v>
      </c>
      <c r="BD1" s="9" t="s">
        <v>822</v>
      </c>
      <c r="BE1" s="9" t="s">
        <v>811</v>
      </c>
      <c r="BF1" s="9" t="s">
        <v>823</v>
      </c>
      <c r="BG1" s="9" t="s">
        <v>824</v>
      </c>
      <c r="BH1" s="9" t="s">
        <v>825</v>
      </c>
      <c r="BI1" s="9" t="s">
        <v>826</v>
      </c>
      <c r="BJ1" s="9" t="s">
        <v>827</v>
      </c>
      <c r="BK1" s="9" t="s">
        <v>828</v>
      </c>
      <c r="BL1" s="9" t="s">
        <v>810</v>
      </c>
      <c r="BM1" s="9" t="s">
        <v>829</v>
      </c>
      <c r="BN1" s="9" t="s">
        <v>830</v>
      </c>
      <c r="BO1" s="9" t="s">
        <v>831</v>
      </c>
      <c r="BP1" s="9" t="s">
        <v>812</v>
      </c>
      <c r="BQ1" s="9" t="s">
        <v>832</v>
      </c>
    </row>
    <row r="2" spans="1:69" ht="13" customHeight="1" x14ac:dyDescent="0.15">
      <c r="A2" t="s">
        <v>34</v>
      </c>
      <c r="B2" s="7">
        <v>10</v>
      </c>
      <c r="C2" s="7">
        <v>4</v>
      </c>
      <c r="D2">
        <v>1</v>
      </c>
      <c r="G2" s="8">
        <v>4</v>
      </c>
      <c r="H2" s="8">
        <v>1</v>
      </c>
      <c r="I2" s="8">
        <v>3</v>
      </c>
      <c r="J2" s="8">
        <v>2</v>
      </c>
      <c r="K2" s="8">
        <v>4</v>
      </c>
      <c r="L2" s="8">
        <v>4</v>
      </c>
      <c r="M2" s="8">
        <v>2</v>
      </c>
      <c r="N2" s="8">
        <v>4</v>
      </c>
      <c r="O2" s="8">
        <v>1</v>
      </c>
      <c r="P2" s="8">
        <v>2</v>
      </c>
      <c r="Q2" s="8">
        <v>1</v>
      </c>
      <c r="R2" s="8">
        <v>4</v>
      </c>
      <c r="S2" s="8">
        <v>3</v>
      </c>
      <c r="T2" s="8">
        <v>4</v>
      </c>
      <c r="U2" s="8">
        <v>4</v>
      </c>
      <c r="V2" s="8">
        <v>2</v>
      </c>
      <c r="W2" s="8">
        <v>3</v>
      </c>
      <c r="X2" s="8">
        <v>4</v>
      </c>
      <c r="Y2" s="8">
        <v>1</v>
      </c>
      <c r="Z2" s="8">
        <v>2</v>
      </c>
      <c r="AA2" s="8">
        <v>4</v>
      </c>
      <c r="AB2" s="8">
        <v>2</v>
      </c>
      <c r="AC2" s="8">
        <v>2</v>
      </c>
      <c r="AD2" s="8">
        <v>3</v>
      </c>
      <c r="AE2" s="8">
        <v>3</v>
      </c>
      <c r="AF2" s="8">
        <v>4</v>
      </c>
      <c r="AG2" s="8">
        <v>2</v>
      </c>
      <c r="AH2" s="8">
        <v>2</v>
      </c>
      <c r="AI2" s="8">
        <v>1</v>
      </c>
      <c r="AJ2" s="8">
        <v>0</v>
      </c>
      <c r="AK2" s="8">
        <v>1</v>
      </c>
      <c r="AL2" s="8">
        <v>1</v>
      </c>
      <c r="AM2" s="8">
        <v>1</v>
      </c>
      <c r="AN2" s="8">
        <v>1</v>
      </c>
      <c r="AO2" s="8">
        <v>1</v>
      </c>
      <c r="AP2" s="8">
        <f>IF(G2=VLOOKUP(VALUE(G$1),Questions!$A:$E,5,FALSE),1,0)</f>
        <v>1</v>
      </c>
      <c r="AQ2" s="8">
        <f>IF(H2=VLOOKUP(VALUE(H$1),Questions!$A:$E,5,FALSE),1,0)</f>
        <v>1</v>
      </c>
      <c r="AR2" s="8">
        <f>IF(I2=VLOOKUP(VALUE(I$1),Questions!$A:$E,5,FALSE),1,0)</f>
        <v>1</v>
      </c>
      <c r="AS2" s="8">
        <f>IF(J2=VLOOKUP(VALUE(J$1),Questions!$A:$E,5,FALSE),1,0)</f>
        <v>1</v>
      </c>
      <c r="AT2" s="8">
        <f>IF(K2=VLOOKUP(VALUE(K$1),Questions!$A:$E,5,FALSE),1,0)</f>
        <v>0</v>
      </c>
      <c r="AU2" s="8">
        <f>IF(L2=VLOOKUP(VALUE(L$1),Questions!$A:$E,5,FALSE),1,0)</f>
        <v>0</v>
      </c>
      <c r="AV2" s="8">
        <f>IF(M2=VLOOKUP(VALUE(M$1),Questions!$A:$E,5,FALSE),1,0)</f>
        <v>1</v>
      </c>
      <c r="AW2" s="8">
        <f>IF(N2=VLOOKUP(VALUE(N$1),Questions!$A:$E,5,FALSE),1,0)</f>
        <v>0</v>
      </c>
      <c r="AX2" s="8">
        <f>IF(O2=VLOOKUP(VALUE(O$1),Questions!$A:$E,5,FALSE),1,0)</f>
        <v>1</v>
      </c>
      <c r="AY2" s="8">
        <f>IF(P2=VLOOKUP(VALUE(P$1),Questions!$A:$E,5,FALSE),1,0)</f>
        <v>0</v>
      </c>
      <c r="AZ2" s="8">
        <f>IF(Q2=VLOOKUP(VALUE(Q$1),Questions!$A:$E,5,FALSE),1,0)</f>
        <v>1</v>
      </c>
      <c r="BA2" s="8">
        <f>IF(R2=VLOOKUP(VALUE(R$1),Questions!$A:$E,5,FALSE),1,0)</f>
        <v>1</v>
      </c>
      <c r="BB2" s="8">
        <f>IF(S2=VLOOKUP(VALUE(S$1),Questions!$A:$E,5,FALSE),1,0)</f>
        <v>0</v>
      </c>
      <c r="BC2" s="8">
        <f>IF(T2=VLOOKUP(VALUE(T$1),Questions!$A:$E,5,FALSE),1,0)</f>
        <v>0</v>
      </c>
      <c r="BD2" s="8">
        <f>IF(U2=VLOOKUP(VALUE(U$1),Questions!$A:$E,5,FALSE),1,0)</f>
        <v>1</v>
      </c>
      <c r="BE2" s="8">
        <f>IF(V2=VLOOKUP(VALUE(V$1),Questions!$A:$E,5,FALSE),1,0)</f>
        <v>0</v>
      </c>
      <c r="BF2" s="8">
        <f>IF(W2=VLOOKUP(VALUE(W$1),Questions!$A:$E,5,FALSE),1,0)</f>
        <v>0</v>
      </c>
      <c r="BG2" s="8">
        <f>IF(X2=VLOOKUP(VALUE(X$1),Questions!$A:$E,5,FALSE),1,0)</f>
        <v>0</v>
      </c>
      <c r="BH2" s="8">
        <f>IF(Y2=VLOOKUP(VALUE(Y$1),Questions!$A:$E,5,FALSE),1,0)</f>
        <v>1</v>
      </c>
      <c r="BI2" s="8">
        <f>IF(Z2=VLOOKUP(VALUE(Z$1),Questions!$A:$E,5,FALSE),1,0)</f>
        <v>0</v>
      </c>
      <c r="BJ2" s="8">
        <f>IF(AA2=VLOOKUP(VALUE(AA$1),Questions!$A:$E,5,FALSE),1,0)</f>
        <v>1</v>
      </c>
      <c r="BK2" s="8">
        <f>IF(AB2=VLOOKUP(VALUE(AB$1),Questions!$A:$E,5,FALSE),1,0)</f>
        <v>1</v>
      </c>
      <c r="BL2" s="8">
        <f>IF(AC2=VLOOKUP(VALUE(AC$1),Questions!$A:$E,5,FALSE),1,0)</f>
        <v>1</v>
      </c>
      <c r="BM2" s="8">
        <f>IF(AD2=VLOOKUP(VALUE(AD$1),Questions!$A:$E,5,FALSE),1,0)</f>
        <v>1</v>
      </c>
      <c r="BN2" s="8">
        <f>IF(AE2=VLOOKUP(VALUE(AE$1),Questions!$A:$E,5,FALSE),1,0)</f>
        <v>0</v>
      </c>
      <c r="BO2" s="8">
        <f>IF(AF2=VLOOKUP(VALUE(AF$1),Questions!$A:$E,5,FALSE),1,0)</f>
        <v>1</v>
      </c>
      <c r="BP2" s="8">
        <f>IF(AG2=VLOOKUP(VALUE(AG$1),Questions!$A:$E,5,FALSE),1,0)</f>
        <v>0</v>
      </c>
      <c r="BQ2" s="8">
        <f>IF(AH2=VLOOKUP(VALUE(AH$1),Questions!$A:$E,5,FALSE),1,0)</f>
        <v>1</v>
      </c>
    </row>
    <row r="3" spans="1:69" ht="13" customHeight="1" x14ac:dyDescent="0.15">
      <c r="A3" t="s">
        <v>34</v>
      </c>
      <c r="B3" s="7">
        <v>10</v>
      </c>
      <c r="C3" s="7">
        <v>4</v>
      </c>
      <c r="D3">
        <v>2</v>
      </c>
      <c r="G3" s="8">
        <v>4</v>
      </c>
      <c r="H3" s="8">
        <v>1</v>
      </c>
      <c r="I3" s="8">
        <v>3</v>
      </c>
      <c r="J3" s="8">
        <v>4</v>
      </c>
      <c r="K3" s="8">
        <v>1</v>
      </c>
      <c r="L3" s="8">
        <v>2</v>
      </c>
      <c r="M3" s="8">
        <v>2</v>
      </c>
      <c r="N3" s="8">
        <v>3</v>
      </c>
      <c r="O3" s="8">
        <v>1</v>
      </c>
      <c r="P3" s="8">
        <v>1</v>
      </c>
      <c r="R3" s="8">
        <v>4</v>
      </c>
      <c r="S3" s="8">
        <v>2</v>
      </c>
      <c r="T3" s="8">
        <v>2</v>
      </c>
      <c r="U3" s="8">
        <v>3</v>
      </c>
      <c r="V3" s="8">
        <v>1</v>
      </c>
      <c r="W3" s="8">
        <v>4</v>
      </c>
      <c r="X3" s="8">
        <v>4</v>
      </c>
      <c r="Y3" s="8">
        <v>3</v>
      </c>
      <c r="Z3" s="8">
        <v>4</v>
      </c>
      <c r="AA3" s="8">
        <v>3</v>
      </c>
      <c r="AB3" s="8">
        <v>4</v>
      </c>
      <c r="AC3" s="8">
        <v>3</v>
      </c>
      <c r="AD3" s="8">
        <v>1</v>
      </c>
      <c r="AE3" s="8">
        <v>4</v>
      </c>
      <c r="AF3" s="8">
        <v>3</v>
      </c>
      <c r="AG3" s="8">
        <v>3</v>
      </c>
      <c r="AH3" s="8">
        <v>3</v>
      </c>
      <c r="AI3" s="8">
        <v>1</v>
      </c>
      <c r="AJ3" s="8">
        <v>0</v>
      </c>
      <c r="AK3" s="8">
        <v>1</v>
      </c>
      <c r="AL3" s="8">
        <v>1</v>
      </c>
      <c r="AM3" s="8">
        <v>1</v>
      </c>
      <c r="AN3" s="8">
        <v>1</v>
      </c>
      <c r="AO3" s="8">
        <v>1</v>
      </c>
      <c r="AP3" s="8">
        <f>IF(G3=VLOOKUP(VALUE(G$1),Questions!$A:$E,5,FALSE),1,0)</f>
        <v>1</v>
      </c>
      <c r="AQ3" s="8">
        <f>IF(H3=VLOOKUP(VALUE(H$1),Questions!$A:$E,5,FALSE),1,0)</f>
        <v>1</v>
      </c>
      <c r="AR3" s="8">
        <f>IF(I3=VLOOKUP(VALUE(I$1),Questions!$A:$E,5,FALSE),1,0)</f>
        <v>1</v>
      </c>
      <c r="AS3" s="8">
        <f>IF(J3=VLOOKUP(VALUE(J$1),Questions!$A:$E,5,FALSE),1,0)</f>
        <v>0</v>
      </c>
      <c r="AT3" s="8">
        <f>IF(K3=VLOOKUP(VALUE(K$1),Questions!$A:$E,5,FALSE),1,0)</f>
        <v>1</v>
      </c>
      <c r="AU3" s="8">
        <f>IF(L3=VLOOKUP(VALUE(L$1),Questions!$A:$E,5,FALSE),1,0)</f>
        <v>0</v>
      </c>
      <c r="AV3" s="8">
        <f>IF(M3=VLOOKUP(VALUE(M$1),Questions!$A:$E,5,FALSE),1,0)</f>
        <v>1</v>
      </c>
      <c r="AW3" s="8">
        <f>IF(N3=VLOOKUP(VALUE(N$1),Questions!$A:$E,5,FALSE),1,0)</f>
        <v>1</v>
      </c>
      <c r="AX3" s="8">
        <f>IF(O3=VLOOKUP(VALUE(O$1),Questions!$A:$E,5,FALSE),1,0)</f>
        <v>1</v>
      </c>
      <c r="AY3" s="8">
        <f>IF(P3=VLOOKUP(VALUE(P$1),Questions!$A:$E,5,FALSE),1,0)</f>
        <v>0</v>
      </c>
      <c r="AZ3" s="8">
        <f>IF(Q3=VLOOKUP(VALUE(Q$1),Questions!$A:$E,5,FALSE),1,0)</f>
        <v>0</v>
      </c>
      <c r="BA3" s="8">
        <f>IF(R3=VLOOKUP(VALUE(R$1),Questions!$A:$E,5,FALSE),1,0)</f>
        <v>1</v>
      </c>
      <c r="BB3" s="8">
        <f>IF(S3=VLOOKUP(VALUE(S$1),Questions!$A:$E,5,FALSE),1,0)</f>
        <v>1</v>
      </c>
      <c r="BC3" s="8">
        <f>IF(T3=VLOOKUP(VALUE(T$1),Questions!$A:$E,5,FALSE),1,0)</f>
        <v>1</v>
      </c>
      <c r="BD3" s="8">
        <f>IF(U3=VLOOKUP(VALUE(U$1),Questions!$A:$E,5,FALSE),1,0)</f>
        <v>0</v>
      </c>
      <c r="BE3" s="8">
        <f>IF(V3=VLOOKUP(VALUE(V$1),Questions!$A:$E,5,FALSE),1,0)</f>
        <v>0</v>
      </c>
      <c r="BF3" s="8">
        <f>IF(W3=VLOOKUP(VALUE(W$1),Questions!$A:$E,5,FALSE),1,0)</f>
        <v>1</v>
      </c>
      <c r="BG3" s="8">
        <f>IF(X3=VLOOKUP(VALUE(X$1),Questions!$A:$E,5,FALSE),1,0)</f>
        <v>0</v>
      </c>
      <c r="BH3" s="8">
        <f>IF(Y3=VLOOKUP(VALUE(Y$1),Questions!$A:$E,5,FALSE),1,0)</f>
        <v>0</v>
      </c>
      <c r="BI3" s="8">
        <f>IF(Z3=VLOOKUP(VALUE(Z$1),Questions!$A:$E,5,FALSE),1,0)</f>
        <v>0</v>
      </c>
      <c r="BJ3" s="8">
        <f>IF(AA3=VLOOKUP(VALUE(AA$1),Questions!$A:$E,5,FALSE),1,0)</f>
        <v>0</v>
      </c>
      <c r="BK3" s="8">
        <f>IF(AB3=VLOOKUP(VALUE(AB$1),Questions!$A:$E,5,FALSE),1,0)</f>
        <v>0</v>
      </c>
      <c r="BL3" s="8">
        <f>IF(AC3=VLOOKUP(VALUE(AC$1),Questions!$A:$E,5,FALSE),1,0)</f>
        <v>0</v>
      </c>
      <c r="BM3" s="8">
        <f>IF(AD3=VLOOKUP(VALUE(AD$1),Questions!$A:$E,5,FALSE),1,0)</f>
        <v>0</v>
      </c>
      <c r="BN3" s="8">
        <f>IF(AE3=VLOOKUP(VALUE(AE$1),Questions!$A:$E,5,FALSE),1,0)</f>
        <v>0</v>
      </c>
      <c r="BO3" s="8">
        <f>IF(AF3=VLOOKUP(VALUE(AF$1),Questions!$A:$E,5,FALSE),1,0)</f>
        <v>0</v>
      </c>
      <c r="BP3" s="8">
        <f>IF(AG3=VLOOKUP(VALUE(AG$1),Questions!$A:$E,5,FALSE),1,0)</f>
        <v>0</v>
      </c>
      <c r="BQ3" s="8">
        <f>IF(AH3=VLOOKUP(VALUE(AH$1),Questions!$A:$E,5,FALSE),1,0)</f>
        <v>0</v>
      </c>
    </row>
    <row r="4" spans="1:69" ht="13" customHeight="1" x14ac:dyDescent="0.15">
      <c r="A4" t="s">
        <v>34</v>
      </c>
      <c r="B4" s="7">
        <v>10</v>
      </c>
      <c r="C4" s="7">
        <v>4</v>
      </c>
      <c r="D4">
        <v>3</v>
      </c>
      <c r="G4" s="8">
        <v>4</v>
      </c>
      <c r="H4" s="8">
        <v>1</v>
      </c>
      <c r="I4" s="8">
        <v>3</v>
      </c>
      <c r="J4" s="8">
        <v>2</v>
      </c>
      <c r="K4" s="8">
        <v>1</v>
      </c>
      <c r="L4" s="8">
        <v>3</v>
      </c>
      <c r="M4" s="8">
        <v>4</v>
      </c>
      <c r="N4" s="8">
        <v>3</v>
      </c>
      <c r="O4" s="8">
        <v>1</v>
      </c>
      <c r="P4" s="8">
        <v>4</v>
      </c>
      <c r="Q4" s="8">
        <v>1</v>
      </c>
      <c r="R4" s="8">
        <v>4</v>
      </c>
      <c r="S4" s="8">
        <v>2</v>
      </c>
      <c r="T4" s="8">
        <v>3</v>
      </c>
      <c r="U4" s="8">
        <v>4</v>
      </c>
      <c r="V4" s="8">
        <v>3</v>
      </c>
      <c r="W4" s="8">
        <v>4</v>
      </c>
      <c r="X4" s="8">
        <v>4</v>
      </c>
      <c r="Y4" s="8">
        <v>1</v>
      </c>
      <c r="Z4" s="8">
        <v>3</v>
      </c>
      <c r="AA4" s="8">
        <v>4</v>
      </c>
      <c r="AB4" s="8">
        <v>1</v>
      </c>
      <c r="AC4" s="8">
        <v>2</v>
      </c>
      <c r="AD4" s="8">
        <v>4</v>
      </c>
      <c r="AE4" s="8">
        <v>2</v>
      </c>
      <c r="AF4" s="8">
        <v>4</v>
      </c>
      <c r="AG4" s="8">
        <v>1</v>
      </c>
      <c r="AH4" s="8">
        <v>3</v>
      </c>
      <c r="AP4" s="8">
        <f>IF(G4=VLOOKUP(VALUE(G$1),Questions!$A:$E,5,FALSE),1,0)</f>
        <v>1</v>
      </c>
      <c r="AQ4" s="8">
        <f>IF(H4=VLOOKUP(VALUE(H$1),Questions!$A:$E,5,FALSE),1,0)</f>
        <v>1</v>
      </c>
      <c r="AR4" s="8">
        <f>IF(I4=VLOOKUP(VALUE(I$1),Questions!$A:$E,5,FALSE),1,0)</f>
        <v>1</v>
      </c>
      <c r="AS4" s="8">
        <f>IF(J4=VLOOKUP(VALUE(J$1),Questions!$A:$E,5,FALSE),1,0)</f>
        <v>1</v>
      </c>
      <c r="AT4" s="8">
        <f>IF(K4=VLOOKUP(VALUE(K$1),Questions!$A:$E,5,FALSE),1,0)</f>
        <v>1</v>
      </c>
      <c r="AU4" s="8">
        <f>IF(L4=VLOOKUP(VALUE(L$1),Questions!$A:$E,5,FALSE),1,0)</f>
        <v>1</v>
      </c>
      <c r="AV4" s="8">
        <f>IF(M4=VLOOKUP(VALUE(M$1),Questions!$A:$E,5,FALSE),1,0)</f>
        <v>0</v>
      </c>
      <c r="AW4" s="8">
        <f>IF(N4=VLOOKUP(VALUE(N$1),Questions!$A:$E,5,FALSE),1,0)</f>
        <v>1</v>
      </c>
      <c r="AX4" s="8">
        <f>IF(O4=VLOOKUP(VALUE(O$1),Questions!$A:$E,5,FALSE),1,0)</f>
        <v>1</v>
      </c>
      <c r="AY4" s="8">
        <f>IF(P4=VLOOKUP(VALUE(P$1),Questions!$A:$E,5,FALSE),1,0)</f>
        <v>0</v>
      </c>
      <c r="AZ4" s="8">
        <f>IF(Q4=VLOOKUP(VALUE(Q$1),Questions!$A:$E,5,FALSE),1,0)</f>
        <v>1</v>
      </c>
      <c r="BA4" s="8">
        <f>IF(R4=VLOOKUP(VALUE(R$1),Questions!$A:$E,5,FALSE),1,0)</f>
        <v>1</v>
      </c>
      <c r="BB4" s="8">
        <f>IF(S4=VLOOKUP(VALUE(S$1),Questions!$A:$E,5,FALSE),1,0)</f>
        <v>1</v>
      </c>
      <c r="BC4" s="8">
        <f>IF(T4=VLOOKUP(VALUE(T$1),Questions!$A:$E,5,FALSE),1,0)</f>
        <v>0</v>
      </c>
      <c r="BD4" s="8">
        <f>IF(U4=VLOOKUP(VALUE(U$1),Questions!$A:$E,5,FALSE),1,0)</f>
        <v>1</v>
      </c>
      <c r="BE4" s="8">
        <f>IF(V4=VLOOKUP(VALUE(V$1),Questions!$A:$E,5,FALSE),1,0)</f>
        <v>1</v>
      </c>
      <c r="BF4" s="8">
        <f>IF(W4=VLOOKUP(VALUE(W$1),Questions!$A:$E,5,FALSE),1,0)</f>
        <v>1</v>
      </c>
      <c r="BG4" s="8">
        <f>IF(X4=VLOOKUP(VALUE(X$1),Questions!$A:$E,5,FALSE),1,0)</f>
        <v>0</v>
      </c>
      <c r="BH4" s="8">
        <f>IF(Y4=VLOOKUP(VALUE(Y$1),Questions!$A:$E,5,FALSE),1,0)</f>
        <v>1</v>
      </c>
      <c r="BI4" s="8">
        <f>IF(Z4=VLOOKUP(VALUE(Z$1),Questions!$A:$E,5,FALSE),1,0)</f>
        <v>1</v>
      </c>
      <c r="BJ4" s="8">
        <f>IF(AA4=VLOOKUP(VALUE(AA$1),Questions!$A:$E,5,FALSE),1,0)</f>
        <v>1</v>
      </c>
      <c r="BK4" s="8">
        <f>IF(AB4=VLOOKUP(VALUE(AB$1),Questions!$A:$E,5,FALSE),1,0)</f>
        <v>0</v>
      </c>
      <c r="BL4" s="8">
        <f>IF(AC4=VLOOKUP(VALUE(AC$1),Questions!$A:$E,5,FALSE),1,0)</f>
        <v>1</v>
      </c>
      <c r="BM4" s="8">
        <f>IF(AD4=VLOOKUP(VALUE(AD$1),Questions!$A:$E,5,FALSE),1,0)</f>
        <v>0</v>
      </c>
      <c r="BN4" s="8">
        <f>IF(AE4=VLOOKUP(VALUE(AE$1),Questions!$A:$E,5,FALSE),1,0)</f>
        <v>1</v>
      </c>
      <c r="BO4" s="8">
        <f>IF(AF4=VLOOKUP(VALUE(AF$1),Questions!$A:$E,5,FALSE),1,0)</f>
        <v>1</v>
      </c>
      <c r="BP4" s="8">
        <f>IF(AG4=VLOOKUP(VALUE(AG$1),Questions!$A:$E,5,FALSE),1,0)</f>
        <v>1</v>
      </c>
      <c r="BQ4" s="8">
        <f>IF(AH4=VLOOKUP(VALUE(AH$1),Questions!$A:$E,5,FALSE),1,0)</f>
        <v>0</v>
      </c>
    </row>
    <row r="5" spans="1:69" ht="13" customHeight="1" x14ac:dyDescent="0.15">
      <c r="A5" t="s">
        <v>34</v>
      </c>
      <c r="B5" s="7">
        <v>10</v>
      </c>
      <c r="C5" s="7">
        <v>4</v>
      </c>
      <c r="D5">
        <v>4</v>
      </c>
      <c r="G5" s="8">
        <v>4</v>
      </c>
      <c r="H5" s="8">
        <v>1</v>
      </c>
      <c r="I5" s="8">
        <v>3</v>
      </c>
      <c r="J5" s="8">
        <v>2</v>
      </c>
      <c r="K5" s="8">
        <v>1</v>
      </c>
      <c r="L5" s="8">
        <v>2</v>
      </c>
      <c r="M5" s="8">
        <v>4</v>
      </c>
      <c r="N5" s="8">
        <v>2</v>
      </c>
      <c r="O5" s="8">
        <v>1</v>
      </c>
      <c r="P5" s="8">
        <v>4</v>
      </c>
      <c r="Q5" s="8">
        <v>2</v>
      </c>
      <c r="R5" s="8">
        <v>2</v>
      </c>
      <c r="S5" s="8">
        <v>3</v>
      </c>
      <c r="T5" s="8">
        <v>2</v>
      </c>
      <c r="U5" s="8">
        <v>1</v>
      </c>
      <c r="V5" s="8">
        <v>2</v>
      </c>
      <c r="W5" s="8">
        <v>1</v>
      </c>
      <c r="X5" s="8">
        <v>3</v>
      </c>
      <c r="Y5" s="8">
        <v>4</v>
      </c>
      <c r="Z5" s="8">
        <v>1</v>
      </c>
      <c r="AA5" s="8">
        <v>3</v>
      </c>
      <c r="AB5" s="8">
        <v>2</v>
      </c>
      <c r="AC5" s="8">
        <v>1</v>
      </c>
      <c r="AD5" s="8">
        <v>3</v>
      </c>
      <c r="AE5" s="8">
        <v>1</v>
      </c>
      <c r="AF5" s="8">
        <v>3</v>
      </c>
      <c r="AG5" s="8">
        <v>2</v>
      </c>
      <c r="AH5" s="8">
        <v>2</v>
      </c>
      <c r="AI5" s="8">
        <v>1</v>
      </c>
      <c r="AJ5" s="8">
        <v>1</v>
      </c>
      <c r="AK5" s="8">
        <v>1</v>
      </c>
      <c r="AL5" s="8">
        <v>0</v>
      </c>
      <c r="AM5" s="8">
        <v>0</v>
      </c>
      <c r="AN5" s="8">
        <v>0</v>
      </c>
      <c r="AO5" s="8">
        <v>0</v>
      </c>
      <c r="AP5" s="8">
        <f>IF(G5=VLOOKUP(VALUE(G$1),Questions!$A:$E,5,FALSE),1,0)</f>
        <v>1</v>
      </c>
      <c r="AQ5" s="8">
        <f>IF(H5=VLOOKUP(VALUE(H$1),Questions!$A:$E,5,FALSE),1,0)</f>
        <v>1</v>
      </c>
      <c r="AR5" s="8">
        <f>IF(I5=VLOOKUP(VALUE(I$1),Questions!$A:$E,5,FALSE),1,0)</f>
        <v>1</v>
      </c>
      <c r="AS5" s="8">
        <f>IF(J5=VLOOKUP(VALUE(J$1),Questions!$A:$E,5,FALSE),1,0)</f>
        <v>1</v>
      </c>
      <c r="AT5" s="8">
        <f>IF(K5=VLOOKUP(VALUE(K$1),Questions!$A:$E,5,FALSE),1,0)</f>
        <v>1</v>
      </c>
      <c r="AU5" s="8">
        <f>IF(L5=VLOOKUP(VALUE(L$1),Questions!$A:$E,5,FALSE),1,0)</f>
        <v>0</v>
      </c>
      <c r="AV5" s="8">
        <f>IF(M5=VLOOKUP(VALUE(M$1),Questions!$A:$E,5,FALSE),1,0)</f>
        <v>0</v>
      </c>
      <c r="AW5" s="8">
        <f>IF(N5=VLOOKUP(VALUE(N$1),Questions!$A:$E,5,FALSE),1,0)</f>
        <v>0</v>
      </c>
      <c r="AX5" s="8">
        <f>IF(O5=VLOOKUP(VALUE(O$1),Questions!$A:$E,5,FALSE),1,0)</f>
        <v>1</v>
      </c>
      <c r="AY5" s="8">
        <f>IF(P5=VLOOKUP(VALUE(P$1),Questions!$A:$E,5,FALSE),1,0)</f>
        <v>0</v>
      </c>
      <c r="AZ5" s="8">
        <f>IF(Q5=VLOOKUP(VALUE(Q$1),Questions!$A:$E,5,FALSE),1,0)</f>
        <v>0</v>
      </c>
      <c r="BA5" s="8">
        <f>IF(R5=VLOOKUP(VALUE(R$1),Questions!$A:$E,5,FALSE),1,0)</f>
        <v>0</v>
      </c>
      <c r="BB5" s="8">
        <f>IF(S5=VLOOKUP(VALUE(S$1),Questions!$A:$E,5,FALSE),1,0)</f>
        <v>0</v>
      </c>
      <c r="BC5" s="8">
        <f>IF(T5=VLOOKUP(VALUE(T$1),Questions!$A:$E,5,FALSE),1,0)</f>
        <v>1</v>
      </c>
      <c r="BD5" s="8">
        <f>IF(U5=VLOOKUP(VALUE(U$1),Questions!$A:$E,5,FALSE),1,0)</f>
        <v>0</v>
      </c>
      <c r="BE5" s="8">
        <f>IF(V5=VLOOKUP(VALUE(V$1),Questions!$A:$E,5,FALSE),1,0)</f>
        <v>0</v>
      </c>
      <c r="BF5" s="8">
        <f>IF(W5=VLOOKUP(VALUE(W$1),Questions!$A:$E,5,FALSE),1,0)</f>
        <v>0</v>
      </c>
      <c r="BG5" s="8">
        <f>IF(X5=VLOOKUP(VALUE(X$1),Questions!$A:$E,5,FALSE),1,0)</f>
        <v>1</v>
      </c>
      <c r="BH5" s="8">
        <f>IF(Y5=VLOOKUP(VALUE(Y$1),Questions!$A:$E,5,FALSE),1,0)</f>
        <v>0</v>
      </c>
      <c r="BI5" s="8">
        <f>IF(Z5=VLOOKUP(VALUE(Z$1),Questions!$A:$E,5,FALSE),1,0)</f>
        <v>0</v>
      </c>
      <c r="BJ5" s="8">
        <f>IF(AA5=VLOOKUP(VALUE(AA$1),Questions!$A:$E,5,FALSE),1,0)</f>
        <v>0</v>
      </c>
      <c r="BK5" s="8">
        <f>IF(AB5=VLOOKUP(VALUE(AB$1),Questions!$A:$E,5,FALSE),1,0)</f>
        <v>1</v>
      </c>
      <c r="BL5" s="8">
        <f>IF(AC5=VLOOKUP(VALUE(AC$1),Questions!$A:$E,5,FALSE),1,0)</f>
        <v>0</v>
      </c>
      <c r="BM5" s="8">
        <f>IF(AD5=VLOOKUP(VALUE(AD$1),Questions!$A:$E,5,FALSE),1,0)</f>
        <v>1</v>
      </c>
      <c r="BN5" s="8">
        <f>IF(AE5=VLOOKUP(VALUE(AE$1),Questions!$A:$E,5,FALSE),1,0)</f>
        <v>0</v>
      </c>
      <c r="BO5" s="8">
        <f>IF(AF5=VLOOKUP(VALUE(AF$1),Questions!$A:$E,5,FALSE),1,0)</f>
        <v>0</v>
      </c>
      <c r="BP5" s="8">
        <f>IF(AG5=VLOOKUP(VALUE(AG$1),Questions!$A:$E,5,FALSE),1,0)</f>
        <v>0</v>
      </c>
      <c r="BQ5" s="8">
        <f>IF(AH5=VLOOKUP(VALUE(AH$1),Questions!$A:$E,5,FALSE),1,0)</f>
        <v>1</v>
      </c>
    </row>
    <row r="6" spans="1:69" ht="13" customHeight="1" x14ac:dyDescent="0.15">
      <c r="A6" t="s">
        <v>34</v>
      </c>
      <c r="B6" s="7">
        <v>10</v>
      </c>
      <c r="C6" s="7">
        <v>4</v>
      </c>
      <c r="D6">
        <v>5</v>
      </c>
      <c r="G6" s="8">
        <v>4</v>
      </c>
      <c r="H6" s="8">
        <v>1</v>
      </c>
      <c r="I6" s="8">
        <v>3</v>
      </c>
      <c r="J6" s="8">
        <v>2</v>
      </c>
      <c r="K6" s="8">
        <v>3</v>
      </c>
      <c r="L6" s="8">
        <v>3</v>
      </c>
      <c r="M6" s="8">
        <v>2</v>
      </c>
      <c r="N6" s="8">
        <v>3</v>
      </c>
      <c r="O6" s="8">
        <v>3</v>
      </c>
      <c r="P6" s="8">
        <v>4</v>
      </c>
      <c r="Q6" s="8">
        <v>1</v>
      </c>
      <c r="R6" s="8">
        <v>4</v>
      </c>
      <c r="S6" s="8">
        <v>2</v>
      </c>
      <c r="T6" s="8">
        <v>3</v>
      </c>
      <c r="U6" s="8">
        <v>4</v>
      </c>
      <c r="V6" s="8">
        <v>3</v>
      </c>
      <c r="W6" s="8">
        <v>4</v>
      </c>
      <c r="X6" s="8">
        <v>4</v>
      </c>
      <c r="Y6" s="8">
        <v>1</v>
      </c>
      <c r="Z6" s="8">
        <v>3</v>
      </c>
      <c r="AA6" s="8">
        <v>3</v>
      </c>
      <c r="AB6" s="8">
        <v>2</v>
      </c>
      <c r="AC6" s="8">
        <v>1</v>
      </c>
      <c r="AD6" s="8">
        <v>3</v>
      </c>
      <c r="AE6" s="8">
        <v>2</v>
      </c>
      <c r="AF6" s="8">
        <v>1</v>
      </c>
      <c r="AI6" s="8">
        <v>1</v>
      </c>
      <c r="AJ6" s="8">
        <v>1</v>
      </c>
      <c r="AK6" s="8">
        <v>1</v>
      </c>
      <c r="AL6" s="8">
        <v>1</v>
      </c>
      <c r="AM6" s="8">
        <v>1</v>
      </c>
      <c r="AN6" s="8">
        <v>1</v>
      </c>
      <c r="AO6" s="8">
        <v>0</v>
      </c>
      <c r="AP6" s="8">
        <f>IF(G6=VLOOKUP(VALUE(G$1),Questions!$A:$E,5,FALSE),1,0)</f>
        <v>1</v>
      </c>
      <c r="AQ6" s="8">
        <f>IF(H6=VLOOKUP(VALUE(H$1),Questions!$A:$E,5,FALSE),1,0)</f>
        <v>1</v>
      </c>
      <c r="AR6" s="8">
        <f>IF(I6=VLOOKUP(VALUE(I$1),Questions!$A:$E,5,FALSE),1,0)</f>
        <v>1</v>
      </c>
      <c r="AS6" s="8">
        <f>IF(J6=VLOOKUP(VALUE(J$1),Questions!$A:$E,5,FALSE),1,0)</f>
        <v>1</v>
      </c>
      <c r="AT6" s="8">
        <f>IF(K6=VLOOKUP(VALUE(K$1),Questions!$A:$E,5,FALSE),1,0)</f>
        <v>0</v>
      </c>
      <c r="AU6" s="8">
        <f>IF(L6=VLOOKUP(VALUE(L$1),Questions!$A:$E,5,FALSE),1,0)</f>
        <v>1</v>
      </c>
      <c r="AV6" s="8">
        <f>IF(M6=VLOOKUP(VALUE(M$1),Questions!$A:$E,5,FALSE),1,0)</f>
        <v>1</v>
      </c>
      <c r="AW6" s="8">
        <f>IF(N6=VLOOKUP(VALUE(N$1),Questions!$A:$E,5,FALSE),1,0)</f>
        <v>1</v>
      </c>
      <c r="AX6" s="8">
        <f>IF(O6=VLOOKUP(VALUE(O$1),Questions!$A:$E,5,FALSE),1,0)</f>
        <v>0</v>
      </c>
      <c r="AY6" s="8">
        <f>IF(P6=VLOOKUP(VALUE(P$1),Questions!$A:$E,5,FALSE),1,0)</f>
        <v>0</v>
      </c>
      <c r="AZ6" s="8">
        <f>IF(Q6=VLOOKUP(VALUE(Q$1),Questions!$A:$E,5,FALSE),1,0)</f>
        <v>1</v>
      </c>
      <c r="BA6" s="8">
        <f>IF(R6=VLOOKUP(VALUE(R$1),Questions!$A:$E,5,FALSE),1,0)</f>
        <v>1</v>
      </c>
      <c r="BB6" s="8">
        <f>IF(S6=VLOOKUP(VALUE(S$1),Questions!$A:$E,5,FALSE),1,0)</f>
        <v>1</v>
      </c>
      <c r="BC6" s="8">
        <f>IF(T6=VLOOKUP(VALUE(T$1),Questions!$A:$E,5,FALSE),1,0)</f>
        <v>0</v>
      </c>
      <c r="BD6" s="8">
        <f>IF(U6=VLOOKUP(VALUE(U$1),Questions!$A:$E,5,FALSE),1,0)</f>
        <v>1</v>
      </c>
      <c r="BE6" s="8">
        <f>IF(V6=VLOOKUP(VALUE(V$1),Questions!$A:$E,5,FALSE),1,0)</f>
        <v>1</v>
      </c>
      <c r="BF6" s="8">
        <f>IF(W6=VLOOKUP(VALUE(W$1),Questions!$A:$E,5,FALSE),1,0)</f>
        <v>1</v>
      </c>
      <c r="BG6" s="8">
        <f>IF(X6=VLOOKUP(VALUE(X$1),Questions!$A:$E,5,FALSE),1,0)</f>
        <v>0</v>
      </c>
      <c r="BH6" s="8">
        <f>IF(Y6=VLOOKUP(VALUE(Y$1),Questions!$A:$E,5,FALSE),1,0)</f>
        <v>1</v>
      </c>
      <c r="BI6" s="8">
        <f>IF(Z6=VLOOKUP(VALUE(Z$1),Questions!$A:$E,5,FALSE),1,0)</f>
        <v>1</v>
      </c>
      <c r="BJ6" s="8">
        <f>IF(AA6=VLOOKUP(VALUE(AA$1),Questions!$A:$E,5,FALSE),1,0)</f>
        <v>0</v>
      </c>
      <c r="BK6" s="8">
        <f>IF(AB6=VLOOKUP(VALUE(AB$1),Questions!$A:$E,5,FALSE),1,0)</f>
        <v>1</v>
      </c>
      <c r="BL6" s="8">
        <f>IF(AC6=VLOOKUP(VALUE(AC$1),Questions!$A:$E,5,FALSE),1,0)</f>
        <v>0</v>
      </c>
      <c r="BM6" s="8">
        <f>IF(AD6=VLOOKUP(VALUE(AD$1),Questions!$A:$E,5,FALSE),1,0)</f>
        <v>1</v>
      </c>
      <c r="BN6" s="8">
        <f>IF(AE6=VLOOKUP(VALUE(AE$1),Questions!$A:$E,5,FALSE),1,0)</f>
        <v>1</v>
      </c>
      <c r="BO6" s="8">
        <f>IF(AF6=VLOOKUP(VALUE(AF$1),Questions!$A:$E,5,FALSE),1,0)</f>
        <v>0</v>
      </c>
      <c r="BP6" s="8">
        <f>IF(AG6=VLOOKUP(VALUE(AG$1),Questions!$A:$E,5,FALSE),1,0)</f>
        <v>0</v>
      </c>
      <c r="BQ6" s="8">
        <f>IF(AH6=VLOOKUP(VALUE(AH$1),Questions!$A:$E,5,FALSE),1,0)</f>
        <v>0</v>
      </c>
    </row>
    <row r="7" spans="1:69" ht="13" customHeight="1" x14ac:dyDescent="0.15">
      <c r="A7" t="s">
        <v>34</v>
      </c>
      <c r="B7" s="7">
        <v>10</v>
      </c>
      <c r="C7" s="7">
        <v>4</v>
      </c>
      <c r="D7">
        <v>6</v>
      </c>
      <c r="G7" s="8">
        <v>2</v>
      </c>
      <c r="H7" s="8">
        <v>3</v>
      </c>
      <c r="I7" s="8">
        <v>3</v>
      </c>
      <c r="J7" s="8">
        <v>2</v>
      </c>
      <c r="K7" s="8">
        <v>3</v>
      </c>
      <c r="L7" s="8">
        <v>3</v>
      </c>
      <c r="M7" s="8">
        <v>2</v>
      </c>
      <c r="N7" s="8">
        <v>3</v>
      </c>
      <c r="O7" s="8">
        <v>1</v>
      </c>
      <c r="P7" s="8">
        <v>3</v>
      </c>
      <c r="Q7" s="8">
        <v>1</v>
      </c>
      <c r="R7" s="8">
        <v>4</v>
      </c>
      <c r="S7" s="8">
        <v>3</v>
      </c>
      <c r="T7" s="8">
        <v>3</v>
      </c>
      <c r="U7" s="8">
        <v>4</v>
      </c>
      <c r="V7" s="8">
        <v>3</v>
      </c>
      <c r="W7" s="8">
        <v>4</v>
      </c>
      <c r="X7" s="8">
        <v>3</v>
      </c>
      <c r="Y7" s="8">
        <v>1</v>
      </c>
      <c r="Z7" s="8">
        <v>3</v>
      </c>
      <c r="AA7" s="8">
        <v>4</v>
      </c>
      <c r="AB7" s="8">
        <v>2</v>
      </c>
      <c r="AC7" s="8">
        <v>3</v>
      </c>
      <c r="AD7" s="8">
        <v>4</v>
      </c>
      <c r="AE7" s="8">
        <v>2</v>
      </c>
      <c r="AF7" s="8">
        <v>4</v>
      </c>
      <c r="AG7" s="8">
        <v>2</v>
      </c>
      <c r="AH7" s="8">
        <v>2</v>
      </c>
      <c r="AP7" s="8">
        <f>IF(G7=VLOOKUP(VALUE(G$1),Questions!$A:$E,5,FALSE),1,0)</f>
        <v>0</v>
      </c>
      <c r="AQ7" s="8">
        <f>IF(H7=VLOOKUP(VALUE(H$1),Questions!$A:$E,5,FALSE),1,0)</f>
        <v>0</v>
      </c>
      <c r="AR7" s="8">
        <f>IF(I7=VLOOKUP(VALUE(I$1),Questions!$A:$E,5,FALSE),1,0)</f>
        <v>1</v>
      </c>
      <c r="AS7" s="8">
        <f>IF(J7=VLOOKUP(VALUE(J$1),Questions!$A:$E,5,FALSE),1,0)</f>
        <v>1</v>
      </c>
      <c r="AT7" s="8">
        <f>IF(K7=VLOOKUP(VALUE(K$1),Questions!$A:$E,5,FALSE),1,0)</f>
        <v>0</v>
      </c>
      <c r="AU7" s="8">
        <f>IF(L7=VLOOKUP(VALUE(L$1),Questions!$A:$E,5,FALSE),1,0)</f>
        <v>1</v>
      </c>
      <c r="AV7" s="8">
        <f>IF(M7=VLOOKUP(VALUE(M$1),Questions!$A:$E,5,FALSE),1,0)</f>
        <v>1</v>
      </c>
      <c r="AW7" s="8">
        <f>IF(N7=VLOOKUP(VALUE(N$1),Questions!$A:$E,5,FALSE),1,0)</f>
        <v>1</v>
      </c>
      <c r="AX7" s="8">
        <f>IF(O7=VLOOKUP(VALUE(O$1),Questions!$A:$E,5,FALSE),1,0)</f>
        <v>1</v>
      </c>
      <c r="AY7" s="8">
        <f>IF(P7=VLOOKUP(VALUE(P$1),Questions!$A:$E,5,FALSE),1,0)</f>
        <v>1</v>
      </c>
      <c r="AZ7" s="8">
        <f>IF(Q7=VLOOKUP(VALUE(Q$1),Questions!$A:$E,5,FALSE),1,0)</f>
        <v>1</v>
      </c>
      <c r="BA7" s="8">
        <f>IF(R7=VLOOKUP(VALUE(R$1),Questions!$A:$E,5,FALSE),1,0)</f>
        <v>1</v>
      </c>
      <c r="BB7" s="8">
        <f>IF(S7=VLOOKUP(VALUE(S$1),Questions!$A:$E,5,FALSE),1,0)</f>
        <v>0</v>
      </c>
      <c r="BC7" s="8">
        <f>IF(T7=VLOOKUP(VALUE(T$1),Questions!$A:$E,5,FALSE),1,0)</f>
        <v>0</v>
      </c>
      <c r="BD7" s="8">
        <f>IF(U7=VLOOKUP(VALUE(U$1),Questions!$A:$E,5,FALSE),1,0)</f>
        <v>1</v>
      </c>
      <c r="BE7" s="8">
        <f>IF(V7=VLOOKUP(VALUE(V$1),Questions!$A:$E,5,FALSE),1,0)</f>
        <v>1</v>
      </c>
      <c r="BF7" s="8">
        <f>IF(W7=VLOOKUP(VALUE(W$1),Questions!$A:$E,5,FALSE),1,0)</f>
        <v>1</v>
      </c>
      <c r="BG7" s="8">
        <f>IF(X7=VLOOKUP(VALUE(X$1),Questions!$A:$E,5,FALSE),1,0)</f>
        <v>1</v>
      </c>
      <c r="BH7" s="8">
        <f>IF(Y7=VLOOKUP(VALUE(Y$1),Questions!$A:$E,5,FALSE),1,0)</f>
        <v>1</v>
      </c>
      <c r="BI7" s="8">
        <f>IF(Z7=VLOOKUP(VALUE(Z$1),Questions!$A:$E,5,FALSE),1,0)</f>
        <v>1</v>
      </c>
      <c r="BJ7" s="8">
        <f>IF(AA7=VLOOKUP(VALUE(AA$1),Questions!$A:$E,5,FALSE),1,0)</f>
        <v>1</v>
      </c>
      <c r="BK7" s="8">
        <f>IF(AB7=VLOOKUP(VALUE(AB$1),Questions!$A:$E,5,FALSE),1,0)</f>
        <v>1</v>
      </c>
      <c r="BL7" s="8">
        <f>IF(AC7=VLOOKUP(VALUE(AC$1),Questions!$A:$E,5,FALSE),1,0)</f>
        <v>0</v>
      </c>
      <c r="BM7" s="8">
        <f>IF(AD7=VLOOKUP(VALUE(AD$1),Questions!$A:$E,5,FALSE),1,0)</f>
        <v>0</v>
      </c>
      <c r="BN7" s="8">
        <f>IF(AE7=VLOOKUP(VALUE(AE$1),Questions!$A:$E,5,FALSE),1,0)</f>
        <v>1</v>
      </c>
      <c r="BO7" s="8">
        <f>IF(AF7=VLOOKUP(VALUE(AF$1),Questions!$A:$E,5,FALSE),1,0)</f>
        <v>1</v>
      </c>
      <c r="BP7" s="8">
        <f>IF(AG7=VLOOKUP(VALUE(AG$1),Questions!$A:$E,5,FALSE),1,0)</f>
        <v>0</v>
      </c>
      <c r="BQ7" s="8">
        <f>IF(AH7=VLOOKUP(VALUE(AH$1),Questions!$A:$E,5,FALSE),1,0)</f>
        <v>1</v>
      </c>
    </row>
    <row r="8" spans="1:69" ht="13" customHeight="1" x14ac:dyDescent="0.15">
      <c r="A8" t="s">
        <v>34</v>
      </c>
      <c r="B8" s="7">
        <v>10</v>
      </c>
      <c r="C8" s="7">
        <v>4</v>
      </c>
      <c r="D8">
        <v>7</v>
      </c>
      <c r="G8" s="8">
        <v>4</v>
      </c>
      <c r="H8" s="8">
        <v>1</v>
      </c>
      <c r="I8" s="8">
        <v>3</v>
      </c>
      <c r="J8" s="8">
        <v>2</v>
      </c>
      <c r="K8" s="8">
        <v>1</v>
      </c>
      <c r="L8" s="8">
        <v>1</v>
      </c>
      <c r="M8" s="8">
        <v>2</v>
      </c>
      <c r="N8" s="8">
        <v>4</v>
      </c>
      <c r="O8" s="8">
        <v>1</v>
      </c>
      <c r="P8" s="8">
        <v>3</v>
      </c>
      <c r="Q8" s="8">
        <v>1</v>
      </c>
      <c r="R8" s="8">
        <v>4</v>
      </c>
      <c r="S8" s="8">
        <v>1</v>
      </c>
      <c r="T8" s="8">
        <v>2</v>
      </c>
      <c r="U8" s="8">
        <v>4</v>
      </c>
      <c r="V8" s="8">
        <v>3</v>
      </c>
      <c r="W8" s="8">
        <v>4</v>
      </c>
      <c r="X8" s="8">
        <v>4</v>
      </c>
      <c r="Y8" s="8">
        <v>1</v>
      </c>
      <c r="Z8" s="8">
        <v>3</v>
      </c>
      <c r="AA8" s="8">
        <v>4</v>
      </c>
      <c r="AB8" s="8">
        <v>2</v>
      </c>
      <c r="AC8" s="8">
        <v>2</v>
      </c>
      <c r="AD8" s="8">
        <v>1</v>
      </c>
      <c r="AE8" s="8">
        <v>3</v>
      </c>
      <c r="AF8" s="8">
        <v>1</v>
      </c>
      <c r="AG8" s="8">
        <v>2</v>
      </c>
      <c r="AH8" s="8">
        <v>2</v>
      </c>
      <c r="AI8" s="8">
        <v>1</v>
      </c>
      <c r="AJ8" s="8">
        <v>0</v>
      </c>
      <c r="AK8" s="8">
        <v>1</v>
      </c>
      <c r="AL8" s="8">
        <v>1</v>
      </c>
      <c r="AM8" s="8">
        <v>1</v>
      </c>
      <c r="AN8" s="8">
        <v>1</v>
      </c>
      <c r="AO8" s="8">
        <v>1</v>
      </c>
      <c r="AP8" s="8">
        <f>IF(G8=VLOOKUP(VALUE(G$1),Questions!$A:$E,5,FALSE),1,0)</f>
        <v>1</v>
      </c>
      <c r="AQ8" s="8">
        <f>IF(H8=VLOOKUP(VALUE(H$1),Questions!$A:$E,5,FALSE),1,0)</f>
        <v>1</v>
      </c>
      <c r="AR8" s="8">
        <f>IF(I8=VLOOKUP(VALUE(I$1),Questions!$A:$E,5,FALSE),1,0)</f>
        <v>1</v>
      </c>
      <c r="AS8" s="8">
        <f>IF(J8=VLOOKUP(VALUE(J$1),Questions!$A:$E,5,FALSE),1,0)</f>
        <v>1</v>
      </c>
      <c r="AT8" s="8">
        <f>IF(K8=VLOOKUP(VALUE(K$1),Questions!$A:$E,5,FALSE),1,0)</f>
        <v>1</v>
      </c>
      <c r="AU8" s="8">
        <f>IF(L8=VLOOKUP(VALUE(L$1),Questions!$A:$E,5,FALSE),1,0)</f>
        <v>0</v>
      </c>
      <c r="AV8" s="8">
        <f>IF(M8=VLOOKUP(VALUE(M$1),Questions!$A:$E,5,FALSE),1,0)</f>
        <v>1</v>
      </c>
      <c r="AW8" s="8">
        <f>IF(N8=VLOOKUP(VALUE(N$1),Questions!$A:$E,5,FALSE),1,0)</f>
        <v>0</v>
      </c>
      <c r="AX8" s="8">
        <f>IF(O8=VLOOKUP(VALUE(O$1),Questions!$A:$E,5,FALSE),1,0)</f>
        <v>1</v>
      </c>
      <c r="AY8" s="8">
        <f>IF(P8=VLOOKUP(VALUE(P$1),Questions!$A:$E,5,FALSE),1,0)</f>
        <v>1</v>
      </c>
      <c r="AZ8" s="8">
        <f>IF(Q8=VLOOKUP(VALUE(Q$1),Questions!$A:$E,5,FALSE),1,0)</f>
        <v>1</v>
      </c>
      <c r="BA8" s="8">
        <f>IF(R8=VLOOKUP(VALUE(R$1),Questions!$A:$E,5,FALSE),1,0)</f>
        <v>1</v>
      </c>
      <c r="BB8" s="8">
        <f>IF(S8=VLOOKUP(VALUE(S$1),Questions!$A:$E,5,FALSE),1,0)</f>
        <v>0</v>
      </c>
      <c r="BC8" s="8">
        <f>IF(T8=VLOOKUP(VALUE(T$1),Questions!$A:$E,5,FALSE),1,0)</f>
        <v>1</v>
      </c>
      <c r="BD8" s="8">
        <f>IF(U8=VLOOKUP(VALUE(U$1),Questions!$A:$E,5,FALSE),1,0)</f>
        <v>1</v>
      </c>
      <c r="BE8" s="8">
        <f>IF(V8=VLOOKUP(VALUE(V$1),Questions!$A:$E,5,FALSE),1,0)</f>
        <v>1</v>
      </c>
      <c r="BF8" s="8">
        <f>IF(W8=VLOOKUP(VALUE(W$1),Questions!$A:$E,5,FALSE),1,0)</f>
        <v>1</v>
      </c>
      <c r="BG8" s="8">
        <f>IF(X8=VLOOKUP(VALUE(X$1),Questions!$A:$E,5,FALSE),1,0)</f>
        <v>0</v>
      </c>
      <c r="BH8" s="8">
        <f>IF(Y8=VLOOKUP(VALUE(Y$1),Questions!$A:$E,5,FALSE),1,0)</f>
        <v>1</v>
      </c>
      <c r="BI8" s="8">
        <f>IF(Z8=VLOOKUP(VALUE(Z$1),Questions!$A:$E,5,FALSE),1,0)</f>
        <v>1</v>
      </c>
      <c r="BJ8" s="8">
        <f>IF(AA8=VLOOKUP(VALUE(AA$1),Questions!$A:$E,5,FALSE),1,0)</f>
        <v>1</v>
      </c>
      <c r="BK8" s="8">
        <f>IF(AB8=VLOOKUP(VALUE(AB$1),Questions!$A:$E,5,FALSE),1,0)</f>
        <v>1</v>
      </c>
      <c r="BL8" s="8">
        <f>IF(AC8=VLOOKUP(VALUE(AC$1),Questions!$A:$E,5,FALSE),1,0)</f>
        <v>1</v>
      </c>
      <c r="BM8" s="8">
        <f>IF(AD8=VLOOKUP(VALUE(AD$1),Questions!$A:$E,5,FALSE),1,0)</f>
        <v>0</v>
      </c>
      <c r="BN8" s="8">
        <f>IF(AE8=VLOOKUP(VALUE(AE$1),Questions!$A:$E,5,FALSE),1,0)</f>
        <v>0</v>
      </c>
      <c r="BO8" s="8">
        <f>IF(AF8=VLOOKUP(VALUE(AF$1),Questions!$A:$E,5,FALSE),1,0)</f>
        <v>0</v>
      </c>
      <c r="BP8" s="8">
        <f>IF(AG8=VLOOKUP(VALUE(AG$1),Questions!$A:$E,5,FALSE),1,0)</f>
        <v>0</v>
      </c>
      <c r="BQ8" s="8">
        <f>IF(AH8=VLOOKUP(VALUE(AH$1),Questions!$A:$E,5,FALSE),1,0)</f>
        <v>1</v>
      </c>
    </row>
    <row r="9" spans="1:69" ht="13" customHeight="1" x14ac:dyDescent="0.15">
      <c r="A9" t="s">
        <v>34</v>
      </c>
      <c r="B9" s="7">
        <v>10</v>
      </c>
      <c r="C9" s="7">
        <v>4</v>
      </c>
      <c r="D9">
        <v>8</v>
      </c>
      <c r="G9" s="8">
        <v>4</v>
      </c>
      <c r="H9" s="8">
        <v>1</v>
      </c>
      <c r="I9" s="8">
        <v>3</v>
      </c>
      <c r="J9" s="8">
        <v>2</v>
      </c>
      <c r="K9" s="8">
        <v>1</v>
      </c>
      <c r="L9" s="8">
        <v>3</v>
      </c>
      <c r="M9" s="8">
        <v>2</v>
      </c>
      <c r="N9" s="8">
        <v>3</v>
      </c>
      <c r="O9" s="8">
        <v>3</v>
      </c>
      <c r="P9" s="8">
        <v>4</v>
      </c>
      <c r="Q9" s="8">
        <v>1</v>
      </c>
      <c r="R9" s="8">
        <v>1</v>
      </c>
      <c r="S9" s="8">
        <v>2</v>
      </c>
      <c r="T9" s="8">
        <v>3</v>
      </c>
      <c r="U9" s="8">
        <v>4</v>
      </c>
      <c r="V9" s="8">
        <v>2</v>
      </c>
      <c r="W9" s="8">
        <v>1</v>
      </c>
      <c r="X9" s="8">
        <v>3</v>
      </c>
      <c r="Y9" s="8">
        <v>2</v>
      </c>
      <c r="Z9" s="8">
        <v>4</v>
      </c>
      <c r="AA9" s="8">
        <v>1</v>
      </c>
      <c r="AB9" s="8">
        <v>3</v>
      </c>
      <c r="AC9" s="8">
        <v>4</v>
      </c>
      <c r="AD9" s="8">
        <v>3</v>
      </c>
      <c r="AE9" s="8">
        <v>2</v>
      </c>
      <c r="AF9" s="8">
        <v>1</v>
      </c>
      <c r="AG9" s="8">
        <v>1</v>
      </c>
      <c r="AH9" s="8">
        <v>3</v>
      </c>
      <c r="AI9" s="8">
        <v>0</v>
      </c>
      <c r="AJ9" s="8">
        <v>1</v>
      </c>
      <c r="AK9" s="8">
        <v>1</v>
      </c>
      <c r="AL9" s="8">
        <v>1</v>
      </c>
      <c r="AM9" s="8">
        <v>1</v>
      </c>
      <c r="AN9" s="8">
        <v>1</v>
      </c>
      <c r="AO9" s="8">
        <v>0</v>
      </c>
      <c r="AP9" s="8">
        <f>IF(G9=VLOOKUP(VALUE(G$1),Questions!$A:$E,5,FALSE),1,0)</f>
        <v>1</v>
      </c>
      <c r="AQ9" s="8">
        <f>IF(H9=VLOOKUP(VALUE(H$1),Questions!$A:$E,5,FALSE),1,0)</f>
        <v>1</v>
      </c>
      <c r="AR9" s="8">
        <f>IF(I9=VLOOKUP(VALUE(I$1),Questions!$A:$E,5,FALSE),1,0)</f>
        <v>1</v>
      </c>
      <c r="AS9" s="8">
        <f>IF(J9=VLOOKUP(VALUE(J$1),Questions!$A:$E,5,FALSE),1,0)</f>
        <v>1</v>
      </c>
      <c r="AT9" s="8">
        <f>IF(K9=VLOOKUP(VALUE(K$1),Questions!$A:$E,5,FALSE),1,0)</f>
        <v>1</v>
      </c>
      <c r="AU9" s="8">
        <f>IF(L9=VLOOKUP(VALUE(L$1),Questions!$A:$E,5,FALSE),1,0)</f>
        <v>1</v>
      </c>
      <c r="AV9" s="8">
        <f>IF(M9=VLOOKUP(VALUE(M$1),Questions!$A:$E,5,FALSE),1,0)</f>
        <v>1</v>
      </c>
      <c r="AW9" s="8">
        <f>IF(N9=VLOOKUP(VALUE(N$1),Questions!$A:$E,5,FALSE),1,0)</f>
        <v>1</v>
      </c>
      <c r="AX9" s="8">
        <f>IF(O9=VLOOKUP(VALUE(O$1),Questions!$A:$E,5,FALSE),1,0)</f>
        <v>0</v>
      </c>
      <c r="AY9" s="8">
        <f>IF(P9=VLOOKUP(VALUE(P$1),Questions!$A:$E,5,FALSE),1,0)</f>
        <v>0</v>
      </c>
      <c r="AZ9" s="8">
        <f>IF(Q9=VLOOKUP(VALUE(Q$1),Questions!$A:$E,5,FALSE),1,0)</f>
        <v>1</v>
      </c>
      <c r="BA9" s="8">
        <f>IF(R9=VLOOKUP(VALUE(R$1),Questions!$A:$E,5,FALSE),1,0)</f>
        <v>0</v>
      </c>
      <c r="BB9" s="8">
        <f>IF(S9=VLOOKUP(VALUE(S$1),Questions!$A:$E,5,FALSE),1,0)</f>
        <v>1</v>
      </c>
      <c r="BC9" s="8">
        <f>IF(T9=VLOOKUP(VALUE(T$1),Questions!$A:$E,5,FALSE),1,0)</f>
        <v>0</v>
      </c>
      <c r="BD9" s="8">
        <f>IF(U9=VLOOKUP(VALUE(U$1),Questions!$A:$E,5,FALSE),1,0)</f>
        <v>1</v>
      </c>
      <c r="BE9" s="8">
        <f>IF(V9=VLOOKUP(VALUE(V$1),Questions!$A:$E,5,FALSE),1,0)</f>
        <v>0</v>
      </c>
      <c r="BF9" s="8">
        <f>IF(W9=VLOOKUP(VALUE(W$1),Questions!$A:$E,5,FALSE),1,0)</f>
        <v>0</v>
      </c>
      <c r="BG9" s="8">
        <f>IF(X9=VLOOKUP(VALUE(X$1),Questions!$A:$E,5,FALSE),1,0)</f>
        <v>1</v>
      </c>
      <c r="BH9" s="8">
        <f>IF(Y9=VLOOKUP(VALUE(Y$1),Questions!$A:$E,5,FALSE),1,0)</f>
        <v>0</v>
      </c>
      <c r="BI9" s="8">
        <f>IF(Z9=VLOOKUP(VALUE(Z$1),Questions!$A:$E,5,FALSE),1,0)</f>
        <v>0</v>
      </c>
      <c r="BJ9" s="8">
        <f>IF(AA9=VLOOKUP(VALUE(AA$1),Questions!$A:$E,5,FALSE),1,0)</f>
        <v>0</v>
      </c>
      <c r="BK9" s="8">
        <f>IF(AB9=VLOOKUP(VALUE(AB$1),Questions!$A:$E,5,FALSE),1,0)</f>
        <v>0</v>
      </c>
      <c r="BL9" s="8">
        <f>IF(AC9=VLOOKUP(VALUE(AC$1),Questions!$A:$E,5,FALSE),1,0)</f>
        <v>0</v>
      </c>
      <c r="BM9" s="8">
        <f>IF(AD9=VLOOKUP(VALUE(AD$1),Questions!$A:$E,5,FALSE),1,0)</f>
        <v>1</v>
      </c>
      <c r="BN9" s="8">
        <f>IF(AE9=VLOOKUP(VALUE(AE$1),Questions!$A:$E,5,FALSE),1,0)</f>
        <v>1</v>
      </c>
      <c r="BO9" s="8">
        <f>IF(AF9=VLOOKUP(VALUE(AF$1),Questions!$A:$E,5,FALSE),1,0)</f>
        <v>0</v>
      </c>
      <c r="BP9" s="8">
        <f>IF(AG9=VLOOKUP(VALUE(AG$1),Questions!$A:$E,5,FALSE),1,0)</f>
        <v>1</v>
      </c>
      <c r="BQ9" s="8">
        <f>IF(AH9=VLOOKUP(VALUE(AH$1),Questions!$A:$E,5,FALSE),1,0)</f>
        <v>0</v>
      </c>
    </row>
    <row r="10" spans="1:69" ht="13" customHeight="1" x14ac:dyDescent="0.15">
      <c r="A10" t="s">
        <v>34</v>
      </c>
      <c r="B10" s="7">
        <v>10</v>
      </c>
      <c r="C10" s="7">
        <v>4</v>
      </c>
      <c r="D10">
        <v>9</v>
      </c>
      <c r="AI10" s="8">
        <v>0</v>
      </c>
      <c r="AP10" s="8">
        <f>IF(G10=VLOOKUP(VALUE(G$1),Questions!$A:$E,5,FALSE),1,0)</f>
        <v>0</v>
      </c>
      <c r="AQ10" s="8">
        <f>IF(H10=VLOOKUP(VALUE(H$1),Questions!$A:$E,5,FALSE),1,0)</f>
        <v>0</v>
      </c>
      <c r="AR10" s="8">
        <f>IF(I10=VLOOKUP(VALUE(I$1),Questions!$A:$E,5,FALSE),1,0)</f>
        <v>0</v>
      </c>
      <c r="AS10" s="8">
        <f>IF(J10=VLOOKUP(VALUE(J$1),Questions!$A:$E,5,FALSE),1,0)</f>
        <v>0</v>
      </c>
      <c r="AT10" s="8">
        <f>IF(K10=VLOOKUP(VALUE(K$1),Questions!$A:$E,5,FALSE),1,0)</f>
        <v>0</v>
      </c>
      <c r="AU10" s="8">
        <f>IF(L10=VLOOKUP(VALUE(L$1),Questions!$A:$E,5,FALSE),1,0)</f>
        <v>0</v>
      </c>
      <c r="AV10" s="8">
        <f>IF(M10=VLOOKUP(VALUE(M$1),Questions!$A:$E,5,FALSE),1,0)</f>
        <v>0</v>
      </c>
      <c r="AW10" s="8">
        <f>IF(N10=VLOOKUP(VALUE(N$1),Questions!$A:$E,5,FALSE),1,0)</f>
        <v>0</v>
      </c>
      <c r="AX10" s="8">
        <f>IF(O10=VLOOKUP(VALUE(O$1),Questions!$A:$E,5,FALSE),1,0)</f>
        <v>0</v>
      </c>
      <c r="AY10" s="8">
        <f>IF(P10=VLOOKUP(VALUE(P$1),Questions!$A:$E,5,FALSE),1,0)</f>
        <v>0</v>
      </c>
      <c r="AZ10" s="8">
        <f>IF(Q10=VLOOKUP(VALUE(Q$1),Questions!$A:$E,5,FALSE),1,0)</f>
        <v>0</v>
      </c>
      <c r="BA10" s="8">
        <f>IF(R10=VLOOKUP(VALUE(R$1),Questions!$A:$E,5,FALSE),1,0)</f>
        <v>0</v>
      </c>
      <c r="BB10" s="8">
        <f>IF(S10=VLOOKUP(VALUE(S$1),Questions!$A:$E,5,FALSE),1,0)</f>
        <v>0</v>
      </c>
      <c r="BC10" s="8">
        <f>IF(T10=VLOOKUP(VALUE(T$1),Questions!$A:$E,5,FALSE),1,0)</f>
        <v>0</v>
      </c>
      <c r="BD10" s="8">
        <f>IF(U10=VLOOKUP(VALUE(U$1),Questions!$A:$E,5,FALSE),1,0)</f>
        <v>0</v>
      </c>
      <c r="BE10" s="8">
        <f>IF(V10=VLOOKUP(VALUE(V$1),Questions!$A:$E,5,FALSE),1,0)</f>
        <v>0</v>
      </c>
      <c r="BF10" s="8">
        <f>IF(W10=VLOOKUP(VALUE(W$1),Questions!$A:$E,5,FALSE),1,0)</f>
        <v>0</v>
      </c>
      <c r="BG10" s="8">
        <f>IF(X10=VLOOKUP(VALUE(X$1),Questions!$A:$E,5,FALSE),1,0)</f>
        <v>0</v>
      </c>
      <c r="BH10" s="8">
        <f>IF(Y10=VLOOKUP(VALUE(Y$1),Questions!$A:$E,5,FALSE),1,0)</f>
        <v>0</v>
      </c>
      <c r="BI10" s="8">
        <f>IF(Z10=VLOOKUP(VALUE(Z$1),Questions!$A:$E,5,FALSE),1,0)</f>
        <v>0</v>
      </c>
      <c r="BJ10" s="8">
        <f>IF(AA10=VLOOKUP(VALUE(AA$1),Questions!$A:$E,5,FALSE),1,0)</f>
        <v>0</v>
      </c>
      <c r="BK10" s="8">
        <f>IF(AB10=VLOOKUP(VALUE(AB$1),Questions!$A:$E,5,FALSE),1,0)</f>
        <v>0</v>
      </c>
      <c r="BL10" s="8">
        <f>IF(AC10=VLOOKUP(VALUE(AC$1),Questions!$A:$E,5,FALSE),1,0)</f>
        <v>0</v>
      </c>
      <c r="BM10" s="8">
        <f>IF(AD10=VLOOKUP(VALUE(AD$1),Questions!$A:$E,5,FALSE),1,0)</f>
        <v>0</v>
      </c>
      <c r="BN10" s="8">
        <f>IF(AE10=VLOOKUP(VALUE(AE$1),Questions!$A:$E,5,FALSE),1,0)</f>
        <v>0</v>
      </c>
      <c r="BO10" s="8">
        <f>IF(AF10=VLOOKUP(VALUE(AF$1),Questions!$A:$E,5,FALSE),1,0)</f>
        <v>0</v>
      </c>
      <c r="BP10" s="8">
        <f>IF(AG10=VLOOKUP(VALUE(AG$1),Questions!$A:$E,5,FALSE),1,0)</f>
        <v>0</v>
      </c>
      <c r="BQ10" s="8">
        <f>IF(AH10=VLOOKUP(VALUE(AH$1),Questions!$A:$E,5,FALSE),1,0)</f>
        <v>0</v>
      </c>
    </row>
    <row r="11" spans="1:69" ht="13" customHeight="1" x14ac:dyDescent="0.15">
      <c r="A11" t="s">
        <v>34</v>
      </c>
      <c r="B11" s="7">
        <v>10</v>
      </c>
      <c r="C11" s="7">
        <v>4</v>
      </c>
      <c r="D11">
        <v>10</v>
      </c>
      <c r="G11" s="8">
        <v>4</v>
      </c>
      <c r="H11" s="8">
        <v>1</v>
      </c>
      <c r="I11" s="8">
        <v>3</v>
      </c>
      <c r="J11" s="8">
        <v>2</v>
      </c>
      <c r="K11" s="8">
        <v>1</v>
      </c>
      <c r="L11" s="8">
        <v>3</v>
      </c>
      <c r="M11" s="8">
        <v>2</v>
      </c>
      <c r="N11" s="8">
        <v>3</v>
      </c>
      <c r="O11" s="8">
        <v>1</v>
      </c>
      <c r="P11" s="8">
        <v>4</v>
      </c>
      <c r="Q11" s="8">
        <v>1</v>
      </c>
      <c r="R11" s="8">
        <v>4</v>
      </c>
      <c r="S11" s="8">
        <v>2</v>
      </c>
      <c r="T11" s="8">
        <v>2</v>
      </c>
      <c r="U11" s="8">
        <v>4</v>
      </c>
      <c r="V11" s="8">
        <v>3</v>
      </c>
      <c r="W11" s="8">
        <v>4</v>
      </c>
      <c r="X11" s="8">
        <v>4</v>
      </c>
      <c r="Y11" s="8">
        <v>1</v>
      </c>
      <c r="Z11" s="8">
        <v>3</v>
      </c>
      <c r="AA11" s="8">
        <v>4</v>
      </c>
      <c r="AB11" s="8">
        <v>2</v>
      </c>
      <c r="AC11" s="8">
        <v>3</v>
      </c>
      <c r="AD11" s="8">
        <v>3</v>
      </c>
      <c r="AE11" s="8">
        <v>2</v>
      </c>
      <c r="AF11" s="8">
        <v>4</v>
      </c>
      <c r="AG11" s="8">
        <v>1</v>
      </c>
      <c r="AH11" s="8">
        <v>2</v>
      </c>
      <c r="AI11" s="8">
        <v>1</v>
      </c>
      <c r="AJ11" s="8">
        <v>1</v>
      </c>
      <c r="AK11" s="8">
        <v>1</v>
      </c>
      <c r="AL11" s="8">
        <v>1</v>
      </c>
      <c r="AM11" s="8">
        <v>1</v>
      </c>
      <c r="AN11" s="8">
        <v>1</v>
      </c>
      <c r="AO11" s="8">
        <v>1</v>
      </c>
      <c r="AP11" s="8">
        <f>IF(G11=VLOOKUP(VALUE(G$1),Questions!$A:$E,5,FALSE),1,0)</f>
        <v>1</v>
      </c>
      <c r="AQ11" s="8">
        <f>IF(H11=VLOOKUP(VALUE(H$1),Questions!$A:$E,5,FALSE),1,0)</f>
        <v>1</v>
      </c>
      <c r="AR11" s="8">
        <f>IF(I11=VLOOKUP(VALUE(I$1),Questions!$A:$E,5,FALSE),1,0)</f>
        <v>1</v>
      </c>
      <c r="AS11" s="8">
        <f>IF(J11=VLOOKUP(VALUE(J$1),Questions!$A:$E,5,FALSE),1,0)</f>
        <v>1</v>
      </c>
      <c r="AT11" s="8">
        <f>IF(K11=VLOOKUP(VALUE(K$1),Questions!$A:$E,5,FALSE),1,0)</f>
        <v>1</v>
      </c>
      <c r="AU11" s="8">
        <f>IF(L11=VLOOKUP(VALUE(L$1),Questions!$A:$E,5,FALSE),1,0)</f>
        <v>1</v>
      </c>
      <c r="AV11" s="8">
        <f>IF(M11=VLOOKUP(VALUE(M$1),Questions!$A:$E,5,FALSE),1,0)</f>
        <v>1</v>
      </c>
      <c r="AW11" s="8">
        <f>IF(N11=VLOOKUP(VALUE(N$1),Questions!$A:$E,5,FALSE),1,0)</f>
        <v>1</v>
      </c>
      <c r="AX11" s="8">
        <f>IF(O11=VLOOKUP(VALUE(O$1),Questions!$A:$E,5,FALSE),1,0)</f>
        <v>1</v>
      </c>
      <c r="AY11" s="8">
        <f>IF(P11=VLOOKUP(VALUE(P$1),Questions!$A:$E,5,FALSE),1,0)</f>
        <v>0</v>
      </c>
      <c r="AZ11" s="8">
        <f>IF(Q11=VLOOKUP(VALUE(Q$1),Questions!$A:$E,5,FALSE),1,0)</f>
        <v>1</v>
      </c>
      <c r="BA11" s="8">
        <f>IF(R11=VLOOKUP(VALUE(R$1),Questions!$A:$E,5,FALSE),1,0)</f>
        <v>1</v>
      </c>
      <c r="BB11" s="8">
        <f>IF(S11=VLOOKUP(VALUE(S$1),Questions!$A:$E,5,FALSE),1,0)</f>
        <v>1</v>
      </c>
      <c r="BC11" s="8">
        <f>IF(T11=VLOOKUP(VALUE(T$1),Questions!$A:$E,5,FALSE),1,0)</f>
        <v>1</v>
      </c>
      <c r="BD11" s="8">
        <f>IF(U11=VLOOKUP(VALUE(U$1),Questions!$A:$E,5,FALSE),1,0)</f>
        <v>1</v>
      </c>
      <c r="BE11" s="8">
        <f>IF(V11=VLOOKUP(VALUE(V$1),Questions!$A:$E,5,FALSE),1,0)</f>
        <v>1</v>
      </c>
      <c r="BF11" s="8">
        <f>IF(W11=VLOOKUP(VALUE(W$1),Questions!$A:$E,5,FALSE),1,0)</f>
        <v>1</v>
      </c>
      <c r="BG11" s="8">
        <f>IF(X11=VLOOKUP(VALUE(X$1),Questions!$A:$E,5,FALSE),1,0)</f>
        <v>0</v>
      </c>
      <c r="BH11" s="8">
        <f>IF(Y11=VLOOKUP(VALUE(Y$1),Questions!$A:$E,5,FALSE),1,0)</f>
        <v>1</v>
      </c>
      <c r="BI11" s="8">
        <f>IF(Z11=VLOOKUP(VALUE(Z$1),Questions!$A:$E,5,FALSE),1,0)</f>
        <v>1</v>
      </c>
      <c r="BJ11" s="8">
        <f>IF(AA11=VLOOKUP(VALUE(AA$1),Questions!$A:$E,5,FALSE),1,0)</f>
        <v>1</v>
      </c>
      <c r="BK11" s="8">
        <f>IF(AB11=VLOOKUP(VALUE(AB$1),Questions!$A:$E,5,FALSE),1,0)</f>
        <v>1</v>
      </c>
      <c r="BL11" s="8">
        <f>IF(AC11=VLOOKUP(VALUE(AC$1),Questions!$A:$E,5,FALSE),1,0)</f>
        <v>0</v>
      </c>
      <c r="BM11" s="8">
        <f>IF(AD11=VLOOKUP(VALUE(AD$1),Questions!$A:$E,5,FALSE),1,0)</f>
        <v>1</v>
      </c>
      <c r="BN11" s="8">
        <f>IF(AE11=VLOOKUP(VALUE(AE$1),Questions!$A:$E,5,FALSE),1,0)</f>
        <v>1</v>
      </c>
      <c r="BO11" s="8">
        <f>IF(AF11=VLOOKUP(VALUE(AF$1),Questions!$A:$E,5,FALSE),1,0)</f>
        <v>1</v>
      </c>
      <c r="BP11" s="8">
        <f>IF(AG11=VLOOKUP(VALUE(AG$1),Questions!$A:$E,5,FALSE),1,0)</f>
        <v>1</v>
      </c>
      <c r="BQ11" s="8">
        <f>IF(AH11=VLOOKUP(VALUE(AH$1),Questions!$A:$E,5,FALSE),1,0)</f>
        <v>1</v>
      </c>
    </row>
    <row r="12" spans="1:69" ht="13" customHeight="1" x14ac:dyDescent="0.15">
      <c r="A12" t="s">
        <v>34</v>
      </c>
      <c r="B12" s="7">
        <v>10</v>
      </c>
      <c r="C12" s="7">
        <v>4</v>
      </c>
      <c r="D12">
        <v>11</v>
      </c>
      <c r="G12" s="8">
        <v>4</v>
      </c>
      <c r="H12" s="8">
        <v>1</v>
      </c>
      <c r="I12" s="8">
        <v>3</v>
      </c>
      <c r="J12" s="8">
        <v>2</v>
      </c>
      <c r="K12" s="8">
        <v>3</v>
      </c>
      <c r="L12" s="8">
        <v>1</v>
      </c>
      <c r="M12" s="8">
        <v>2</v>
      </c>
      <c r="N12" s="8">
        <v>1</v>
      </c>
      <c r="O12" s="8">
        <v>1</v>
      </c>
      <c r="P12" s="8">
        <v>4</v>
      </c>
      <c r="Q12" s="8">
        <v>1</v>
      </c>
      <c r="R12" s="8">
        <v>4</v>
      </c>
      <c r="S12" s="8">
        <v>3</v>
      </c>
      <c r="T12" s="8">
        <v>2</v>
      </c>
      <c r="U12" s="8">
        <v>4</v>
      </c>
      <c r="V12" s="8">
        <v>3</v>
      </c>
      <c r="W12" s="8">
        <v>4</v>
      </c>
      <c r="X12" s="8">
        <v>4</v>
      </c>
      <c r="Y12" s="8">
        <v>1</v>
      </c>
      <c r="Z12" s="8">
        <v>3</v>
      </c>
      <c r="AA12" s="8">
        <v>4</v>
      </c>
      <c r="AB12" s="8">
        <v>2</v>
      </c>
      <c r="AC12" s="8">
        <v>4</v>
      </c>
      <c r="AD12" s="8">
        <v>3</v>
      </c>
      <c r="AI12" s="8">
        <v>0</v>
      </c>
      <c r="AJ12" s="8">
        <v>1</v>
      </c>
      <c r="AK12" s="8">
        <v>1</v>
      </c>
      <c r="AL12" s="8">
        <v>0</v>
      </c>
      <c r="AM12" s="8">
        <v>1</v>
      </c>
      <c r="AN12" s="8">
        <v>1</v>
      </c>
      <c r="AO12" s="8">
        <v>1</v>
      </c>
      <c r="AP12" s="8">
        <f>IF(G12=VLOOKUP(VALUE(G$1),Questions!$A:$E,5,FALSE),1,0)</f>
        <v>1</v>
      </c>
      <c r="AQ12" s="8">
        <f>IF(H12=VLOOKUP(VALUE(H$1),Questions!$A:$E,5,FALSE),1,0)</f>
        <v>1</v>
      </c>
      <c r="AR12" s="8">
        <f>IF(I12=VLOOKUP(VALUE(I$1),Questions!$A:$E,5,FALSE),1,0)</f>
        <v>1</v>
      </c>
      <c r="AS12" s="8">
        <f>IF(J12=VLOOKUP(VALUE(J$1),Questions!$A:$E,5,FALSE),1,0)</f>
        <v>1</v>
      </c>
      <c r="AT12" s="8">
        <f>IF(K12=VLOOKUP(VALUE(K$1),Questions!$A:$E,5,FALSE),1,0)</f>
        <v>0</v>
      </c>
      <c r="AU12" s="8">
        <f>IF(L12=VLOOKUP(VALUE(L$1),Questions!$A:$E,5,FALSE),1,0)</f>
        <v>0</v>
      </c>
      <c r="AV12" s="8">
        <f>IF(M12=VLOOKUP(VALUE(M$1),Questions!$A:$E,5,FALSE),1,0)</f>
        <v>1</v>
      </c>
      <c r="AW12" s="8">
        <f>IF(N12=VLOOKUP(VALUE(N$1),Questions!$A:$E,5,FALSE),1,0)</f>
        <v>0</v>
      </c>
      <c r="AX12" s="8">
        <f>IF(O12=VLOOKUP(VALUE(O$1),Questions!$A:$E,5,FALSE),1,0)</f>
        <v>1</v>
      </c>
      <c r="AY12" s="8">
        <f>IF(P12=VLOOKUP(VALUE(P$1),Questions!$A:$E,5,FALSE),1,0)</f>
        <v>0</v>
      </c>
      <c r="AZ12" s="8">
        <f>IF(Q12=VLOOKUP(VALUE(Q$1),Questions!$A:$E,5,FALSE),1,0)</f>
        <v>1</v>
      </c>
      <c r="BA12" s="8">
        <f>IF(R12=VLOOKUP(VALUE(R$1),Questions!$A:$E,5,FALSE),1,0)</f>
        <v>1</v>
      </c>
      <c r="BB12" s="8">
        <f>IF(S12=VLOOKUP(VALUE(S$1),Questions!$A:$E,5,FALSE),1,0)</f>
        <v>0</v>
      </c>
      <c r="BC12" s="8">
        <f>IF(T12=VLOOKUP(VALUE(T$1),Questions!$A:$E,5,FALSE),1,0)</f>
        <v>1</v>
      </c>
      <c r="BD12" s="8">
        <f>IF(U12=VLOOKUP(VALUE(U$1),Questions!$A:$E,5,FALSE),1,0)</f>
        <v>1</v>
      </c>
      <c r="BE12" s="8">
        <f>IF(V12=VLOOKUP(VALUE(V$1),Questions!$A:$E,5,FALSE),1,0)</f>
        <v>1</v>
      </c>
      <c r="BF12" s="8">
        <f>IF(W12=VLOOKUP(VALUE(W$1),Questions!$A:$E,5,FALSE),1,0)</f>
        <v>1</v>
      </c>
      <c r="BG12" s="8">
        <f>IF(X12=VLOOKUP(VALUE(X$1),Questions!$A:$E,5,FALSE),1,0)</f>
        <v>0</v>
      </c>
      <c r="BH12" s="8">
        <f>IF(Y12=VLOOKUP(VALUE(Y$1),Questions!$A:$E,5,FALSE),1,0)</f>
        <v>1</v>
      </c>
      <c r="BI12" s="8">
        <f>IF(Z12=VLOOKUP(VALUE(Z$1),Questions!$A:$E,5,FALSE),1,0)</f>
        <v>1</v>
      </c>
      <c r="BJ12" s="8">
        <f>IF(AA12=VLOOKUP(VALUE(AA$1),Questions!$A:$E,5,FALSE),1,0)</f>
        <v>1</v>
      </c>
      <c r="BK12" s="8">
        <f>IF(AB12=VLOOKUP(VALUE(AB$1),Questions!$A:$E,5,FALSE),1,0)</f>
        <v>1</v>
      </c>
      <c r="BL12" s="8">
        <f>IF(AC12=VLOOKUP(VALUE(AC$1),Questions!$A:$E,5,FALSE),1,0)</f>
        <v>0</v>
      </c>
      <c r="BM12" s="8">
        <f>IF(AD12=VLOOKUP(VALUE(AD$1),Questions!$A:$E,5,FALSE),1,0)</f>
        <v>1</v>
      </c>
      <c r="BN12" s="8">
        <f>IF(AE12=VLOOKUP(VALUE(AE$1),Questions!$A:$E,5,FALSE),1,0)</f>
        <v>0</v>
      </c>
      <c r="BO12" s="8">
        <f>IF(AF12=VLOOKUP(VALUE(AF$1),Questions!$A:$E,5,FALSE),1,0)</f>
        <v>0</v>
      </c>
      <c r="BP12" s="8">
        <f>IF(AG12=VLOOKUP(VALUE(AG$1),Questions!$A:$E,5,FALSE),1,0)</f>
        <v>0</v>
      </c>
      <c r="BQ12" s="8">
        <f>IF(AH12=VLOOKUP(VALUE(AH$1),Questions!$A:$E,5,FALSE),1,0)</f>
        <v>0</v>
      </c>
    </row>
    <row r="13" spans="1:69" ht="13" customHeight="1" x14ac:dyDescent="0.15">
      <c r="A13" t="s">
        <v>34</v>
      </c>
      <c r="B13" s="7">
        <v>10</v>
      </c>
      <c r="C13" s="7">
        <v>4</v>
      </c>
      <c r="D13">
        <v>12</v>
      </c>
      <c r="G13" s="8">
        <v>2</v>
      </c>
      <c r="H13" s="8">
        <v>4</v>
      </c>
      <c r="I13" s="8">
        <v>3</v>
      </c>
      <c r="J13" s="8">
        <v>1</v>
      </c>
      <c r="K13" s="8">
        <v>3</v>
      </c>
      <c r="L13" s="8">
        <v>1</v>
      </c>
      <c r="M13" s="8">
        <v>2</v>
      </c>
      <c r="N13" s="8">
        <v>3</v>
      </c>
      <c r="O13" s="8">
        <v>3</v>
      </c>
      <c r="P13" s="8">
        <v>4</v>
      </c>
      <c r="Q13" s="8">
        <v>3</v>
      </c>
      <c r="R13" s="8">
        <v>1</v>
      </c>
      <c r="S13" s="8">
        <v>2</v>
      </c>
      <c r="T13" s="8">
        <v>3</v>
      </c>
      <c r="U13" s="8">
        <v>2</v>
      </c>
      <c r="V13" s="8">
        <v>3</v>
      </c>
      <c r="W13" s="8">
        <v>1</v>
      </c>
      <c r="X13" s="8">
        <v>2</v>
      </c>
      <c r="Y13" s="8">
        <v>3</v>
      </c>
      <c r="Z13" s="8">
        <v>3</v>
      </c>
      <c r="AA13" s="8">
        <v>3</v>
      </c>
      <c r="AB13" s="8">
        <v>3</v>
      </c>
      <c r="AD13" s="8">
        <v>3</v>
      </c>
      <c r="AE13" s="8">
        <v>4</v>
      </c>
      <c r="AF13" s="8">
        <v>2</v>
      </c>
      <c r="AG13" s="8">
        <v>3</v>
      </c>
      <c r="AI13" s="8">
        <v>0</v>
      </c>
      <c r="AJ13" s="8">
        <v>0</v>
      </c>
      <c r="AK13" s="8">
        <v>0</v>
      </c>
      <c r="AL13" s="8">
        <v>1</v>
      </c>
      <c r="AM13" s="8">
        <v>0</v>
      </c>
      <c r="AN13" s="8">
        <v>0</v>
      </c>
      <c r="AO13" s="8">
        <v>1</v>
      </c>
      <c r="AP13" s="8">
        <f>IF(G13=VLOOKUP(VALUE(G$1),Questions!$A:$E,5,FALSE),1,0)</f>
        <v>0</v>
      </c>
      <c r="AQ13" s="8">
        <f>IF(H13=VLOOKUP(VALUE(H$1),Questions!$A:$E,5,FALSE),1,0)</f>
        <v>0</v>
      </c>
      <c r="AR13" s="8">
        <f>IF(I13=VLOOKUP(VALUE(I$1),Questions!$A:$E,5,FALSE),1,0)</f>
        <v>1</v>
      </c>
      <c r="AS13" s="8">
        <f>IF(J13=VLOOKUP(VALUE(J$1),Questions!$A:$E,5,FALSE),1,0)</f>
        <v>0</v>
      </c>
      <c r="AT13" s="8">
        <f>IF(K13=VLOOKUP(VALUE(K$1),Questions!$A:$E,5,FALSE),1,0)</f>
        <v>0</v>
      </c>
      <c r="AU13" s="8">
        <f>IF(L13=VLOOKUP(VALUE(L$1),Questions!$A:$E,5,FALSE),1,0)</f>
        <v>0</v>
      </c>
      <c r="AV13" s="8">
        <f>IF(M13=VLOOKUP(VALUE(M$1),Questions!$A:$E,5,FALSE),1,0)</f>
        <v>1</v>
      </c>
      <c r="AW13" s="8">
        <f>IF(N13=VLOOKUP(VALUE(N$1),Questions!$A:$E,5,FALSE),1,0)</f>
        <v>1</v>
      </c>
      <c r="AX13" s="8">
        <f>IF(O13=VLOOKUP(VALUE(O$1),Questions!$A:$E,5,FALSE),1,0)</f>
        <v>0</v>
      </c>
      <c r="AY13" s="8">
        <f>IF(P13=VLOOKUP(VALUE(P$1),Questions!$A:$E,5,FALSE),1,0)</f>
        <v>0</v>
      </c>
      <c r="AZ13" s="8">
        <f>IF(Q13=VLOOKUP(VALUE(Q$1),Questions!$A:$E,5,FALSE),1,0)</f>
        <v>0</v>
      </c>
      <c r="BA13" s="8">
        <f>IF(R13=VLOOKUP(VALUE(R$1),Questions!$A:$E,5,FALSE),1,0)</f>
        <v>0</v>
      </c>
      <c r="BB13" s="8">
        <f>IF(S13=VLOOKUP(VALUE(S$1),Questions!$A:$E,5,FALSE),1,0)</f>
        <v>1</v>
      </c>
      <c r="BC13" s="8">
        <f>IF(T13=VLOOKUP(VALUE(T$1),Questions!$A:$E,5,FALSE),1,0)</f>
        <v>0</v>
      </c>
      <c r="BD13" s="8">
        <f>IF(U13=VLOOKUP(VALUE(U$1),Questions!$A:$E,5,FALSE),1,0)</f>
        <v>0</v>
      </c>
      <c r="BE13" s="8">
        <f>IF(V13=VLOOKUP(VALUE(V$1),Questions!$A:$E,5,FALSE),1,0)</f>
        <v>1</v>
      </c>
      <c r="BF13" s="8">
        <f>IF(W13=VLOOKUP(VALUE(W$1),Questions!$A:$E,5,FALSE),1,0)</f>
        <v>0</v>
      </c>
      <c r="BG13" s="8">
        <f>IF(X13=VLOOKUP(VALUE(X$1),Questions!$A:$E,5,FALSE),1,0)</f>
        <v>0</v>
      </c>
      <c r="BH13" s="8">
        <f>IF(Y13=VLOOKUP(VALUE(Y$1),Questions!$A:$E,5,FALSE),1,0)</f>
        <v>0</v>
      </c>
      <c r="BI13" s="8">
        <f>IF(Z13=VLOOKUP(VALUE(Z$1),Questions!$A:$E,5,FALSE),1,0)</f>
        <v>1</v>
      </c>
      <c r="BJ13" s="8">
        <f>IF(AA13=VLOOKUP(VALUE(AA$1),Questions!$A:$E,5,FALSE),1,0)</f>
        <v>0</v>
      </c>
      <c r="BK13" s="8">
        <f>IF(AB13=VLOOKUP(VALUE(AB$1),Questions!$A:$E,5,FALSE),1,0)</f>
        <v>0</v>
      </c>
      <c r="BL13" s="8">
        <f>IF(AC13=VLOOKUP(VALUE(AC$1),Questions!$A:$E,5,FALSE),1,0)</f>
        <v>0</v>
      </c>
      <c r="BM13" s="8">
        <f>IF(AD13=VLOOKUP(VALUE(AD$1),Questions!$A:$E,5,FALSE),1,0)</f>
        <v>1</v>
      </c>
      <c r="BN13" s="8">
        <f>IF(AE13=VLOOKUP(VALUE(AE$1),Questions!$A:$E,5,FALSE),1,0)</f>
        <v>0</v>
      </c>
      <c r="BO13" s="8">
        <f>IF(AF13=VLOOKUP(VALUE(AF$1),Questions!$A:$E,5,FALSE),1,0)</f>
        <v>0</v>
      </c>
      <c r="BP13" s="8">
        <f>IF(AG13=VLOOKUP(VALUE(AG$1),Questions!$A:$E,5,FALSE),1,0)</f>
        <v>0</v>
      </c>
      <c r="BQ13" s="8">
        <f>IF(AH13=VLOOKUP(VALUE(AH$1),Questions!$A:$E,5,FALSE),1,0)</f>
        <v>0</v>
      </c>
    </row>
    <row r="14" spans="1:69" ht="13" customHeight="1" x14ac:dyDescent="0.15">
      <c r="A14" t="s">
        <v>34</v>
      </c>
      <c r="B14" s="7">
        <v>10</v>
      </c>
      <c r="C14" s="7">
        <v>4</v>
      </c>
      <c r="D14">
        <v>13</v>
      </c>
      <c r="G14" s="8">
        <v>3</v>
      </c>
      <c r="H14" s="8">
        <v>3</v>
      </c>
      <c r="I14" s="8">
        <v>3</v>
      </c>
      <c r="J14" s="8">
        <v>2</v>
      </c>
      <c r="K14" s="8">
        <v>4</v>
      </c>
      <c r="L14" s="8">
        <v>4</v>
      </c>
      <c r="M14" s="8">
        <v>1</v>
      </c>
      <c r="N14" s="8">
        <v>4</v>
      </c>
      <c r="O14" s="8">
        <v>1</v>
      </c>
      <c r="P14" s="8">
        <v>2</v>
      </c>
      <c r="Q14" s="8">
        <v>2</v>
      </c>
      <c r="R14" s="8">
        <v>1</v>
      </c>
      <c r="S14" s="8">
        <v>3</v>
      </c>
      <c r="T14" s="8">
        <v>3</v>
      </c>
      <c r="U14" s="8">
        <v>1</v>
      </c>
      <c r="V14" s="8">
        <v>1</v>
      </c>
      <c r="W14" s="8">
        <v>1</v>
      </c>
      <c r="X14" s="8">
        <v>1</v>
      </c>
      <c r="Y14" s="8">
        <v>1</v>
      </c>
      <c r="Z14" s="8">
        <v>2</v>
      </c>
      <c r="AA14" s="8">
        <v>1</v>
      </c>
      <c r="AB14" s="8">
        <v>2</v>
      </c>
      <c r="AC14" s="8">
        <v>2</v>
      </c>
      <c r="AD14" s="8">
        <v>3</v>
      </c>
      <c r="AE14" s="8">
        <v>3</v>
      </c>
      <c r="AF14" s="8">
        <v>1</v>
      </c>
      <c r="AG14" s="8">
        <v>3</v>
      </c>
      <c r="AH14" s="8">
        <v>1</v>
      </c>
      <c r="AP14" s="8">
        <f>IF(G14=VLOOKUP(VALUE(G$1),Questions!$A:$E,5,FALSE),1,0)</f>
        <v>0</v>
      </c>
      <c r="AQ14" s="8">
        <f>IF(H14=VLOOKUP(VALUE(H$1),Questions!$A:$E,5,FALSE),1,0)</f>
        <v>0</v>
      </c>
      <c r="AR14" s="8">
        <f>IF(I14=VLOOKUP(VALUE(I$1),Questions!$A:$E,5,FALSE),1,0)</f>
        <v>1</v>
      </c>
      <c r="AS14" s="8">
        <f>IF(J14=VLOOKUP(VALUE(J$1),Questions!$A:$E,5,FALSE),1,0)</f>
        <v>1</v>
      </c>
      <c r="AT14" s="8">
        <f>IF(K14=VLOOKUP(VALUE(K$1),Questions!$A:$E,5,FALSE),1,0)</f>
        <v>0</v>
      </c>
      <c r="AU14" s="8">
        <f>IF(L14=VLOOKUP(VALUE(L$1),Questions!$A:$E,5,FALSE),1,0)</f>
        <v>0</v>
      </c>
      <c r="AV14" s="8">
        <f>IF(M14=VLOOKUP(VALUE(M$1),Questions!$A:$E,5,FALSE),1,0)</f>
        <v>0</v>
      </c>
      <c r="AW14" s="8">
        <f>IF(N14=VLOOKUP(VALUE(N$1),Questions!$A:$E,5,FALSE),1,0)</f>
        <v>0</v>
      </c>
      <c r="AX14" s="8">
        <f>IF(O14=VLOOKUP(VALUE(O$1),Questions!$A:$E,5,FALSE),1,0)</f>
        <v>1</v>
      </c>
      <c r="AY14" s="8">
        <f>IF(P14=VLOOKUP(VALUE(P$1),Questions!$A:$E,5,FALSE),1,0)</f>
        <v>0</v>
      </c>
      <c r="AZ14" s="8">
        <f>IF(Q14=VLOOKUP(VALUE(Q$1),Questions!$A:$E,5,FALSE),1,0)</f>
        <v>0</v>
      </c>
      <c r="BA14" s="8">
        <f>IF(R14=VLOOKUP(VALUE(R$1),Questions!$A:$E,5,FALSE),1,0)</f>
        <v>0</v>
      </c>
      <c r="BB14" s="8">
        <f>IF(S14=VLOOKUP(VALUE(S$1),Questions!$A:$E,5,FALSE),1,0)</f>
        <v>0</v>
      </c>
      <c r="BC14" s="8">
        <f>IF(T14=VLOOKUP(VALUE(T$1),Questions!$A:$E,5,FALSE),1,0)</f>
        <v>0</v>
      </c>
      <c r="BD14" s="8">
        <f>IF(U14=VLOOKUP(VALUE(U$1),Questions!$A:$E,5,FALSE),1,0)</f>
        <v>0</v>
      </c>
      <c r="BE14" s="8">
        <f>IF(V14=VLOOKUP(VALUE(V$1),Questions!$A:$E,5,FALSE),1,0)</f>
        <v>0</v>
      </c>
      <c r="BF14" s="8">
        <f>IF(W14=VLOOKUP(VALUE(W$1),Questions!$A:$E,5,FALSE),1,0)</f>
        <v>0</v>
      </c>
      <c r="BG14" s="8">
        <f>IF(X14=VLOOKUP(VALUE(X$1),Questions!$A:$E,5,FALSE),1,0)</f>
        <v>0</v>
      </c>
      <c r="BH14" s="8">
        <f>IF(Y14=VLOOKUP(VALUE(Y$1),Questions!$A:$E,5,FALSE),1,0)</f>
        <v>1</v>
      </c>
      <c r="BI14" s="8">
        <f>IF(Z14=VLOOKUP(VALUE(Z$1),Questions!$A:$E,5,FALSE),1,0)</f>
        <v>0</v>
      </c>
      <c r="BJ14" s="8">
        <f>IF(AA14=VLOOKUP(VALUE(AA$1),Questions!$A:$E,5,FALSE),1,0)</f>
        <v>0</v>
      </c>
      <c r="BK14" s="8">
        <f>IF(AB14=VLOOKUP(VALUE(AB$1),Questions!$A:$E,5,FALSE),1,0)</f>
        <v>1</v>
      </c>
      <c r="BL14" s="8">
        <f>IF(AC14=VLOOKUP(VALUE(AC$1),Questions!$A:$E,5,FALSE),1,0)</f>
        <v>1</v>
      </c>
      <c r="BM14" s="8">
        <f>IF(AD14=VLOOKUP(VALUE(AD$1),Questions!$A:$E,5,FALSE),1,0)</f>
        <v>1</v>
      </c>
      <c r="BN14" s="8">
        <f>IF(AE14=VLOOKUP(VALUE(AE$1),Questions!$A:$E,5,FALSE),1,0)</f>
        <v>0</v>
      </c>
      <c r="BO14" s="8">
        <f>IF(AF14=VLOOKUP(VALUE(AF$1),Questions!$A:$E,5,FALSE),1,0)</f>
        <v>0</v>
      </c>
      <c r="BP14" s="8">
        <f>IF(AG14=VLOOKUP(VALUE(AG$1),Questions!$A:$E,5,FALSE),1,0)</f>
        <v>0</v>
      </c>
      <c r="BQ14" s="8">
        <f>IF(AH14=VLOOKUP(VALUE(AH$1),Questions!$A:$E,5,FALSE),1,0)</f>
        <v>0</v>
      </c>
    </row>
    <row r="15" spans="1:69" ht="13" customHeight="1" x14ac:dyDescent="0.15">
      <c r="A15" t="s">
        <v>34</v>
      </c>
      <c r="B15" s="7">
        <v>10</v>
      </c>
      <c r="C15" s="7">
        <v>4</v>
      </c>
      <c r="D15">
        <v>14</v>
      </c>
      <c r="G15" s="8">
        <v>4</v>
      </c>
      <c r="H15" s="8">
        <v>3</v>
      </c>
      <c r="I15" s="8">
        <v>3</v>
      </c>
      <c r="J15" s="8">
        <v>2</v>
      </c>
      <c r="K15" s="8">
        <v>1</v>
      </c>
      <c r="L15" s="8">
        <v>1</v>
      </c>
      <c r="M15" s="8">
        <v>4</v>
      </c>
      <c r="N15" s="8">
        <v>2</v>
      </c>
      <c r="O15" s="8">
        <v>3</v>
      </c>
      <c r="P15" s="8">
        <v>4</v>
      </c>
      <c r="Q15" s="8">
        <v>1</v>
      </c>
      <c r="R15" s="8">
        <v>1</v>
      </c>
      <c r="S15" s="8">
        <v>3</v>
      </c>
      <c r="T15" s="8">
        <v>3</v>
      </c>
      <c r="U15" s="8">
        <v>4</v>
      </c>
      <c r="V15" s="8">
        <v>3</v>
      </c>
      <c r="W15" s="8">
        <v>4</v>
      </c>
      <c r="X15" s="8">
        <v>3</v>
      </c>
      <c r="Y15" s="8">
        <v>1</v>
      </c>
      <c r="Z15" s="8">
        <v>3</v>
      </c>
      <c r="AA15" s="8">
        <v>4</v>
      </c>
      <c r="AB15" s="8">
        <v>3</v>
      </c>
      <c r="AD15" s="8">
        <v>3</v>
      </c>
      <c r="AE15" s="8">
        <v>2</v>
      </c>
      <c r="AF15" s="8">
        <v>4</v>
      </c>
      <c r="AG15" s="8">
        <v>1</v>
      </c>
      <c r="AH15" s="8">
        <v>2</v>
      </c>
      <c r="AI15" s="8">
        <v>0</v>
      </c>
      <c r="AJ15" s="8">
        <v>1</v>
      </c>
      <c r="AK15" s="8">
        <v>1</v>
      </c>
      <c r="AL15" s="8">
        <v>1</v>
      </c>
      <c r="AM15" s="8">
        <v>1</v>
      </c>
      <c r="AN15" s="8">
        <v>1</v>
      </c>
      <c r="AO15" s="8">
        <v>1</v>
      </c>
      <c r="AP15" s="8">
        <f>IF(G15=VLOOKUP(VALUE(G$1),Questions!$A:$E,5,FALSE),1,0)</f>
        <v>1</v>
      </c>
      <c r="AQ15" s="8">
        <f>IF(H15=VLOOKUP(VALUE(H$1),Questions!$A:$E,5,FALSE),1,0)</f>
        <v>0</v>
      </c>
      <c r="AR15" s="8">
        <f>IF(I15=VLOOKUP(VALUE(I$1),Questions!$A:$E,5,FALSE),1,0)</f>
        <v>1</v>
      </c>
      <c r="AS15" s="8">
        <f>IF(J15=VLOOKUP(VALUE(J$1),Questions!$A:$E,5,FALSE),1,0)</f>
        <v>1</v>
      </c>
      <c r="AT15" s="8">
        <f>IF(K15=VLOOKUP(VALUE(K$1),Questions!$A:$E,5,FALSE),1,0)</f>
        <v>1</v>
      </c>
      <c r="AU15" s="8">
        <f>IF(L15=VLOOKUP(VALUE(L$1),Questions!$A:$E,5,FALSE),1,0)</f>
        <v>0</v>
      </c>
      <c r="AV15" s="8">
        <f>IF(M15=VLOOKUP(VALUE(M$1),Questions!$A:$E,5,FALSE),1,0)</f>
        <v>0</v>
      </c>
      <c r="AW15" s="8">
        <f>IF(N15=VLOOKUP(VALUE(N$1),Questions!$A:$E,5,FALSE),1,0)</f>
        <v>0</v>
      </c>
      <c r="AX15" s="8">
        <f>IF(O15=VLOOKUP(VALUE(O$1),Questions!$A:$E,5,FALSE),1,0)</f>
        <v>0</v>
      </c>
      <c r="AY15" s="8">
        <f>IF(P15=VLOOKUP(VALUE(P$1),Questions!$A:$E,5,FALSE),1,0)</f>
        <v>0</v>
      </c>
      <c r="AZ15" s="8">
        <f>IF(Q15=VLOOKUP(VALUE(Q$1),Questions!$A:$E,5,FALSE),1,0)</f>
        <v>1</v>
      </c>
      <c r="BA15" s="8">
        <f>IF(R15=VLOOKUP(VALUE(R$1),Questions!$A:$E,5,FALSE),1,0)</f>
        <v>0</v>
      </c>
      <c r="BB15" s="8">
        <f>IF(S15=VLOOKUP(VALUE(S$1),Questions!$A:$E,5,FALSE),1,0)</f>
        <v>0</v>
      </c>
      <c r="BC15" s="8">
        <f>IF(T15=VLOOKUP(VALUE(T$1),Questions!$A:$E,5,FALSE),1,0)</f>
        <v>0</v>
      </c>
      <c r="BD15" s="8">
        <f>IF(U15=VLOOKUP(VALUE(U$1),Questions!$A:$E,5,FALSE),1,0)</f>
        <v>1</v>
      </c>
      <c r="BE15" s="8">
        <f>IF(V15=VLOOKUP(VALUE(V$1),Questions!$A:$E,5,FALSE),1,0)</f>
        <v>1</v>
      </c>
      <c r="BF15" s="8">
        <f>IF(W15=VLOOKUP(VALUE(W$1),Questions!$A:$E,5,FALSE),1,0)</f>
        <v>1</v>
      </c>
      <c r="BG15" s="8">
        <f>IF(X15=VLOOKUP(VALUE(X$1),Questions!$A:$E,5,FALSE),1,0)</f>
        <v>1</v>
      </c>
      <c r="BH15" s="8">
        <f>IF(Y15=VLOOKUP(VALUE(Y$1),Questions!$A:$E,5,FALSE),1,0)</f>
        <v>1</v>
      </c>
      <c r="BI15" s="8">
        <f>IF(Z15=VLOOKUP(VALUE(Z$1),Questions!$A:$E,5,FALSE),1,0)</f>
        <v>1</v>
      </c>
      <c r="BJ15" s="8">
        <f>IF(AA15=VLOOKUP(VALUE(AA$1),Questions!$A:$E,5,FALSE),1,0)</f>
        <v>1</v>
      </c>
      <c r="BK15" s="8">
        <f>IF(AB15=VLOOKUP(VALUE(AB$1),Questions!$A:$E,5,FALSE),1,0)</f>
        <v>0</v>
      </c>
      <c r="BL15" s="8">
        <f>IF(AC15=VLOOKUP(VALUE(AC$1),Questions!$A:$E,5,FALSE),1,0)</f>
        <v>0</v>
      </c>
      <c r="BM15" s="8">
        <f>IF(AD15=VLOOKUP(VALUE(AD$1),Questions!$A:$E,5,FALSE),1,0)</f>
        <v>1</v>
      </c>
      <c r="BN15" s="8">
        <f>IF(AE15=VLOOKUP(VALUE(AE$1),Questions!$A:$E,5,FALSE),1,0)</f>
        <v>1</v>
      </c>
      <c r="BO15" s="8">
        <f>IF(AF15=VLOOKUP(VALUE(AF$1),Questions!$A:$E,5,FALSE),1,0)</f>
        <v>1</v>
      </c>
      <c r="BP15" s="8">
        <f>IF(AG15=VLOOKUP(VALUE(AG$1),Questions!$A:$E,5,FALSE),1,0)</f>
        <v>1</v>
      </c>
      <c r="BQ15" s="8">
        <f>IF(AH15=VLOOKUP(VALUE(AH$1),Questions!$A:$E,5,FALSE),1,0)</f>
        <v>1</v>
      </c>
    </row>
    <row r="16" spans="1:69" ht="13" customHeight="1" x14ac:dyDescent="0.15">
      <c r="A16" t="s">
        <v>34</v>
      </c>
      <c r="B16" s="7">
        <v>10</v>
      </c>
      <c r="C16" s="7">
        <v>4</v>
      </c>
      <c r="D16">
        <v>15</v>
      </c>
      <c r="G16" s="8">
        <v>4</v>
      </c>
      <c r="H16" s="8">
        <v>1</v>
      </c>
      <c r="I16" s="8">
        <v>3</v>
      </c>
      <c r="J16" s="8">
        <v>2</v>
      </c>
      <c r="K16" s="8">
        <v>1</v>
      </c>
      <c r="L16" s="8">
        <v>2</v>
      </c>
      <c r="M16" s="8">
        <v>2</v>
      </c>
      <c r="N16" s="8">
        <v>3</v>
      </c>
      <c r="O16" s="8">
        <v>1</v>
      </c>
      <c r="P16" s="8">
        <v>3</v>
      </c>
      <c r="Q16" s="8">
        <v>1</v>
      </c>
      <c r="R16" s="8">
        <v>4</v>
      </c>
      <c r="S16" s="8">
        <v>2</v>
      </c>
      <c r="T16" s="8">
        <v>1</v>
      </c>
      <c r="U16" s="8">
        <v>4</v>
      </c>
      <c r="V16" s="8">
        <v>3</v>
      </c>
      <c r="W16" s="8">
        <v>4</v>
      </c>
      <c r="X16" s="8">
        <v>3</v>
      </c>
      <c r="Y16" s="8">
        <v>1</v>
      </c>
      <c r="Z16" s="8">
        <v>3</v>
      </c>
      <c r="AA16" s="8">
        <v>4</v>
      </c>
      <c r="AB16" s="8">
        <v>2</v>
      </c>
      <c r="AC16" s="8">
        <v>4</v>
      </c>
      <c r="AD16" s="8">
        <v>3</v>
      </c>
      <c r="AE16" s="8">
        <v>2</v>
      </c>
      <c r="AF16" s="8">
        <v>1</v>
      </c>
      <c r="AG16" s="8">
        <v>1</v>
      </c>
      <c r="AH16" s="8">
        <v>1</v>
      </c>
      <c r="AI16" s="8">
        <v>1</v>
      </c>
      <c r="AJ16" s="8">
        <v>1</v>
      </c>
      <c r="AK16" s="8">
        <v>1</v>
      </c>
      <c r="AL16" s="8">
        <v>1</v>
      </c>
      <c r="AM16" s="8">
        <v>1</v>
      </c>
      <c r="AN16" s="8">
        <v>1</v>
      </c>
      <c r="AO16" s="8">
        <v>1</v>
      </c>
      <c r="AP16" s="8">
        <f>IF(G16=VLOOKUP(VALUE(G$1),Questions!$A:$E,5,FALSE),1,0)</f>
        <v>1</v>
      </c>
      <c r="AQ16" s="8">
        <f>IF(H16=VLOOKUP(VALUE(H$1),Questions!$A:$E,5,FALSE),1,0)</f>
        <v>1</v>
      </c>
      <c r="AR16" s="8">
        <f>IF(I16=VLOOKUP(VALUE(I$1),Questions!$A:$E,5,FALSE),1,0)</f>
        <v>1</v>
      </c>
      <c r="AS16" s="8">
        <f>IF(J16=VLOOKUP(VALUE(J$1),Questions!$A:$E,5,FALSE),1,0)</f>
        <v>1</v>
      </c>
      <c r="AT16" s="8">
        <f>IF(K16=VLOOKUP(VALUE(K$1),Questions!$A:$E,5,FALSE),1,0)</f>
        <v>1</v>
      </c>
      <c r="AU16" s="8">
        <f>IF(L16=VLOOKUP(VALUE(L$1),Questions!$A:$E,5,FALSE),1,0)</f>
        <v>0</v>
      </c>
      <c r="AV16" s="8">
        <f>IF(M16=VLOOKUP(VALUE(M$1),Questions!$A:$E,5,FALSE),1,0)</f>
        <v>1</v>
      </c>
      <c r="AW16" s="8">
        <f>IF(N16=VLOOKUP(VALUE(N$1),Questions!$A:$E,5,FALSE),1,0)</f>
        <v>1</v>
      </c>
      <c r="AX16" s="8">
        <f>IF(O16=VLOOKUP(VALUE(O$1),Questions!$A:$E,5,FALSE),1,0)</f>
        <v>1</v>
      </c>
      <c r="AY16" s="8">
        <f>IF(P16=VLOOKUP(VALUE(P$1),Questions!$A:$E,5,FALSE),1,0)</f>
        <v>1</v>
      </c>
      <c r="AZ16" s="8">
        <f>IF(Q16=VLOOKUP(VALUE(Q$1),Questions!$A:$E,5,FALSE),1,0)</f>
        <v>1</v>
      </c>
      <c r="BA16" s="8">
        <f>IF(R16=VLOOKUP(VALUE(R$1),Questions!$A:$E,5,FALSE),1,0)</f>
        <v>1</v>
      </c>
      <c r="BB16" s="8">
        <f>IF(S16=VLOOKUP(VALUE(S$1),Questions!$A:$E,5,FALSE),1,0)</f>
        <v>1</v>
      </c>
      <c r="BC16" s="8">
        <f>IF(T16=VLOOKUP(VALUE(T$1),Questions!$A:$E,5,FALSE),1,0)</f>
        <v>0</v>
      </c>
      <c r="BD16" s="8">
        <f>IF(U16=VLOOKUP(VALUE(U$1),Questions!$A:$E,5,FALSE),1,0)</f>
        <v>1</v>
      </c>
      <c r="BE16" s="8">
        <f>IF(V16=VLOOKUP(VALUE(V$1),Questions!$A:$E,5,FALSE),1,0)</f>
        <v>1</v>
      </c>
      <c r="BF16" s="8">
        <f>IF(W16=VLOOKUP(VALUE(W$1),Questions!$A:$E,5,FALSE),1,0)</f>
        <v>1</v>
      </c>
      <c r="BG16" s="8">
        <f>IF(X16=VLOOKUP(VALUE(X$1),Questions!$A:$E,5,FALSE),1,0)</f>
        <v>1</v>
      </c>
      <c r="BH16" s="8">
        <f>IF(Y16=VLOOKUP(VALUE(Y$1),Questions!$A:$E,5,FALSE),1,0)</f>
        <v>1</v>
      </c>
      <c r="BI16" s="8">
        <f>IF(Z16=VLOOKUP(VALUE(Z$1),Questions!$A:$E,5,FALSE),1,0)</f>
        <v>1</v>
      </c>
      <c r="BJ16" s="8">
        <f>IF(AA16=VLOOKUP(VALUE(AA$1),Questions!$A:$E,5,FALSE),1,0)</f>
        <v>1</v>
      </c>
      <c r="BK16" s="8">
        <f>IF(AB16=VLOOKUP(VALUE(AB$1),Questions!$A:$E,5,FALSE),1,0)</f>
        <v>1</v>
      </c>
      <c r="BL16" s="8">
        <f>IF(AC16=VLOOKUP(VALUE(AC$1),Questions!$A:$E,5,FALSE),1,0)</f>
        <v>0</v>
      </c>
      <c r="BM16" s="8">
        <f>IF(AD16=VLOOKUP(VALUE(AD$1),Questions!$A:$E,5,FALSE),1,0)</f>
        <v>1</v>
      </c>
      <c r="BN16" s="8">
        <f>IF(AE16=VLOOKUP(VALUE(AE$1),Questions!$A:$E,5,FALSE),1,0)</f>
        <v>1</v>
      </c>
      <c r="BO16" s="8">
        <f>IF(AF16=VLOOKUP(VALUE(AF$1),Questions!$A:$E,5,FALSE),1,0)</f>
        <v>0</v>
      </c>
      <c r="BP16" s="8">
        <f>IF(AG16=VLOOKUP(VALUE(AG$1),Questions!$A:$E,5,FALSE),1,0)</f>
        <v>1</v>
      </c>
      <c r="BQ16" s="8">
        <f>IF(AH16=VLOOKUP(VALUE(AH$1),Questions!$A:$E,5,FALSE),1,0)</f>
        <v>0</v>
      </c>
    </row>
    <row r="17" spans="1:69" ht="13" customHeight="1" x14ac:dyDescent="0.15">
      <c r="A17" t="s">
        <v>34</v>
      </c>
      <c r="B17" s="7">
        <v>10</v>
      </c>
      <c r="C17" s="7">
        <v>4</v>
      </c>
      <c r="D17">
        <v>16</v>
      </c>
      <c r="G17" s="8">
        <v>4</v>
      </c>
      <c r="H17" s="8">
        <v>1</v>
      </c>
      <c r="I17" s="8">
        <v>3</v>
      </c>
      <c r="J17" s="8">
        <v>2</v>
      </c>
      <c r="K17" s="8">
        <v>1</v>
      </c>
      <c r="L17" s="8">
        <v>2</v>
      </c>
      <c r="M17" s="8">
        <v>1</v>
      </c>
      <c r="N17" s="8">
        <v>4</v>
      </c>
      <c r="O17" s="8">
        <v>3</v>
      </c>
      <c r="P17" s="8">
        <v>4</v>
      </c>
      <c r="Q17" s="8">
        <v>1</v>
      </c>
      <c r="R17" s="8">
        <v>1</v>
      </c>
      <c r="S17" s="8">
        <v>3</v>
      </c>
      <c r="T17" s="8">
        <v>2</v>
      </c>
      <c r="U17" s="8">
        <v>3</v>
      </c>
      <c r="V17" s="8">
        <v>3</v>
      </c>
      <c r="W17" s="8">
        <v>1</v>
      </c>
      <c r="X17" s="8">
        <v>3</v>
      </c>
      <c r="Y17" s="8">
        <v>1</v>
      </c>
      <c r="Z17" s="8">
        <v>2</v>
      </c>
      <c r="AA17" s="8">
        <v>3</v>
      </c>
      <c r="AB17" s="8">
        <v>2</v>
      </c>
      <c r="AC17" s="8">
        <v>4</v>
      </c>
      <c r="AD17" s="8">
        <v>3</v>
      </c>
      <c r="AE17" s="8">
        <v>1</v>
      </c>
      <c r="AF17" s="8">
        <v>3</v>
      </c>
      <c r="AG17" s="8">
        <v>2</v>
      </c>
      <c r="AH17" s="8">
        <v>2</v>
      </c>
      <c r="AP17" s="8">
        <f>IF(G17=VLOOKUP(VALUE(G$1),Questions!$A:$E,5,FALSE),1,0)</f>
        <v>1</v>
      </c>
      <c r="AQ17" s="8">
        <f>IF(H17=VLOOKUP(VALUE(H$1),Questions!$A:$E,5,FALSE),1,0)</f>
        <v>1</v>
      </c>
      <c r="AR17" s="8">
        <f>IF(I17=VLOOKUP(VALUE(I$1),Questions!$A:$E,5,FALSE),1,0)</f>
        <v>1</v>
      </c>
      <c r="AS17" s="8">
        <f>IF(J17=VLOOKUP(VALUE(J$1),Questions!$A:$E,5,FALSE),1,0)</f>
        <v>1</v>
      </c>
      <c r="AT17" s="8">
        <f>IF(K17=VLOOKUP(VALUE(K$1),Questions!$A:$E,5,FALSE),1,0)</f>
        <v>1</v>
      </c>
      <c r="AU17" s="8">
        <f>IF(L17=VLOOKUP(VALUE(L$1),Questions!$A:$E,5,FALSE),1,0)</f>
        <v>0</v>
      </c>
      <c r="AV17" s="8">
        <f>IF(M17=VLOOKUP(VALUE(M$1),Questions!$A:$E,5,FALSE),1,0)</f>
        <v>0</v>
      </c>
      <c r="AW17" s="8">
        <f>IF(N17=VLOOKUP(VALUE(N$1),Questions!$A:$E,5,FALSE),1,0)</f>
        <v>0</v>
      </c>
      <c r="AX17" s="8">
        <f>IF(O17=VLOOKUP(VALUE(O$1),Questions!$A:$E,5,FALSE),1,0)</f>
        <v>0</v>
      </c>
      <c r="AY17" s="8">
        <f>IF(P17=VLOOKUP(VALUE(P$1),Questions!$A:$E,5,FALSE),1,0)</f>
        <v>0</v>
      </c>
      <c r="AZ17" s="8">
        <f>IF(Q17=VLOOKUP(VALUE(Q$1),Questions!$A:$E,5,FALSE),1,0)</f>
        <v>1</v>
      </c>
      <c r="BA17" s="8">
        <f>IF(R17=VLOOKUP(VALUE(R$1),Questions!$A:$E,5,FALSE),1,0)</f>
        <v>0</v>
      </c>
      <c r="BB17" s="8">
        <f>IF(S17=VLOOKUP(VALUE(S$1),Questions!$A:$E,5,FALSE),1,0)</f>
        <v>0</v>
      </c>
      <c r="BC17" s="8">
        <f>IF(T17=VLOOKUP(VALUE(T$1),Questions!$A:$E,5,FALSE),1,0)</f>
        <v>1</v>
      </c>
      <c r="BD17" s="8">
        <f>IF(U17=VLOOKUP(VALUE(U$1),Questions!$A:$E,5,FALSE),1,0)</f>
        <v>0</v>
      </c>
      <c r="BE17" s="8">
        <f>IF(V17=VLOOKUP(VALUE(V$1),Questions!$A:$E,5,FALSE),1,0)</f>
        <v>1</v>
      </c>
      <c r="BF17" s="8">
        <f>IF(W17=VLOOKUP(VALUE(W$1),Questions!$A:$E,5,FALSE),1,0)</f>
        <v>0</v>
      </c>
      <c r="BG17" s="8">
        <f>IF(X17=VLOOKUP(VALUE(X$1),Questions!$A:$E,5,FALSE),1,0)</f>
        <v>1</v>
      </c>
      <c r="BH17" s="8">
        <f>IF(Y17=VLOOKUP(VALUE(Y$1),Questions!$A:$E,5,FALSE),1,0)</f>
        <v>1</v>
      </c>
      <c r="BI17" s="8">
        <f>IF(Z17=VLOOKUP(VALUE(Z$1),Questions!$A:$E,5,FALSE),1,0)</f>
        <v>0</v>
      </c>
      <c r="BJ17" s="8">
        <f>IF(AA17=VLOOKUP(VALUE(AA$1),Questions!$A:$E,5,FALSE),1,0)</f>
        <v>0</v>
      </c>
      <c r="BK17" s="8">
        <f>IF(AB17=VLOOKUP(VALUE(AB$1),Questions!$A:$E,5,FALSE),1,0)</f>
        <v>1</v>
      </c>
      <c r="BL17" s="8">
        <f>IF(AC17=VLOOKUP(VALUE(AC$1),Questions!$A:$E,5,FALSE),1,0)</f>
        <v>0</v>
      </c>
      <c r="BM17" s="8">
        <f>IF(AD17=VLOOKUP(VALUE(AD$1),Questions!$A:$E,5,FALSE),1,0)</f>
        <v>1</v>
      </c>
      <c r="BN17" s="8">
        <f>IF(AE17=VLOOKUP(VALUE(AE$1),Questions!$A:$E,5,FALSE),1,0)</f>
        <v>0</v>
      </c>
      <c r="BO17" s="8">
        <f>IF(AF17=VLOOKUP(VALUE(AF$1),Questions!$A:$E,5,FALSE),1,0)</f>
        <v>0</v>
      </c>
      <c r="BP17" s="8">
        <f>IF(AG17=VLOOKUP(VALUE(AG$1),Questions!$A:$E,5,FALSE),1,0)</f>
        <v>0</v>
      </c>
      <c r="BQ17" s="8">
        <f>IF(AH17=VLOOKUP(VALUE(AH$1),Questions!$A:$E,5,FALSE),1,0)</f>
        <v>1</v>
      </c>
    </row>
    <row r="18" spans="1:69" ht="13" customHeight="1" x14ac:dyDescent="0.15">
      <c r="A18" t="s">
        <v>34</v>
      </c>
      <c r="B18" s="7">
        <v>10</v>
      </c>
      <c r="C18" s="7">
        <v>4</v>
      </c>
      <c r="D18">
        <v>17</v>
      </c>
      <c r="AP18" s="8">
        <f>IF(G18=VLOOKUP(VALUE(G$1),Questions!$A:$E,5,FALSE),1,0)</f>
        <v>0</v>
      </c>
      <c r="AQ18" s="8">
        <f>IF(H18=VLOOKUP(VALUE(H$1),Questions!$A:$E,5,FALSE),1,0)</f>
        <v>0</v>
      </c>
      <c r="AR18" s="8">
        <f>IF(I18=VLOOKUP(VALUE(I$1),Questions!$A:$E,5,FALSE),1,0)</f>
        <v>0</v>
      </c>
      <c r="AS18" s="8">
        <f>IF(J18=VLOOKUP(VALUE(J$1),Questions!$A:$E,5,FALSE),1,0)</f>
        <v>0</v>
      </c>
      <c r="AT18" s="8">
        <f>IF(K18=VLOOKUP(VALUE(K$1),Questions!$A:$E,5,FALSE),1,0)</f>
        <v>0</v>
      </c>
      <c r="AU18" s="8">
        <f>IF(L18=VLOOKUP(VALUE(L$1),Questions!$A:$E,5,FALSE),1,0)</f>
        <v>0</v>
      </c>
      <c r="AV18" s="8">
        <f>IF(M18=VLOOKUP(VALUE(M$1),Questions!$A:$E,5,FALSE),1,0)</f>
        <v>0</v>
      </c>
      <c r="AW18" s="8">
        <f>IF(N18=VLOOKUP(VALUE(N$1),Questions!$A:$E,5,FALSE),1,0)</f>
        <v>0</v>
      </c>
      <c r="AX18" s="8">
        <f>IF(O18=VLOOKUP(VALUE(O$1),Questions!$A:$E,5,FALSE),1,0)</f>
        <v>0</v>
      </c>
      <c r="AY18" s="8">
        <f>IF(P18=VLOOKUP(VALUE(P$1),Questions!$A:$E,5,FALSE),1,0)</f>
        <v>0</v>
      </c>
      <c r="AZ18" s="8">
        <f>IF(Q18=VLOOKUP(VALUE(Q$1),Questions!$A:$E,5,FALSE),1,0)</f>
        <v>0</v>
      </c>
      <c r="BA18" s="8">
        <f>IF(R18=VLOOKUP(VALUE(R$1),Questions!$A:$E,5,FALSE),1,0)</f>
        <v>0</v>
      </c>
      <c r="BB18" s="8">
        <f>IF(S18=VLOOKUP(VALUE(S$1),Questions!$A:$E,5,FALSE),1,0)</f>
        <v>0</v>
      </c>
      <c r="BC18" s="8">
        <f>IF(T18=VLOOKUP(VALUE(T$1),Questions!$A:$E,5,FALSE),1,0)</f>
        <v>0</v>
      </c>
      <c r="BD18" s="8">
        <f>IF(U18=VLOOKUP(VALUE(U$1),Questions!$A:$E,5,FALSE),1,0)</f>
        <v>0</v>
      </c>
      <c r="BE18" s="8">
        <f>IF(V18=VLOOKUP(VALUE(V$1),Questions!$A:$E,5,FALSE),1,0)</f>
        <v>0</v>
      </c>
      <c r="BF18" s="8">
        <f>IF(W18=VLOOKUP(VALUE(W$1),Questions!$A:$E,5,FALSE),1,0)</f>
        <v>0</v>
      </c>
      <c r="BG18" s="8">
        <f>IF(X18=VLOOKUP(VALUE(X$1),Questions!$A:$E,5,FALSE),1,0)</f>
        <v>0</v>
      </c>
      <c r="BH18" s="8">
        <f>IF(Y18=VLOOKUP(VALUE(Y$1),Questions!$A:$E,5,FALSE),1,0)</f>
        <v>0</v>
      </c>
      <c r="BI18" s="8">
        <f>IF(Z18=VLOOKUP(VALUE(Z$1),Questions!$A:$E,5,FALSE),1,0)</f>
        <v>0</v>
      </c>
      <c r="BJ18" s="8">
        <f>IF(AA18=VLOOKUP(VALUE(AA$1),Questions!$A:$E,5,FALSE),1,0)</f>
        <v>0</v>
      </c>
      <c r="BK18" s="8">
        <f>IF(AB18=VLOOKUP(VALUE(AB$1),Questions!$A:$E,5,FALSE),1,0)</f>
        <v>0</v>
      </c>
      <c r="BL18" s="8">
        <f>IF(AC18=VLOOKUP(VALUE(AC$1),Questions!$A:$E,5,FALSE),1,0)</f>
        <v>0</v>
      </c>
      <c r="BM18" s="8">
        <f>IF(AD18=VLOOKUP(VALUE(AD$1),Questions!$A:$E,5,FALSE),1,0)</f>
        <v>0</v>
      </c>
      <c r="BN18" s="8">
        <f>IF(AE18=VLOOKUP(VALUE(AE$1),Questions!$A:$E,5,FALSE),1,0)</f>
        <v>0</v>
      </c>
      <c r="BO18" s="8">
        <f>IF(AF18=VLOOKUP(VALUE(AF$1),Questions!$A:$E,5,FALSE),1,0)</f>
        <v>0</v>
      </c>
      <c r="BP18" s="8">
        <f>IF(AG18=VLOOKUP(VALUE(AG$1),Questions!$A:$E,5,FALSE),1,0)</f>
        <v>0</v>
      </c>
      <c r="BQ18" s="8">
        <f>IF(AH18=VLOOKUP(VALUE(AH$1),Questions!$A:$E,5,FALSE),1,0)</f>
        <v>0</v>
      </c>
    </row>
    <row r="19" spans="1:69" ht="13" customHeight="1" x14ac:dyDescent="0.15">
      <c r="A19" t="s">
        <v>34</v>
      </c>
      <c r="B19" s="7">
        <v>10</v>
      </c>
      <c r="C19" s="7">
        <v>4</v>
      </c>
      <c r="D19">
        <v>18</v>
      </c>
      <c r="G19" s="8">
        <v>4</v>
      </c>
      <c r="H19" s="8">
        <v>1</v>
      </c>
      <c r="I19" s="8">
        <v>3</v>
      </c>
      <c r="J19" s="8">
        <v>1</v>
      </c>
      <c r="K19" s="8">
        <v>1</v>
      </c>
      <c r="L19" s="8">
        <v>4</v>
      </c>
      <c r="M19" s="8">
        <v>2</v>
      </c>
      <c r="N19" s="8">
        <v>4</v>
      </c>
      <c r="O19" s="8">
        <v>3</v>
      </c>
      <c r="P19" s="8">
        <v>3</v>
      </c>
      <c r="Q19" s="8">
        <v>1</v>
      </c>
      <c r="R19" s="8">
        <v>4</v>
      </c>
      <c r="S19" s="8">
        <v>2</v>
      </c>
      <c r="T19" s="8">
        <v>4</v>
      </c>
      <c r="U19" s="8">
        <v>1</v>
      </c>
      <c r="V19" s="8">
        <v>3</v>
      </c>
      <c r="W19" s="8">
        <v>1</v>
      </c>
      <c r="X19" s="8">
        <v>3</v>
      </c>
      <c r="Y19" s="8">
        <v>3</v>
      </c>
      <c r="Z19" s="8">
        <v>1</v>
      </c>
      <c r="AA19" s="8">
        <v>2</v>
      </c>
      <c r="AB19" s="8">
        <v>3</v>
      </c>
      <c r="AC19" s="8">
        <v>1</v>
      </c>
      <c r="AD19" s="8">
        <v>3</v>
      </c>
      <c r="AE19" s="8">
        <v>4</v>
      </c>
      <c r="AF19" s="8">
        <v>2</v>
      </c>
      <c r="AG19" s="8">
        <v>1</v>
      </c>
      <c r="AH19" s="8">
        <v>3</v>
      </c>
      <c r="AI19" s="8">
        <v>0</v>
      </c>
      <c r="AJ19" s="8">
        <v>1</v>
      </c>
      <c r="AK19" s="8">
        <v>1</v>
      </c>
      <c r="AL19" s="8">
        <v>1</v>
      </c>
      <c r="AM19" s="8">
        <v>1</v>
      </c>
      <c r="AN19" s="8">
        <v>1</v>
      </c>
      <c r="AO19" s="8">
        <v>0</v>
      </c>
      <c r="AP19" s="8">
        <f>IF(G19=VLOOKUP(VALUE(G$1),Questions!$A:$E,5,FALSE),1,0)</f>
        <v>1</v>
      </c>
      <c r="AQ19" s="8">
        <f>IF(H19=VLOOKUP(VALUE(H$1),Questions!$A:$E,5,FALSE),1,0)</f>
        <v>1</v>
      </c>
      <c r="AR19" s="8">
        <f>IF(I19=VLOOKUP(VALUE(I$1),Questions!$A:$E,5,FALSE),1,0)</f>
        <v>1</v>
      </c>
      <c r="AS19" s="8">
        <f>IF(J19=VLOOKUP(VALUE(J$1),Questions!$A:$E,5,FALSE),1,0)</f>
        <v>0</v>
      </c>
      <c r="AT19" s="8">
        <f>IF(K19=VLOOKUP(VALUE(K$1),Questions!$A:$E,5,FALSE),1,0)</f>
        <v>1</v>
      </c>
      <c r="AU19" s="8">
        <f>IF(L19=VLOOKUP(VALUE(L$1),Questions!$A:$E,5,FALSE),1,0)</f>
        <v>0</v>
      </c>
      <c r="AV19" s="8">
        <f>IF(M19=VLOOKUP(VALUE(M$1),Questions!$A:$E,5,FALSE),1,0)</f>
        <v>1</v>
      </c>
      <c r="AW19" s="8">
        <f>IF(N19=VLOOKUP(VALUE(N$1),Questions!$A:$E,5,FALSE),1,0)</f>
        <v>0</v>
      </c>
      <c r="AX19" s="8">
        <f>IF(O19=VLOOKUP(VALUE(O$1),Questions!$A:$E,5,FALSE),1,0)</f>
        <v>0</v>
      </c>
      <c r="AY19" s="8">
        <f>IF(P19=VLOOKUP(VALUE(P$1),Questions!$A:$E,5,FALSE),1,0)</f>
        <v>1</v>
      </c>
      <c r="AZ19" s="8">
        <f>IF(Q19=VLOOKUP(VALUE(Q$1),Questions!$A:$E,5,FALSE),1,0)</f>
        <v>1</v>
      </c>
      <c r="BA19" s="8">
        <f>IF(R19=VLOOKUP(VALUE(R$1),Questions!$A:$E,5,FALSE),1,0)</f>
        <v>1</v>
      </c>
      <c r="BB19" s="8">
        <f>IF(S19=VLOOKUP(VALUE(S$1),Questions!$A:$E,5,FALSE),1,0)</f>
        <v>1</v>
      </c>
      <c r="BC19" s="8">
        <f>IF(T19=VLOOKUP(VALUE(T$1),Questions!$A:$E,5,FALSE),1,0)</f>
        <v>0</v>
      </c>
      <c r="BD19" s="8">
        <f>IF(U19=VLOOKUP(VALUE(U$1),Questions!$A:$E,5,FALSE),1,0)</f>
        <v>0</v>
      </c>
      <c r="BE19" s="8">
        <f>IF(V19=VLOOKUP(VALUE(V$1),Questions!$A:$E,5,FALSE),1,0)</f>
        <v>1</v>
      </c>
      <c r="BF19" s="8">
        <f>IF(W19=VLOOKUP(VALUE(W$1),Questions!$A:$E,5,FALSE),1,0)</f>
        <v>0</v>
      </c>
      <c r="BG19" s="8">
        <f>IF(X19=VLOOKUP(VALUE(X$1),Questions!$A:$E,5,FALSE),1,0)</f>
        <v>1</v>
      </c>
      <c r="BH19" s="8">
        <f>IF(Y19=VLOOKUP(VALUE(Y$1),Questions!$A:$E,5,FALSE),1,0)</f>
        <v>0</v>
      </c>
      <c r="BI19" s="8">
        <f>IF(Z19=VLOOKUP(VALUE(Z$1),Questions!$A:$E,5,FALSE),1,0)</f>
        <v>0</v>
      </c>
      <c r="BJ19" s="8">
        <f>IF(AA19=VLOOKUP(VALUE(AA$1),Questions!$A:$E,5,FALSE),1,0)</f>
        <v>0</v>
      </c>
      <c r="BK19" s="8">
        <f>IF(AB19=VLOOKUP(VALUE(AB$1),Questions!$A:$E,5,FALSE),1,0)</f>
        <v>0</v>
      </c>
      <c r="BL19" s="8">
        <f>IF(AC19=VLOOKUP(VALUE(AC$1),Questions!$A:$E,5,FALSE),1,0)</f>
        <v>0</v>
      </c>
      <c r="BM19" s="8">
        <f>IF(AD19=VLOOKUP(VALUE(AD$1),Questions!$A:$E,5,FALSE),1,0)</f>
        <v>1</v>
      </c>
      <c r="BN19" s="8">
        <f>IF(AE19=VLOOKUP(VALUE(AE$1),Questions!$A:$E,5,FALSE),1,0)</f>
        <v>0</v>
      </c>
      <c r="BO19" s="8">
        <f>IF(AF19=VLOOKUP(VALUE(AF$1),Questions!$A:$E,5,FALSE),1,0)</f>
        <v>0</v>
      </c>
      <c r="BP19" s="8">
        <f>IF(AG19=VLOOKUP(VALUE(AG$1),Questions!$A:$E,5,FALSE),1,0)</f>
        <v>1</v>
      </c>
      <c r="BQ19" s="8">
        <f>IF(AH19=VLOOKUP(VALUE(AH$1),Questions!$A:$E,5,FALSE),1,0)</f>
        <v>0</v>
      </c>
    </row>
    <row r="20" spans="1:69" ht="13" customHeight="1" x14ac:dyDescent="0.15">
      <c r="A20" t="s">
        <v>34</v>
      </c>
      <c r="B20" s="7">
        <v>10</v>
      </c>
      <c r="C20" s="7">
        <v>4</v>
      </c>
      <c r="D20">
        <v>19</v>
      </c>
      <c r="G20" s="8">
        <v>4</v>
      </c>
      <c r="H20" s="8">
        <v>1</v>
      </c>
      <c r="I20" s="8">
        <v>3</v>
      </c>
      <c r="J20" s="8">
        <v>2</v>
      </c>
      <c r="K20" s="8">
        <v>1</v>
      </c>
      <c r="L20" s="8">
        <v>2</v>
      </c>
      <c r="M20" s="8">
        <v>2</v>
      </c>
      <c r="N20" s="8">
        <v>3</v>
      </c>
      <c r="O20" s="8">
        <v>1</v>
      </c>
      <c r="P20" s="8">
        <v>2</v>
      </c>
      <c r="Q20" s="8">
        <v>1</v>
      </c>
      <c r="R20" s="8">
        <v>4</v>
      </c>
      <c r="S20" s="8">
        <v>3</v>
      </c>
      <c r="T20" s="8">
        <v>2</v>
      </c>
      <c r="U20" s="8">
        <v>4</v>
      </c>
      <c r="V20" s="8">
        <v>3</v>
      </c>
      <c r="W20" s="8">
        <v>4</v>
      </c>
      <c r="X20" s="8">
        <v>3</v>
      </c>
      <c r="Y20" s="8">
        <v>1</v>
      </c>
      <c r="Z20" s="8">
        <v>3</v>
      </c>
      <c r="AA20" s="8">
        <v>3</v>
      </c>
      <c r="AB20" s="8">
        <v>2</v>
      </c>
      <c r="AC20" s="8">
        <v>3</v>
      </c>
      <c r="AD20" s="8">
        <v>3</v>
      </c>
      <c r="AE20" s="8">
        <v>3</v>
      </c>
      <c r="AF20" s="8">
        <v>4</v>
      </c>
      <c r="AG20" s="8">
        <v>2</v>
      </c>
      <c r="AH20" s="8">
        <v>3</v>
      </c>
      <c r="AI20" s="8">
        <v>1</v>
      </c>
      <c r="AJ20" s="8">
        <v>1</v>
      </c>
      <c r="AK20" s="8">
        <v>1</v>
      </c>
      <c r="AL20" s="8">
        <v>1</v>
      </c>
      <c r="AM20" s="8">
        <v>1</v>
      </c>
      <c r="AN20" s="8">
        <v>1</v>
      </c>
      <c r="AO20" s="8">
        <v>1</v>
      </c>
      <c r="AP20" s="8">
        <f>IF(G20=VLOOKUP(VALUE(G$1),Questions!$A:$E,5,FALSE),1,0)</f>
        <v>1</v>
      </c>
      <c r="AQ20" s="8">
        <f>IF(H20=VLOOKUP(VALUE(H$1),Questions!$A:$E,5,FALSE),1,0)</f>
        <v>1</v>
      </c>
      <c r="AR20" s="8">
        <f>IF(I20=VLOOKUP(VALUE(I$1),Questions!$A:$E,5,FALSE),1,0)</f>
        <v>1</v>
      </c>
      <c r="AS20" s="8">
        <f>IF(J20=VLOOKUP(VALUE(J$1),Questions!$A:$E,5,FALSE),1,0)</f>
        <v>1</v>
      </c>
      <c r="AT20" s="8">
        <f>IF(K20=VLOOKUP(VALUE(K$1),Questions!$A:$E,5,FALSE),1,0)</f>
        <v>1</v>
      </c>
      <c r="AU20" s="8">
        <f>IF(L20=VLOOKUP(VALUE(L$1),Questions!$A:$E,5,FALSE),1,0)</f>
        <v>0</v>
      </c>
      <c r="AV20" s="8">
        <f>IF(M20=VLOOKUP(VALUE(M$1),Questions!$A:$E,5,FALSE),1,0)</f>
        <v>1</v>
      </c>
      <c r="AW20" s="8">
        <f>IF(N20=VLOOKUP(VALUE(N$1),Questions!$A:$E,5,FALSE),1,0)</f>
        <v>1</v>
      </c>
      <c r="AX20" s="8">
        <f>IF(O20=VLOOKUP(VALUE(O$1),Questions!$A:$E,5,FALSE),1,0)</f>
        <v>1</v>
      </c>
      <c r="AY20" s="8">
        <f>IF(P20=VLOOKUP(VALUE(P$1),Questions!$A:$E,5,FALSE),1,0)</f>
        <v>0</v>
      </c>
      <c r="AZ20" s="8">
        <f>IF(Q20=VLOOKUP(VALUE(Q$1),Questions!$A:$E,5,FALSE),1,0)</f>
        <v>1</v>
      </c>
      <c r="BA20" s="8">
        <f>IF(R20=VLOOKUP(VALUE(R$1),Questions!$A:$E,5,FALSE),1,0)</f>
        <v>1</v>
      </c>
      <c r="BB20" s="8">
        <f>IF(S20=VLOOKUP(VALUE(S$1),Questions!$A:$E,5,FALSE),1,0)</f>
        <v>0</v>
      </c>
      <c r="BC20" s="8">
        <f>IF(T20=VLOOKUP(VALUE(T$1),Questions!$A:$E,5,FALSE),1,0)</f>
        <v>1</v>
      </c>
      <c r="BD20" s="8">
        <f>IF(U20=VLOOKUP(VALUE(U$1),Questions!$A:$E,5,FALSE),1,0)</f>
        <v>1</v>
      </c>
      <c r="BE20" s="8">
        <f>IF(V20=VLOOKUP(VALUE(V$1),Questions!$A:$E,5,FALSE),1,0)</f>
        <v>1</v>
      </c>
      <c r="BF20" s="8">
        <f>IF(W20=VLOOKUP(VALUE(W$1),Questions!$A:$E,5,FALSE),1,0)</f>
        <v>1</v>
      </c>
      <c r="BG20" s="8">
        <f>IF(X20=VLOOKUP(VALUE(X$1),Questions!$A:$E,5,FALSE),1,0)</f>
        <v>1</v>
      </c>
      <c r="BH20" s="8">
        <f>IF(Y20=VLOOKUP(VALUE(Y$1),Questions!$A:$E,5,FALSE),1,0)</f>
        <v>1</v>
      </c>
      <c r="BI20" s="8">
        <f>IF(Z20=VLOOKUP(VALUE(Z$1),Questions!$A:$E,5,FALSE),1,0)</f>
        <v>1</v>
      </c>
      <c r="BJ20" s="8">
        <f>IF(AA20=VLOOKUP(VALUE(AA$1),Questions!$A:$E,5,FALSE),1,0)</f>
        <v>0</v>
      </c>
      <c r="BK20" s="8">
        <f>IF(AB20=VLOOKUP(VALUE(AB$1),Questions!$A:$E,5,FALSE),1,0)</f>
        <v>1</v>
      </c>
      <c r="BL20" s="8">
        <f>IF(AC20=VLOOKUP(VALUE(AC$1),Questions!$A:$E,5,FALSE),1,0)</f>
        <v>0</v>
      </c>
      <c r="BM20" s="8">
        <f>IF(AD20=VLOOKUP(VALUE(AD$1),Questions!$A:$E,5,FALSE),1,0)</f>
        <v>1</v>
      </c>
      <c r="BN20" s="8">
        <f>IF(AE20=VLOOKUP(VALUE(AE$1),Questions!$A:$E,5,FALSE),1,0)</f>
        <v>0</v>
      </c>
      <c r="BO20" s="8">
        <f>IF(AF20=VLOOKUP(VALUE(AF$1),Questions!$A:$E,5,FALSE),1,0)</f>
        <v>1</v>
      </c>
      <c r="BP20" s="8">
        <f>IF(AG20=VLOOKUP(VALUE(AG$1),Questions!$A:$E,5,FALSE),1,0)</f>
        <v>0</v>
      </c>
      <c r="BQ20" s="8">
        <f>IF(AH20=VLOOKUP(VALUE(AH$1),Questions!$A:$E,5,FALSE),1,0)</f>
        <v>0</v>
      </c>
    </row>
    <row r="21" spans="1:69" ht="13" customHeight="1" x14ac:dyDescent="0.15">
      <c r="A21" t="s">
        <v>34</v>
      </c>
      <c r="B21" s="7">
        <v>10</v>
      </c>
      <c r="C21" s="7">
        <v>4</v>
      </c>
      <c r="D21">
        <v>20</v>
      </c>
      <c r="G21" s="8">
        <v>3</v>
      </c>
      <c r="H21" s="8">
        <v>3</v>
      </c>
      <c r="I21" s="8">
        <v>1</v>
      </c>
      <c r="J21" s="8">
        <v>2</v>
      </c>
      <c r="K21" s="8">
        <v>3</v>
      </c>
      <c r="L21" s="8">
        <v>2</v>
      </c>
      <c r="M21" s="8">
        <v>2</v>
      </c>
      <c r="N21" s="8">
        <v>4</v>
      </c>
      <c r="O21" s="8">
        <v>1</v>
      </c>
      <c r="P21" s="8">
        <v>4</v>
      </c>
      <c r="Q21" s="8">
        <v>1</v>
      </c>
      <c r="R21" s="8">
        <v>2</v>
      </c>
      <c r="S21" s="8">
        <v>3</v>
      </c>
      <c r="T21" s="8">
        <v>1</v>
      </c>
      <c r="U21" s="8">
        <v>1</v>
      </c>
      <c r="V21" s="8">
        <v>4</v>
      </c>
      <c r="W21" s="8">
        <v>2</v>
      </c>
      <c r="X21" s="8">
        <v>1</v>
      </c>
      <c r="Y21" s="8">
        <v>1</v>
      </c>
      <c r="Z21" s="8">
        <v>3</v>
      </c>
      <c r="AA21" s="8">
        <v>4</v>
      </c>
      <c r="AB21" s="8">
        <v>3</v>
      </c>
      <c r="AC21" s="8">
        <v>3</v>
      </c>
      <c r="AD21" s="8">
        <v>1</v>
      </c>
      <c r="AE21" s="8">
        <v>1</v>
      </c>
      <c r="AF21" s="8">
        <v>4</v>
      </c>
      <c r="AG21" s="8">
        <v>2</v>
      </c>
      <c r="AH21" s="8">
        <v>3</v>
      </c>
      <c r="AP21" s="8">
        <f>IF(G21=VLOOKUP(VALUE(G$1),Questions!$A:$E,5,FALSE),1,0)</f>
        <v>0</v>
      </c>
      <c r="AQ21" s="8">
        <f>IF(H21=VLOOKUP(VALUE(H$1),Questions!$A:$E,5,FALSE),1,0)</f>
        <v>0</v>
      </c>
      <c r="AR21" s="8">
        <f>IF(I21=VLOOKUP(VALUE(I$1),Questions!$A:$E,5,FALSE),1,0)</f>
        <v>0</v>
      </c>
      <c r="AS21" s="8">
        <f>IF(J21=VLOOKUP(VALUE(J$1),Questions!$A:$E,5,FALSE),1,0)</f>
        <v>1</v>
      </c>
      <c r="AT21" s="8">
        <f>IF(K21=VLOOKUP(VALUE(K$1),Questions!$A:$E,5,FALSE),1,0)</f>
        <v>0</v>
      </c>
      <c r="AU21" s="8">
        <f>IF(L21=VLOOKUP(VALUE(L$1),Questions!$A:$E,5,FALSE),1,0)</f>
        <v>0</v>
      </c>
      <c r="AV21" s="8">
        <f>IF(M21=VLOOKUP(VALUE(M$1),Questions!$A:$E,5,FALSE),1,0)</f>
        <v>1</v>
      </c>
      <c r="AW21" s="8">
        <f>IF(N21=VLOOKUP(VALUE(N$1),Questions!$A:$E,5,FALSE),1,0)</f>
        <v>0</v>
      </c>
      <c r="AX21" s="8">
        <f>IF(O21=VLOOKUP(VALUE(O$1),Questions!$A:$E,5,FALSE),1,0)</f>
        <v>1</v>
      </c>
      <c r="AY21" s="8">
        <f>IF(P21=VLOOKUP(VALUE(P$1),Questions!$A:$E,5,FALSE),1,0)</f>
        <v>0</v>
      </c>
      <c r="AZ21" s="8">
        <f>IF(Q21=VLOOKUP(VALUE(Q$1),Questions!$A:$E,5,FALSE),1,0)</f>
        <v>1</v>
      </c>
      <c r="BA21" s="8">
        <f>IF(R21=VLOOKUP(VALUE(R$1),Questions!$A:$E,5,FALSE),1,0)</f>
        <v>0</v>
      </c>
      <c r="BB21" s="8">
        <f>IF(S21=VLOOKUP(VALUE(S$1),Questions!$A:$E,5,FALSE),1,0)</f>
        <v>0</v>
      </c>
      <c r="BC21" s="8">
        <f>IF(T21=VLOOKUP(VALUE(T$1),Questions!$A:$E,5,FALSE),1,0)</f>
        <v>0</v>
      </c>
      <c r="BD21" s="8">
        <f>IF(U21=VLOOKUP(VALUE(U$1),Questions!$A:$E,5,FALSE),1,0)</f>
        <v>0</v>
      </c>
      <c r="BE21" s="8">
        <f>IF(V21=VLOOKUP(VALUE(V$1),Questions!$A:$E,5,FALSE),1,0)</f>
        <v>0</v>
      </c>
      <c r="BF21" s="8">
        <f>IF(W21=VLOOKUP(VALUE(W$1),Questions!$A:$E,5,FALSE),1,0)</f>
        <v>0</v>
      </c>
      <c r="BG21" s="8">
        <f>IF(X21=VLOOKUP(VALUE(X$1),Questions!$A:$E,5,FALSE),1,0)</f>
        <v>0</v>
      </c>
      <c r="BH21" s="8">
        <f>IF(Y21=VLOOKUP(VALUE(Y$1),Questions!$A:$E,5,FALSE),1,0)</f>
        <v>1</v>
      </c>
      <c r="BI21" s="8">
        <f>IF(Z21=VLOOKUP(VALUE(Z$1),Questions!$A:$E,5,FALSE),1,0)</f>
        <v>1</v>
      </c>
      <c r="BJ21" s="8">
        <f>IF(AA21=VLOOKUP(VALUE(AA$1),Questions!$A:$E,5,FALSE),1,0)</f>
        <v>1</v>
      </c>
      <c r="BK21" s="8">
        <f>IF(AB21=VLOOKUP(VALUE(AB$1),Questions!$A:$E,5,FALSE),1,0)</f>
        <v>0</v>
      </c>
      <c r="BL21" s="8">
        <f>IF(AC21=VLOOKUP(VALUE(AC$1),Questions!$A:$E,5,FALSE),1,0)</f>
        <v>0</v>
      </c>
      <c r="BM21" s="8">
        <f>IF(AD21=VLOOKUP(VALUE(AD$1),Questions!$A:$E,5,FALSE),1,0)</f>
        <v>0</v>
      </c>
      <c r="BN21" s="8">
        <f>IF(AE21=VLOOKUP(VALUE(AE$1),Questions!$A:$E,5,FALSE),1,0)</f>
        <v>0</v>
      </c>
      <c r="BO21" s="8">
        <f>IF(AF21=VLOOKUP(VALUE(AF$1),Questions!$A:$E,5,FALSE),1,0)</f>
        <v>1</v>
      </c>
      <c r="BP21" s="8">
        <f>IF(AG21=VLOOKUP(VALUE(AG$1),Questions!$A:$E,5,FALSE),1,0)</f>
        <v>0</v>
      </c>
      <c r="BQ21" s="8">
        <f>IF(AH21=VLOOKUP(VALUE(AH$1),Questions!$A:$E,5,FALSE),1,0)</f>
        <v>0</v>
      </c>
    </row>
    <row r="22" spans="1:69" ht="13" customHeight="1" x14ac:dyDescent="0.15">
      <c r="A22" t="s">
        <v>34</v>
      </c>
      <c r="B22" s="7">
        <v>10</v>
      </c>
      <c r="C22" s="7">
        <v>4</v>
      </c>
      <c r="D22">
        <v>21</v>
      </c>
      <c r="G22" s="8">
        <v>4</v>
      </c>
      <c r="H22" s="8">
        <v>1</v>
      </c>
      <c r="I22" s="8">
        <v>3</v>
      </c>
      <c r="J22" s="8">
        <v>2</v>
      </c>
      <c r="K22" s="8">
        <v>3</v>
      </c>
      <c r="L22" s="8">
        <v>1</v>
      </c>
      <c r="M22" s="8">
        <v>2</v>
      </c>
      <c r="N22" s="8">
        <v>1</v>
      </c>
      <c r="O22" s="8">
        <v>1</v>
      </c>
      <c r="P22" s="8">
        <v>3</v>
      </c>
      <c r="Q22" s="8">
        <v>1</v>
      </c>
      <c r="R22" s="8">
        <v>4</v>
      </c>
      <c r="S22" s="8">
        <v>2</v>
      </c>
      <c r="T22" s="8">
        <v>2</v>
      </c>
      <c r="U22" s="8">
        <v>3</v>
      </c>
      <c r="V22" s="8">
        <v>1</v>
      </c>
      <c r="W22" s="8">
        <v>2</v>
      </c>
      <c r="X22" s="8">
        <v>4</v>
      </c>
      <c r="Y22" s="8">
        <v>1</v>
      </c>
      <c r="Z22" s="8">
        <v>3</v>
      </c>
      <c r="AA22" s="8">
        <v>4</v>
      </c>
      <c r="AB22" s="8">
        <v>2</v>
      </c>
      <c r="AC22" s="8">
        <v>2</v>
      </c>
      <c r="AD22" s="8">
        <v>3</v>
      </c>
      <c r="AE22" s="8">
        <v>4</v>
      </c>
      <c r="AF22" s="8">
        <v>4</v>
      </c>
      <c r="AG22" s="8">
        <v>3</v>
      </c>
      <c r="AH22" s="8">
        <v>2</v>
      </c>
      <c r="AI22" s="8">
        <v>0</v>
      </c>
      <c r="AJ22" s="8">
        <v>1</v>
      </c>
      <c r="AK22" s="8">
        <v>1</v>
      </c>
      <c r="AL22" s="8">
        <v>1</v>
      </c>
      <c r="AM22" s="8">
        <v>1</v>
      </c>
      <c r="AN22" s="8">
        <v>1</v>
      </c>
      <c r="AO22" s="8">
        <v>1</v>
      </c>
      <c r="AP22" s="8">
        <f>IF(G22=VLOOKUP(VALUE(G$1),Questions!$A:$E,5,FALSE),1,0)</f>
        <v>1</v>
      </c>
      <c r="AQ22" s="8">
        <f>IF(H22=VLOOKUP(VALUE(H$1),Questions!$A:$E,5,FALSE),1,0)</f>
        <v>1</v>
      </c>
      <c r="AR22" s="8">
        <f>IF(I22=VLOOKUP(VALUE(I$1),Questions!$A:$E,5,FALSE),1,0)</f>
        <v>1</v>
      </c>
      <c r="AS22" s="8">
        <f>IF(J22=VLOOKUP(VALUE(J$1),Questions!$A:$E,5,FALSE),1,0)</f>
        <v>1</v>
      </c>
      <c r="AT22" s="8">
        <f>IF(K22=VLOOKUP(VALUE(K$1),Questions!$A:$E,5,FALSE),1,0)</f>
        <v>0</v>
      </c>
      <c r="AU22" s="8">
        <f>IF(L22=VLOOKUP(VALUE(L$1),Questions!$A:$E,5,FALSE),1,0)</f>
        <v>0</v>
      </c>
      <c r="AV22" s="8">
        <f>IF(M22=VLOOKUP(VALUE(M$1),Questions!$A:$E,5,FALSE),1,0)</f>
        <v>1</v>
      </c>
      <c r="AW22" s="8">
        <f>IF(N22=VLOOKUP(VALUE(N$1),Questions!$A:$E,5,FALSE),1,0)</f>
        <v>0</v>
      </c>
      <c r="AX22" s="8">
        <f>IF(O22=VLOOKUP(VALUE(O$1),Questions!$A:$E,5,FALSE),1,0)</f>
        <v>1</v>
      </c>
      <c r="AY22" s="8">
        <f>IF(P22=VLOOKUP(VALUE(P$1),Questions!$A:$E,5,FALSE),1,0)</f>
        <v>1</v>
      </c>
      <c r="AZ22" s="8">
        <f>IF(Q22=VLOOKUP(VALUE(Q$1),Questions!$A:$E,5,FALSE),1,0)</f>
        <v>1</v>
      </c>
      <c r="BA22" s="8">
        <f>IF(R22=VLOOKUP(VALUE(R$1),Questions!$A:$E,5,FALSE),1,0)</f>
        <v>1</v>
      </c>
      <c r="BB22" s="8">
        <f>IF(S22=VLOOKUP(VALUE(S$1),Questions!$A:$E,5,FALSE),1,0)</f>
        <v>1</v>
      </c>
      <c r="BC22" s="8">
        <f>IF(T22=VLOOKUP(VALUE(T$1),Questions!$A:$E,5,FALSE),1,0)</f>
        <v>1</v>
      </c>
      <c r="BD22" s="8">
        <f>IF(U22=VLOOKUP(VALUE(U$1),Questions!$A:$E,5,FALSE),1,0)</f>
        <v>0</v>
      </c>
      <c r="BE22" s="8">
        <f>IF(V22=VLOOKUP(VALUE(V$1),Questions!$A:$E,5,FALSE),1,0)</f>
        <v>0</v>
      </c>
      <c r="BF22" s="8">
        <f>IF(W22=VLOOKUP(VALUE(W$1),Questions!$A:$E,5,FALSE),1,0)</f>
        <v>0</v>
      </c>
      <c r="BG22" s="8">
        <f>IF(X22=VLOOKUP(VALUE(X$1),Questions!$A:$E,5,FALSE),1,0)</f>
        <v>0</v>
      </c>
      <c r="BH22" s="8">
        <f>IF(Y22=VLOOKUP(VALUE(Y$1),Questions!$A:$E,5,FALSE),1,0)</f>
        <v>1</v>
      </c>
      <c r="BI22" s="8">
        <f>IF(Z22=VLOOKUP(VALUE(Z$1),Questions!$A:$E,5,FALSE),1,0)</f>
        <v>1</v>
      </c>
      <c r="BJ22" s="8">
        <f>IF(AA22=VLOOKUP(VALUE(AA$1),Questions!$A:$E,5,FALSE),1,0)</f>
        <v>1</v>
      </c>
      <c r="BK22" s="8">
        <f>IF(AB22=VLOOKUP(VALUE(AB$1),Questions!$A:$E,5,FALSE),1,0)</f>
        <v>1</v>
      </c>
      <c r="BL22" s="8">
        <f>IF(AC22=VLOOKUP(VALUE(AC$1),Questions!$A:$E,5,FALSE),1,0)</f>
        <v>1</v>
      </c>
      <c r="BM22" s="8">
        <f>IF(AD22=VLOOKUP(VALUE(AD$1),Questions!$A:$E,5,FALSE),1,0)</f>
        <v>1</v>
      </c>
      <c r="BN22" s="8">
        <f>IF(AE22=VLOOKUP(VALUE(AE$1),Questions!$A:$E,5,FALSE),1,0)</f>
        <v>0</v>
      </c>
      <c r="BO22" s="8">
        <f>IF(AF22=VLOOKUP(VALUE(AF$1),Questions!$A:$E,5,FALSE),1,0)</f>
        <v>1</v>
      </c>
      <c r="BP22" s="8">
        <f>IF(AG22=VLOOKUP(VALUE(AG$1),Questions!$A:$E,5,FALSE),1,0)</f>
        <v>0</v>
      </c>
      <c r="BQ22" s="8">
        <f>IF(AH22=VLOOKUP(VALUE(AH$1),Questions!$A:$E,5,FALSE),1,0)</f>
        <v>1</v>
      </c>
    </row>
    <row r="23" spans="1:69" ht="13" customHeight="1" x14ac:dyDescent="0.15">
      <c r="A23" t="s">
        <v>34</v>
      </c>
      <c r="B23" s="7">
        <v>10</v>
      </c>
      <c r="C23" s="7">
        <v>4</v>
      </c>
      <c r="D23">
        <v>22</v>
      </c>
      <c r="G23" s="8">
        <v>4</v>
      </c>
      <c r="H23" s="8">
        <v>1</v>
      </c>
      <c r="I23" s="8">
        <v>3</v>
      </c>
      <c r="J23" s="8">
        <v>2</v>
      </c>
      <c r="K23" s="8">
        <v>3</v>
      </c>
      <c r="L23" s="8">
        <v>1</v>
      </c>
      <c r="M23" s="8">
        <v>2</v>
      </c>
      <c r="N23" s="8">
        <v>1</v>
      </c>
      <c r="O23" s="8">
        <v>1</v>
      </c>
      <c r="P23" s="8">
        <v>3</v>
      </c>
      <c r="Q23" s="8">
        <v>1</v>
      </c>
      <c r="R23" s="8">
        <v>4</v>
      </c>
      <c r="S23" s="8">
        <v>2</v>
      </c>
      <c r="T23" s="8">
        <v>2</v>
      </c>
      <c r="U23" s="8">
        <v>3</v>
      </c>
      <c r="V23" s="8">
        <v>1</v>
      </c>
      <c r="W23" s="8">
        <v>2</v>
      </c>
      <c r="X23" s="8">
        <v>4</v>
      </c>
      <c r="Y23" s="8">
        <v>1</v>
      </c>
      <c r="Z23" s="8">
        <v>3</v>
      </c>
      <c r="AA23" s="8">
        <v>4</v>
      </c>
      <c r="AB23" s="8">
        <v>2</v>
      </c>
      <c r="AC23" s="8">
        <v>2</v>
      </c>
      <c r="AD23" s="8">
        <v>3</v>
      </c>
      <c r="AE23" s="8">
        <v>4</v>
      </c>
      <c r="AF23" s="8">
        <v>4</v>
      </c>
      <c r="AG23" s="8">
        <v>3</v>
      </c>
      <c r="AH23" s="8">
        <v>2</v>
      </c>
      <c r="AI23" s="8">
        <v>1</v>
      </c>
      <c r="AJ23" s="8">
        <v>0</v>
      </c>
      <c r="AK23" s="8">
        <v>1</v>
      </c>
      <c r="AL23" s="8">
        <v>0</v>
      </c>
      <c r="AM23" s="8">
        <v>1</v>
      </c>
      <c r="AN23" s="8">
        <v>1</v>
      </c>
      <c r="AO23" s="8">
        <v>1</v>
      </c>
      <c r="AP23" s="8">
        <f>IF(G23=VLOOKUP(VALUE(G$1),Questions!$A:$E,5,FALSE),1,0)</f>
        <v>1</v>
      </c>
      <c r="AQ23" s="8">
        <f>IF(H23=VLOOKUP(VALUE(H$1),Questions!$A:$E,5,FALSE),1,0)</f>
        <v>1</v>
      </c>
      <c r="AR23" s="8">
        <f>IF(I23=VLOOKUP(VALUE(I$1),Questions!$A:$E,5,FALSE),1,0)</f>
        <v>1</v>
      </c>
      <c r="AS23" s="8">
        <f>IF(J23=VLOOKUP(VALUE(J$1),Questions!$A:$E,5,FALSE),1,0)</f>
        <v>1</v>
      </c>
      <c r="AT23" s="8">
        <f>IF(K23=VLOOKUP(VALUE(K$1),Questions!$A:$E,5,FALSE),1,0)</f>
        <v>0</v>
      </c>
      <c r="AU23" s="8">
        <f>IF(L23=VLOOKUP(VALUE(L$1),Questions!$A:$E,5,FALSE),1,0)</f>
        <v>0</v>
      </c>
      <c r="AV23" s="8">
        <f>IF(M23=VLOOKUP(VALUE(M$1),Questions!$A:$E,5,FALSE),1,0)</f>
        <v>1</v>
      </c>
      <c r="AW23" s="8">
        <f>IF(N23=VLOOKUP(VALUE(N$1),Questions!$A:$E,5,FALSE),1,0)</f>
        <v>0</v>
      </c>
      <c r="AX23" s="8">
        <f>IF(O23=VLOOKUP(VALUE(O$1),Questions!$A:$E,5,FALSE),1,0)</f>
        <v>1</v>
      </c>
      <c r="AY23" s="8">
        <f>IF(P23=VLOOKUP(VALUE(P$1),Questions!$A:$E,5,FALSE),1,0)</f>
        <v>1</v>
      </c>
      <c r="AZ23" s="8">
        <f>IF(Q23=VLOOKUP(VALUE(Q$1),Questions!$A:$E,5,FALSE),1,0)</f>
        <v>1</v>
      </c>
      <c r="BA23" s="8">
        <f>IF(R23=VLOOKUP(VALUE(R$1),Questions!$A:$E,5,FALSE),1,0)</f>
        <v>1</v>
      </c>
      <c r="BB23" s="8">
        <f>IF(S23=VLOOKUP(VALUE(S$1),Questions!$A:$E,5,FALSE),1,0)</f>
        <v>1</v>
      </c>
      <c r="BC23" s="8">
        <f>IF(T23=VLOOKUP(VALUE(T$1),Questions!$A:$E,5,FALSE),1,0)</f>
        <v>1</v>
      </c>
      <c r="BD23" s="8">
        <f>IF(U23=VLOOKUP(VALUE(U$1),Questions!$A:$E,5,FALSE),1,0)</f>
        <v>0</v>
      </c>
      <c r="BE23" s="8">
        <f>IF(V23=VLOOKUP(VALUE(V$1),Questions!$A:$E,5,FALSE),1,0)</f>
        <v>0</v>
      </c>
      <c r="BF23" s="8">
        <f>IF(W23=VLOOKUP(VALUE(W$1),Questions!$A:$E,5,FALSE),1,0)</f>
        <v>0</v>
      </c>
      <c r="BG23" s="8">
        <f>IF(X23=VLOOKUP(VALUE(X$1),Questions!$A:$E,5,FALSE),1,0)</f>
        <v>0</v>
      </c>
      <c r="BH23" s="8">
        <f>IF(Y23=VLOOKUP(VALUE(Y$1),Questions!$A:$E,5,FALSE),1,0)</f>
        <v>1</v>
      </c>
      <c r="BI23" s="8">
        <f>IF(Z23=VLOOKUP(VALUE(Z$1),Questions!$A:$E,5,FALSE),1,0)</f>
        <v>1</v>
      </c>
      <c r="BJ23" s="8">
        <f>IF(AA23=VLOOKUP(VALUE(AA$1),Questions!$A:$E,5,FALSE),1,0)</f>
        <v>1</v>
      </c>
      <c r="BK23" s="8">
        <f>IF(AB23=VLOOKUP(VALUE(AB$1),Questions!$A:$E,5,FALSE),1,0)</f>
        <v>1</v>
      </c>
      <c r="BL23" s="8">
        <f>IF(AC23=VLOOKUP(VALUE(AC$1),Questions!$A:$E,5,FALSE),1,0)</f>
        <v>1</v>
      </c>
      <c r="BM23" s="8">
        <f>IF(AD23=VLOOKUP(VALUE(AD$1),Questions!$A:$E,5,FALSE),1,0)</f>
        <v>1</v>
      </c>
      <c r="BN23" s="8">
        <f>IF(AE23=VLOOKUP(VALUE(AE$1),Questions!$A:$E,5,FALSE),1,0)</f>
        <v>0</v>
      </c>
      <c r="BO23" s="8">
        <f>IF(AF23=VLOOKUP(VALUE(AF$1),Questions!$A:$E,5,FALSE),1,0)</f>
        <v>1</v>
      </c>
      <c r="BP23" s="8">
        <f>IF(AG23=VLOOKUP(VALUE(AG$1),Questions!$A:$E,5,FALSE),1,0)</f>
        <v>0</v>
      </c>
      <c r="BQ23" s="8">
        <f>IF(AH23=VLOOKUP(VALUE(AH$1),Questions!$A:$E,5,FALSE),1,0)</f>
        <v>1</v>
      </c>
    </row>
    <row r="24" spans="1:69" ht="13" customHeight="1" x14ac:dyDescent="0.15">
      <c r="A24" t="s">
        <v>34</v>
      </c>
      <c r="B24" s="7">
        <v>10</v>
      </c>
      <c r="C24" s="7">
        <v>4</v>
      </c>
      <c r="D24">
        <v>23</v>
      </c>
      <c r="AI24" s="8">
        <v>0</v>
      </c>
      <c r="AJ24" s="8">
        <v>0</v>
      </c>
      <c r="AK24" s="8">
        <v>1</v>
      </c>
      <c r="AL24" s="8">
        <v>0</v>
      </c>
      <c r="AM24" s="8">
        <v>1</v>
      </c>
      <c r="AN24" s="8">
        <v>1</v>
      </c>
      <c r="AO24" s="8">
        <v>1</v>
      </c>
      <c r="AP24" s="8">
        <f>IF(G24=VLOOKUP(VALUE(G$1),Questions!$A:$E,5,FALSE),1,0)</f>
        <v>0</v>
      </c>
      <c r="AQ24" s="8">
        <f>IF(H24=VLOOKUP(VALUE(H$1),Questions!$A:$E,5,FALSE),1,0)</f>
        <v>0</v>
      </c>
      <c r="AR24" s="8">
        <f>IF(I24=VLOOKUP(VALUE(I$1),Questions!$A:$E,5,FALSE),1,0)</f>
        <v>0</v>
      </c>
      <c r="AS24" s="8">
        <f>IF(J24=VLOOKUP(VALUE(J$1),Questions!$A:$E,5,FALSE),1,0)</f>
        <v>0</v>
      </c>
      <c r="AT24" s="8">
        <f>IF(K24=VLOOKUP(VALUE(K$1),Questions!$A:$E,5,FALSE),1,0)</f>
        <v>0</v>
      </c>
      <c r="AU24" s="8">
        <f>IF(L24=VLOOKUP(VALUE(L$1),Questions!$A:$E,5,FALSE),1,0)</f>
        <v>0</v>
      </c>
      <c r="AV24" s="8">
        <f>IF(M24=VLOOKUP(VALUE(M$1),Questions!$A:$E,5,FALSE),1,0)</f>
        <v>0</v>
      </c>
      <c r="AW24" s="8">
        <f>IF(N24=VLOOKUP(VALUE(N$1),Questions!$A:$E,5,FALSE),1,0)</f>
        <v>0</v>
      </c>
      <c r="AX24" s="8">
        <f>IF(O24=VLOOKUP(VALUE(O$1),Questions!$A:$E,5,FALSE),1,0)</f>
        <v>0</v>
      </c>
      <c r="AY24" s="8">
        <f>IF(P24=VLOOKUP(VALUE(P$1),Questions!$A:$E,5,FALSE),1,0)</f>
        <v>0</v>
      </c>
      <c r="AZ24" s="8">
        <f>IF(Q24=VLOOKUP(VALUE(Q$1),Questions!$A:$E,5,FALSE),1,0)</f>
        <v>0</v>
      </c>
      <c r="BA24" s="8">
        <f>IF(R24=VLOOKUP(VALUE(R$1),Questions!$A:$E,5,FALSE),1,0)</f>
        <v>0</v>
      </c>
      <c r="BB24" s="8">
        <f>IF(S24=VLOOKUP(VALUE(S$1),Questions!$A:$E,5,FALSE),1,0)</f>
        <v>0</v>
      </c>
      <c r="BC24" s="8">
        <f>IF(T24=VLOOKUP(VALUE(T$1),Questions!$A:$E,5,FALSE),1,0)</f>
        <v>0</v>
      </c>
      <c r="BD24" s="8">
        <f>IF(U24=VLOOKUP(VALUE(U$1),Questions!$A:$E,5,FALSE),1,0)</f>
        <v>0</v>
      </c>
      <c r="BE24" s="8">
        <f>IF(V24=VLOOKUP(VALUE(V$1),Questions!$A:$E,5,FALSE),1,0)</f>
        <v>0</v>
      </c>
      <c r="BF24" s="8">
        <f>IF(W24=VLOOKUP(VALUE(W$1),Questions!$A:$E,5,FALSE),1,0)</f>
        <v>0</v>
      </c>
      <c r="BG24" s="8">
        <f>IF(X24=VLOOKUP(VALUE(X$1),Questions!$A:$E,5,FALSE),1,0)</f>
        <v>0</v>
      </c>
      <c r="BH24" s="8">
        <f>IF(Y24=VLOOKUP(VALUE(Y$1),Questions!$A:$E,5,FALSE),1,0)</f>
        <v>0</v>
      </c>
      <c r="BI24" s="8">
        <f>IF(Z24=VLOOKUP(VALUE(Z$1),Questions!$A:$E,5,FALSE),1,0)</f>
        <v>0</v>
      </c>
      <c r="BJ24" s="8">
        <f>IF(AA24=VLOOKUP(VALUE(AA$1),Questions!$A:$E,5,FALSE),1,0)</f>
        <v>0</v>
      </c>
      <c r="BK24" s="8">
        <f>IF(AB24=VLOOKUP(VALUE(AB$1),Questions!$A:$E,5,FALSE),1,0)</f>
        <v>0</v>
      </c>
      <c r="BL24" s="8">
        <f>IF(AC24=VLOOKUP(VALUE(AC$1),Questions!$A:$E,5,FALSE),1,0)</f>
        <v>0</v>
      </c>
      <c r="BM24" s="8">
        <f>IF(AD24=VLOOKUP(VALUE(AD$1),Questions!$A:$E,5,FALSE),1,0)</f>
        <v>0</v>
      </c>
      <c r="BN24" s="8">
        <f>IF(AE24=VLOOKUP(VALUE(AE$1),Questions!$A:$E,5,FALSE),1,0)</f>
        <v>0</v>
      </c>
      <c r="BO24" s="8">
        <f>IF(AF24=VLOOKUP(VALUE(AF$1),Questions!$A:$E,5,FALSE),1,0)</f>
        <v>0</v>
      </c>
      <c r="BP24" s="8">
        <f>IF(AG24=VLOOKUP(VALUE(AG$1),Questions!$A:$E,5,FALSE),1,0)</f>
        <v>0</v>
      </c>
      <c r="BQ24" s="8">
        <f>IF(AH24=VLOOKUP(VALUE(AH$1),Questions!$A:$E,5,FALSE),1,0)</f>
        <v>0</v>
      </c>
    </row>
    <row r="25" spans="1:69" ht="13" customHeight="1" x14ac:dyDescent="0.15">
      <c r="A25" t="s">
        <v>34</v>
      </c>
      <c r="B25" s="7">
        <v>10</v>
      </c>
      <c r="C25" s="7">
        <v>4</v>
      </c>
      <c r="D25">
        <v>24</v>
      </c>
      <c r="G25" s="8">
        <v>4</v>
      </c>
      <c r="H25" s="8">
        <v>1</v>
      </c>
      <c r="I25" s="8">
        <v>3</v>
      </c>
      <c r="J25" s="8">
        <v>2</v>
      </c>
      <c r="K25" s="8">
        <v>4</v>
      </c>
      <c r="L25" s="8">
        <v>1</v>
      </c>
      <c r="M25" s="8">
        <v>2</v>
      </c>
      <c r="N25" s="8">
        <v>1</v>
      </c>
      <c r="O25" s="8">
        <v>1</v>
      </c>
      <c r="P25" s="8">
        <v>4</v>
      </c>
      <c r="Q25" s="8">
        <v>1</v>
      </c>
      <c r="R25" s="8">
        <v>4</v>
      </c>
      <c r="S25" s="8">
        <v>3</v>
      </c>
      <c r="T25" s="8">
        <v>2</v>
      </c>
      <c r="U25" s="8">
        <v>4</v>
      </c>
      <c r="V25" s="8">
        <v>3</v>
      </c>
      <c r="W25" s="8">
        <v>4</v>
      </c>
      <c r="X25" s="8">
        <v>4</v>
      </c>
      <c r="Y25" s="8">
        <v>1</v>
      </c>
      <c r="Z25" s="8">
        <v>3</v>
      </c>
      <c r="AA25" s="8">
        <v>4</v>
      </c>
      <c r="AB25" s="8">
        <v>2</v>
      </c>
      <c r="AC25" s="8">
        <v>4</v>
      </c>
      <c r="AD25" s="8">
        <v>3</v>
      </c>
      <c r="AE25" s="8">
        <v>2</v>
      </c>
      <c r="AF25" s="8">
        <v>4</v>
      </c>
      <c r="AG25" s="8">
        <v>2</v>
      </c>
      <c r="AH25" s="8">
        <v>2</v>
      </c>
      <c r="AI25" s="8">
        <v>0</v>
      </c>
      <c r="AJ25" s="8">
        <v>1</v>
      </c>
      <c r="AK25" s="8">
        <v>1</v>
      </c>
      <c r="AL25" s="8">
        <v>1</v>
      </c>
      <c r="AM25" s="8">
        <v>1</v>
      </c>
      <c r="AN25" s="8">
        <v>1</v>
      </c>
      <c r="AO25" s="8">
        <v>1</v>
      </c>
      <c r="AP25" s="8">
        <f>IF(G25=VLOOKUP(VALUE(G$1),Questions!$A:$E,5,FALSE),1,0)</f>
        <v>1</v>
      </c>
      <c r="AQ25" s="8">
        <f>IF(H25=VLOOKUP(VALUE(H$1),Questions!$A:$E,5,FALSE),1,0)</f>
        <v>1</v>
      </c>
      <c r="AR25" s="8">
        <f>IF(I25=VLOOKUP(VALUE(I$1),Questions!$A:$E,5,FALSE),1,0)</f>
        <v>1</v>
      </c>
      <c r="AS25" s="8">
        <f>IF(J25=VLOOKUP(VALUE(J$1),Questions!$A:$E,5,FALSE),1,0)</f>
        <v>1</v>
      </c>
      <c r="AT25" s="8">
        <f>IF(K25=VLOOKUP(VALUE(K$1),Questions!$A:$E,5,FALSE),1,0)</f>
        <v>0</v>
      </c>
      <c r="AU25" s="8">
        <f>IF(L25=VLOOKUP(VALUE(L$1),Questions!$A:$E,5,FALSE),1,0)</f>
        <v>0</v>
      </c>
      <c r="AV25" s="8">
        <f>IF(M25=VLOOKUP(VALUE(M$1),Questions!$A:$E,5,FALSE),1,0)</f>
        <v>1</v>
      </c>
      <c r="AW25" s="8">
        <f>IF(N25=VLOOKUP(VALUE(N$1),Questions!$A:$E,5,FALSE),1,0)</f>
        <v>0</v>
      </c>
      <c r="AX25" s="8">
        <f>IF(O25=VLOOKUP(VALUE(O$1),Questions!$A:$E,5,FALSE),1,0)</f>
        <v>1</v>
      </c>
      <c r="AY25" s="8">
        <f>IF(P25=VLOOKUP(VALUE(P$1),Questions!$A:$E,5,FALSE),1,0)</f>
        <v>0</v>
      </c>
      <c r="AZ25" s="8">
        <f>IF(Q25=VLOOKUP(VALUE(Q$1),Questions!$A:$E,5,FALSE),1,0)</f>
        <v>1</v>
      </c>
      <c r="BA25" s="8">
        <f>IF(R25=VLOOKUP(VALUE(R$1),Questions!$A:$E,5,FALSE),1,0)</f>
        <v>1</v>
      </c>
      <c r="BB25" s="8">
        <f>IF(S25=VLOOKUP(VALUE(S$1),Questions!$A:$E,5,FALSE),1,0)</f>
        <v>0</v>
      </c>
      <c r="BC25" s="8">
        <f>IF(T25=VLOOKUP(VALUE(T$1),Questions!$A:$E,5,FALSE),1,0)</f>
        <v>1</v>
      </c>
      <c r="BD25" s="8">
        <f>IF(U25=VLOOKUP(VALUE(U$1),Questions!$A:$E,5,FALSE),1,0)</f>
        <v>1</v>
      </c>
      <c r="BE25" s="8">
        <f>IF(V25=VLOOKUP(VALUE(V$1),Questions!$A:$E,5,FALSE),1,0)</f>
        <v>1</v>
      </c>
      <c r="BF25" s="8">
        <f>IF(W25=VLOOKUP(VALUE(W$1),Questions!$A:$E,5,FALSE),1,0)</f>
        <v>1</v>
      </c>
      <c r="BG25" s="8">
        <f>IF(X25=VLOOKUP(VALUE(X$1),Questions!$A:$E,5,FALSE),1,0)</f>
        <v>0</v>
      </c>
      <c r="BH25" s="8">
        <f>IF(Y25=VLOOKUP(VALUE(Y$1),Questions!$A:$E,5,FALSE),1,0)</f>
        <v>1</v>
      </c>
      <c r="BI25" s="8">
        <f>IF(Z25=VLOOKUP(VALUE(Z$1),Questions!$A:$E,5,FALSE),1,0)</f>
        <v>1</v>
      </c>
      <c r="BJ25" s="8">
        <f>IF(AA25=VLOOKUP(VALUE(AA$1),Questions!$A:$E,5,FALSE),1,0)</f>
        <v>1</v>
      </c>
      <c r="BK25" s="8">
        <f>IF(AB25=VLOOKUP(VALUE(AB$1),Questions!$A:$E,5,FALSE),1,0)</f>
        <v>1</v>
      </c>
      <c r="BL25" s="8">
        <f>IF(AC25=VLOOKUP(VALUE(AC$1),Questions!$A:$E,5,FALSE),1,0)</f>
        <v>0</v>
      </c>
      <c r="BM25" s="8">
        <f>IF(AD25=VLOOKUP(VALUE(AD$1),Questions!$A:$E,5,FALSE),1,0)</f>
        <v>1</v>
      </c>
      <c r="BN25" s="8">
        <f>IF(AE25=VLOOKUP(VALUE(AE$1),Questions!$A:$E,5,FALSE),1,0)</f>
        <v>1</v>
      </c>
      <c r="BO25" s="8">
        <f>IF(AF25=VLOOKUP(VALUE(AF$1),Questions!$A:$E,5,FALSE),1,0)</f>
        <v>1</v>
      </c>
      <c r="BP25" s="8">
        <f>IF(AG25=VLOOKUP(VALUE(AG$1),Questions!$A:$E,5,FALSE),1,0)</f>
        <v>0</v>
      </c>
      <c r="BQ25" s="8">
        <f>IF(AH25=VLOOKUP(VALUE(AH$1),Questions!$A:$E,5,FALSE),1,0)</f>
        <v>1</v>
      </c>
    </row>
    <row r="26" spans="1:69" ht="13" customHeight="1" x14ac:dyDescent="0.15">
      <c r="A26" t="s">
        <v>34</v>
      </c>
      <c r="B26" s="7">
        <v>10</v>
      </c>
      <c r="C26" s="7">
        <v>4</v>
      </c>
      <c r="D26">
        <v>25</v>
      </c>
      <c r="G26" s="8">
        <v>4</v>
      </c>
      <c r="H26" s="8">
        <v>1</v>
      </c>
      <c r="I26" s="8">
        <v>3</v>
      </c>
      <c r="J26" s="8">
        <v>2</v>
      </c>
      <c r="K26" s="8">
        <v>1</v>
      </c>
      <c r="L26" s="8">
        <v>3</v>
      </c>
      <c r="M26" s="8">
        <v>2</v>
      </c>
      <c r="N26" s="8">
        <v>2</v>
      </c>
      <c r="O26" s="8">
        <v>3</v>
      </c>
      <c r="P26" s="8">
        <v>3</v>
      </c>
      <c r="Q26" s="8">
        <v>1</v>
      </c>
      <c r="R26" s="8">
        <v>4</v>
      </c>
      <c r="S26" s="8">
        <v>3</v>
      </c>
      <c r="T26" s="8">
        <v>3</v>
      </c>
      <c r="U26" s="8">
        <v>4</v>
      </c>
      <c r="V26" s="8">
        <v>3</v>
      </c>
      <c r="W26" s="8">
        <v>4</v>
      </c>
      <c r="X26" s="8">
        <v>3</v>
      </c>
      <c r="Y26" s="8">
        <v>1</v>
      </c>
      <c r="Z26" s="8">
        <v>3</v>
      </c>
      <c r="AA26" s="8">
        <v>1</v>
      </c>
      <c r="AB26" s="8">
        <v>3</v>
      </c>
      <c r="AC26" s="8">
        <v>4</v>
      </c>
      <c r="AD26" s="8">
        <v>4</v>
      </c>
      <c r="AE26" s="8">
        <v>1</v>
      </c>
      <c r="AF26" s="8">
        <v>2</v>
      </c>
      <c r="AG26" s="8">
        <v>2</v>
      </c>
      <c r="AH26" s="8">
        <v>3</v>
      </c>
      <c r="AI26" s="8">
        <v>1</v>
      </c>
      <c r="AJ26" s="8">
        <v>1</v>
      </c>
      <c r="AK26" s="8">
        <v>1</v>
      </c>
      <c r="AL26" s="8">
        <v>1</v>
      </c>
      <c r="AM26" s="8">
        <v>0</v>
      </c>
      <c r="AN26" s="8">
        <v>1</v>
      </c>
      <c r="AO26" s="8">
        <v>1</v>
      </c>
      <c r="AP26" s="8">
        <f>IF(G26=VLOOKUP(VALUE(G$1),Questions!$A:$E,5,FALSE),1,0)</f>
        <v>1</v>
      </c>
      <c r="AQ26" s="8">
        <f>IF(H26=VLOOKUP(VALUE(H$1),Questions!$A:$E,5,FALSE),1,0)</f>
        <v>1</v>
      </c>
      <c r="AR26" s="8">
        <f>IF(I26=VLOOKUP(VALUE(I$1),Questions!$A:$E,5,FALSE),1,0)</f>
        <v>1</v>
      </c>
      <c r="AS26" s="8">
        <f>IF(J26=VLOOKUP(VALUE(J$1),Questions!$A:$E,5,FALSE),1,0)</f>
        <v>1</v>
      </c>
      <c r="AT26" s="8">
        <f>IF(K26=VLOOKUP(VALUE(K$1),Questions!$A:$E,5,FALSE),1,0)</f>
        <v>1</v>
      </c>
      <c r="AU26" s="8">
        <f>IF(L26=VLOOKUP(VALUE(L$1),Questions!$A:$E,5,FALSE),1,0)</f>
        <v>1</v>
      </c>
      <c r="AV26" s="8">
        <f>IF(M26=VLOOKUP(VALUE(M$1),Questions!$A:$E,5,FALSE),1,0)</f>
        <v>1</v>
      </c>
      <c r="AW26" s="8">
        <f>IF(N26=VLOOKUP(VALUE(N$1),Questions!$A:$E,5,FALSE),1,0)</f>
        <v>0</v>
      </c>
      <c r="AX26" s="8">
        <f>IF(O26=VLOOKUP(VALUE(O$1),Questions!$A:$E,5,FALSE),1,0)</f>
        <v>0</v>
      </c>
      <c r="AY26" s="8">
        <f>IF(P26=VLOOKUP(VALUE(P$1),Questions!$A:$E,5,FALSE),1,0)</f>
        <v>1</v>
      </c>
      <c r="AZ26" s="8">
        <f>IF(Q26=VLOOKUP(VALUE(Q$1),Questions!$A:$E,5,FALSE),1,0)</f>
        <v>1</v>
      </c>
      <c r="BA26" s="8">
        <f>IF(R26=VLOOKUP(VALUE(R$1),Questions!$A:$E,5,FALSE),1,0)</f>
        <v>1</v>
      </c>
      <c r="BB26" s="8">
        <f>IF(S26=VLOOKUP(VALUE(S$1),Questions!$A:$E,5,FALSE),1,0)</f>
        <v>0</v>
      </c>
      <c r="BC26" s="8">
        <f>IF(T26=VLOOKUP(VALUE(T$1),Questions!$A:$E,5,FALSE),1,0)</f>
        <v>0</v>
      </c>
      <c r="BD26" s="8">
        <f>IF(U26=VLOOKUP(VALUE(U$1),Questions!$A:$E,5,FALSE),1,0)</f>
        <v>1</v>
      </c>
      <c r="BE26" s="8">
        <f>IF(V26=VLOOKUP(VALUE(V$1),Questions!$A:$E,5,FALSE),1,0)</f>
        <v>1</v>
      </c>
      <c r="BF26" s="8">
        <f>IF(W26=VLOOKUP(VALUE(W$1),Questions!$A:$E,5,FALSE),1,0)</f>
        <v>1</v>
      </c>
      <c r="BG26" s="8">
        <f>IF(X26=VLOOKUP(VALUE(X$1),Questions!$A:$E,5,FALSE),1,0)</f>
        <v>1</v>
      </c>
      <c r="BH26" s="8">
        <f>IF(Y26=VLOOKUP(VALUE(Y$1),Questions!$A:$E,5,FALSE),1,0)</f>
        <v>1</v>
      </c>
      <c r="BI26" s="8">
        <f>IF(Z26=VLOOKUP(VALUE(Z$1),Questions!$A:$E,5,FALSE),1,0)</f>
        <v>1</v>
      </c>
      <c r="BJ26" s="8">
        <f>IF(AA26=VLOOKUP(VALUE(AA$1),Questions!$A:$E,5,FALSE),1,0)</f>
        <v>0</v>
      </c>
      <c r="BK26" s="8">
        <f>IF(AB26=VLOOKUP(VALUE(AB$1),Questions!$A:$E,5,FALSE),1,0)</f>
        <v>0</v>
      </c>
      <c r="BL26" s="8">
        <f>IF(AC26=VLOOKUP(VALUE(AC$1),Questions!$A:$E,5,FALSE),1,0)</f>
        <v>0</v>
      </c>
      <c r="BM26" s="8">
        <f>IF(AD26=VLOOKUP(VALUE(AD$1),Questions!$A:$E,5,FALSE),1,0)</f>
        <v>0</v>
      </c>
      <c r="BN26" s="8">
        <f>IF(AE26=VLOOKUP(VALUE(AE$1),Questions!$A:$E,5,FALSE),1,0)</f>
        <v>0</v>
      </c>
      <c r="BO26" s="8">
        <f>IF(AF26=VLOOKUP(VALUE(AF$1),Questions!$A:$E,5,FALSE),1,0)</f>
        <v>0</v>
      </c>
      <c r="BP26" s="8">
        <f>IF(AG26=VLOOKUP(VALUE(AG$1),Questions!$A:$E,5,FALSE),1,0)</f>
        <v>0</v>
      </c>
      <c r="BQ26" s="8">
        <f>IF(AH26=VLOOKUP(VALUE(AH$1),Questions!$A:$E,5,FALSE),1,0)</f>
        <v>0</v>
      </c>
    </row>
    <row r="27" spans="1:69" ht="13" customHeight="1" x14ac:dyDescent="0.15">
      <c r="A27" t="s">
        <v>34</v>
      </c>
      <c r="B27" s="7">
        <v>10</v>
      </c>
      <c r="C27" s="7">
        <v>4</v>
      </c>
      <c r="D27">
        <v>26</v>
      </c>
      <c r="G27" s="8">
        <v>4</v>
      </c>
      <c r="H27" s="8">
        <v>1</v>
      </c>
      <c r="I27" s="8">
        <v>3</v>
      </c>
      <c r="J27" s="8">
        <v>2</v>
      </c>
      <c r="K27" s="8">
        <v>1</v>
      </c>
      <c r="L27" s="8">
        <v>3</v>
      </c>
      <c r="M27" s="8">
        <v>4</v>
      </c>
      <c r="N27" s="8">
        <v>4</v>
      </c>
      <c r="O27" s="8">
        <v>1</v>
      </c>
      <c r="P27" s="8">
        <v>3</v>
      </c>
      <c r="Q27" s="8">
        <v>1</v>
      </c>
      <c r="R27" s="8">
        <v>4</v>
      </c>
      <c r="S27" s="8">
        <v>3</v>
      </c>
      <c r="T27" s="8">
        <v>2</v>
      </c>
      <c r="U27" s="8">
        <v>4</v>
      </c>
      <c r="V27" s="8">
        <v>3</v>
      </c>
      <c r="W27" s="8">
        <v>4</v>
      </c>
      <c r="X27" s="8">
        <v>3</v>
      </c>
      <c r="Y27" s="8">
        <v>1</v>
      </c>
      <c r="Z27" s="8">
        <v>3</v>
      </c>
      <c r="AA27" s="8">
        <v>4</v>
      </c>
      <c r="AB27" s="8">
        <v>2</v>
      </c>
      <c r="AC27" s="8">
        <v>2</v>
      </c>
      <c r="AD27" s="8">
        <v>3</v>
      </c>
      <c r="AE27" s="8">
        <v>1</v>
      </c>
      <c r="AF27" s="8">
        <v>4</v>
      </c>
      <c r="AG27" s="8">
        <v>1</v>
      </c>
      <c r="AH27" s="8">
        <v>2</v>
      </c>
      <c r="AI27" s="8">
        <v>1</v>
      </c>
      <c r="AJ27" s="8">
        <v>0</v>
      </c>
      <c r="AK27" s="8">
        <v>1</v>
      </c>
      <c r="AL27" s="8">
        <v>1</v>
      </c>
      <c r="AM27" s="8">
        <v>1</v>
      </c>
      <c r="AN27" s="8">
        <v>1</v>
      </c>
      <c r="AO27" s="8">
        <v>1</v>
      </c>
      <c r="AP27" s="8">
        <f>IF(G27=VLOOKUP(VALUE(G$1),Questions!$A:$E,5,FALSE),1,0)</f>
        <v>1</v>
      </c>
      <c r="AQ27" s="8">
        <f>IF(H27=VLOOKUP(VALUE(H$1),Questions!$A:$E,5,FALSE),1,0)</f>
        <v>1</v>
      </c>
      <c r="AR27" s="8">
        <f>IF(I27=VLOOKUP(VALUE(I$1),Questions!$A:$E,5,FALSE),1,0)</f>
        <v>1</v>
      </c>
      <c r="AS27" s="8">
        <f>IF(J27=VLOOKUP(VALUE(J$1),Questions!$A:$E,5,FALSE),1,0)</f>
        <v>1</v>
      </c>
      <c r="AT27" s="8">
        <f>IF(K27=VLOOKUP(VALUE(K$1),Questions!$A:$E,5,FALSE),1,0)</f>
        <v>1</v>
      </c>
      <c r="AU27" s="8">
        <f>IF(L27=VLOOKUP(VALUE(L$1),Questions!$A:$E,5,FALSE),1,0)</f>
        <v>1</v>
      </c>
      <c r="AV27" s="8">
        <f>IF(M27=VLOOKUP(VALUE(M$1),Questions!$A:$E,5,FALSE),1,0)</f>
        <v>0</v>
      </c>
      <c r="AW27" s="8">
        <f>IF(N27=VLOOKUP(VALUE(N$1),Questions!$A:$E,5,FALSE),1,0)</f>
        <v>0</v>
      </c>
      <c r="AX27" s="8">
        <f>IF(O27=VLOOKUP(VALUE(O$1),Questions!$A:$E,5,FALSE),1,0)</f>
        <v>1</v>
      </c>
      <c r="AY27" s="8">
        <f>IF(P27=VLOOKUP(VALUE(P$1),Questions!$A:$E,5,FALSE),1,0)</f>
        <v>1</v>
      </c>
      <c r="AZ27" s="8">
        <f>IF(Q27=VLOOKUP(VALUE(Q$1),Questions!$A:$E,5,FALSE),1,0)</f>
        <v>1</v>
      </c>
      <c r="BA27" s="8">
        <f>IF(R27=VLOOKUP(VALUE(R$1),Questions!$A:$E,5,FALSE),1,0)</f>
        <v>1</v>
      </c>
      <c r="BB27" s="8">
        <f>IF(S27=VLOOKUP(VALUE(S$1),Questions!$A:$E,5,FALSE),1,0)</f>
        <v>0</v>
      </c>
      <c r="BC27" s="8">
        <f>IF(T27=VLOOKUP(VALUE(T$1),Questions!$A:$E,5,FALSE),1,0)</f>
        <v>1</v>
      </c>
      <c r="BD27" s="8">
        <f>IF(U27=VLOOKUP(VALUE(U$1),Questions!$A:$E,5,FALSE),1,0)</f>
        <v>1</v>
      </c>
      <c r="BE27" s="8">
        <f>IF(V27=VLOOKUP(VALUE(V$1),Questions!$A:$E,5,FALSE),1,0)</f>
        <v>1</v>
      </c>
      <c r="BF27" s="8">
        <f>IF(W27=VLOOKUP(VALUE(W$1),Questions!$A:$E,5,FALSE),1,0)</f>
        <v>1</v>
      </c>
      <c r="BG27" s="8">
        <f>IF(X27=VLOOKUP(VALUE(X$1),Questions!$A:$E,5,FALSE),1,0)</f>
        <v>1</v>
      </c>
      <c r="BH27" s="8">
        <f>IF(Y27=VLOOKUP(VALUE(Y$1),Questions!$A:$E,5,FALSE),1,0)</f>
        <v>1</v>
      </c>
      <c r="BI27" s="8">
        <f>IF(Z27=VLOOKUP(VALUE(Z$1),Questions!$A:$E,5,FALSE),1,0)</f>
        <v>1</v>
      </c>
      <c r="BJ27" s="8">
        <f>IF(AA27=VLOOKUP(VALUE(AA$1),Questions!$A:$E,5,FALSE),1,0)</f>
        <v>1</v>
      </c>
      <c r="BK27" s="8">
        <f>IF(AB27=VLOOKUP(VALUE(AB$1),Questions!$A:$E,5,FALSE),1,0)</f>
        <v>1</v>
      </c>
      <c r="BL27" s="8">
        <f>IF(AC27=VLOOKUP(VALUE(AC$1),Questions!$A:$E,5,FALSE),1,0)</f>
        <v>1</v>
      </c>
      <c r="BM27" s="8">
        <f>IF(AD27=VLOOKUP(VALUE(AD$1),Questions!$A:$E,5,FALSE),1,0)</f>
        <v>1</v>
      </c>
      <c r="BN27" s="8">
        <f>IF(AE27=VLOOKUP(VALUE(AE$1),Questions!$A:$E,5,FALSE),1,0)</f>
        <v>0</v>
      </c>
      <c r="BO27" s="8">
        <f>IF(AF27=VLOOKUP(VALUE(AF$1),Questions!$A:$E,5,FALSE),1,0)</f>
        <v>1</v>
      </c>
      <c r="BP27" s="8">
        <f>IF(AG27=VLOOKUP(VALUE(AG$1),Questions!$A:$E,5,FALSE),1,0)</f>
        <v>1</v>
      </c>
      <c r="BQ27" s="8">
        <f>IF(AH27=VLOOKUP(VALUE(AH$1),Questions!$A:$E,5,FALSE),1,0)</f>
        <v>1</v>
      </c>
    </row>
    <row r="28" spans="1:69" ht="13" customHeight="1" x14ac:dyDescent="0.15">
      <c r="A28" t="s">
        <v>34</v>
      </c>
      <c r="B28" s="7">
        <v>10</v>
      </c>
      <c r="C28" s="7">
        <v>4</v>
      </c>
      <c r="D28">
        <v>27</v>
      </c>
      <c r="AI28" s="8">
        <v>0</v>
      </c>
      <c r="AJ28" s="8">
        <v>1</v>
      </c>
      <c r="AK28" s="8">
        <v>1</v>
      </c>
      <c r="AL28" s="8">
        <v>1</v>
      </c>
      <c r="AM28" s="8">
        <v>1</v>
      </c>
      <c r="AN28" s="8">
        <v>1</v>
      </c>
      <c r="AO28" s="8">
        <v>1</v>
      </c>
      <c r="AP28" s="8">
        <f>IF(G28=VLOOKUP(VALUE(G$1),Questions!$A:$E,5,FALSE),1,0)</f>
        <v>0</v>
      </c>
      <c r="AQ28" s="8">
        <f>IF(H28=VLOOKUP(VALUE(H$1),Questions!$A:$E,5,FALSE),1,0)</f>
        <v>0</v>
      </c>
      <c r="AR28" s="8">
        <f>IF(I28=VLOOKUP(VALUE(I$1),Questions!$A:$E,5,FALSE),1,0)</f>
        <v>0</v>
      </c>
      <c r="AS28" s="8">
        <f>IF(J28=VLOOKUP(VALUE(J$1),Questions!$A:$E,5,FALSE),1,0)</f>
        <v>0</v>
      </c>
      <c r="AT28" s="8">
        <f>IF(K28=VLOOKUP(VALUE(K$1),Questions!$A:$E,5,FALSE),1,0)</f>
        <v>0</v>
      </c>
      <c r="AU28" s="8">
        <f>IF(L28=VLOOKUP(VALUE(L$1),Questions!$A:$E,5,FALSE),1,0)</f>
        <v>0</v>
      </c>
      <c r="AV28" s="8">
        <f>IF(M28=VLOOKUP(VALUE(M$1),Questions!$A:$E,5,FALSE),1,0)</f>
        <v>0</v>
      </c>
      <c r="AW28" s="8">
        <f>IF(N28=VLOOKUP(VALUE(N$1),Questions!$A:$E,5,FALSE),1,0)</f>
        <v>0</v>
      </c>
      <c r="AX28" s="8">
        <f>IF(O28=VLOOKUP(VALUE(O$1),Questions!$A:$E,5,FALSE),1,0)</f>
        <v>0</v>
      </c>
      <c r="AY28" s="8">
        <f>IF(P28=VLOOKUP(VALUE(P$1),Questions!$A:$E,5,FALSE),1,0)</f>
        <v>0</v>
      </c>
      <c r="AZ28" s="8">
        <f>IF(Q28=VLOOKUP(VALUE(Q$1),Questions!$A:$E,5,FALSE),1,0)</f>
        <v>0</v>
      </c>
      <c r="BA28" s="8">
        <f>IF(R28=VLOOKUP(VALUE(R$1),Questions!$A:$E,5,FALSE),1,0)</f>
        <v>0</v>
      </c>
      <c r="BB28" s="8">
        <f>IF(S28=VLOOKUP(VALUE(S$1),Questions!$A:$E,5,FALSE),1,0)</f>
        <v>0</v>
      </c>
      <c r="BC28" s="8">
        <f>IF(T28=VLOOKUP(VALUE(T$1),Questions!$A:$E,5,FALSE),1,0)</f>
        <v>0</v>
      </c>
      <c r="BD28" s="8">
        <f>IF(U28=VLOOKUP(VALUE(U$1),Questions!$A:$E,5,FALSE),1,0)</f>
        <v>0</v>
      </c>
      <c r="BE28" s="8">
        <f>IF(V28=VLOOKUP(VALUE(V$1),Questions!$A:$E,5,FALSE),1,0)</f>
        <v>0</v>
      </c>
      <c r="BF28" s="8">
        <f>IF(W28=VLOOKUP(VALUE(W$1),Questions!$A:$E,5,FALSE),1,0)</f>
        <v>0</v>
      </c>
      <c r="BG28" s="8">
        <f>IF(X28=VLOOKUP(VALUE(X$1),Questions!$A:$E,5,FALSE),1,0)</f>
        <v>0</v>
      </c>
      <c r="BH28" s="8">
        <f>IF(Y28=VLOOKUP(VALUE(Y$1),Questions!$A:$E,5,FALSE),1,0)</f>
        <v>0</v>
      </c>
      <c r="BI28" s="8">
        <f>IF(Z28=VLOOKUP(VALUE(Z$1),Questions!$A:$E,5,FALSE),1,0)</f>
        <v>0</v>
      </c>
      <c r="BJ28" s="8">
        <f>IF(AA28=VLOOKUP(VALUE(AA$1),Questions!$A:$E,5,FALSE),1,0)</f>
        <v>0</v>
      </c>
      <c r="BK28" s="8">
        <f>IF(AB28=VLOOKUP(VALUE(AB$1),Questions!$A:$E,5,FALSE),1,0)</f>
        <v>0</v>
      </c>
      <c r="BL28" s="8">
        <f>IF(AC28=VLOOKUP(VALUE(AC$1),Questions!$A:$E,5,FALSE),1,0)</f>
        <v>0</v>
      </c>
      <c r="BM28" s="8">
        <f>IF(AD28=VLOOKUP(VALUE(AD$1),Questions!$A:$E,5,FALSE),1,0)</f>
        <v>0</v>
      </c>
      <c r="BN28" s="8">
        <f>IF(AE28=VLOOKUP(VALUE(AE$1),Questions!$A:$E,5,FALSE),1,0)</f>
        <v>0</v>
      </c>
      <c r="BO28" s="8">
        <f>IF(AF28=VLOOKUP(VALUE(AF$1),Questions!$A:$E,5,FALSE),1,0)</f>
        <v>0</v>
      </c>
      <c r="BP28" s="8">
        <f>IF(AG28=VLOOKUP(VALUE(AG$1),Questions!$A:$E,5,FALSE),1,0)</f>
        <v>0</v>
      </c>
      <c r="BQ28" s="8">
        <f>IF(AH28=VLOOKUP(VALUE(AH$1),Questions!$A:$E,5,FALSE),1,0)</f>
        <v>0</v>
      </c>
    </row>
    <row r="29" spans="1:69" ht="13" customHeight="1" x14ac:dyDescent="0.15">
      <c r="A29" t="s">
        <v>34</v>
      </c>
      <c r="B29" s="7">
        <v>10</v>
      </c>
      <c r="C29" s="7">
        <v>4</v>
      </c>
      <c r="D29">
        <v>28</v>
      </c>
      <c r="G29" s="8">
        <v>4</v>
      </c>
      <c r="H29" s="8">
        <v>3</v>
      </c>
      <c r="I29" s="8">
        <v>4</v>
      </c>
      <c r="J29" s="8">
        <v>2</v>
      </c>
      <c r="K29" s="8">
        <v>3</v>
      </c>
      <c r="L29" s="8">
        <v>3</v>
      </c>
      <c r="M29" s="8">
        <v>1</v>
      </c>
      <c r="N29" s="8">
        <v>3</v>
      </c>
      <c r="O29" s="8">
        <v>1</v>
      </c>
      <c r="P29" s="8">
        <v>4</v>
      </c>
      <c r="Q29" s="8">
        <v>1</v>
      </c>
      <c r="R29" s="8">
        <v>4</v>
      </c>
      <c r="S29" s="8">
        <v>3</v>
      </c>
      <c r="T29" s="8">
        <v>2</v>
      </c>
      <c r="U29" s="8">
        <v>3</v>
      </c>
      <c r="V29" s="8">
        <v>3</v>
      </c>
      <c r="W29" s="8">
        <v>4</v>
      </c>
      <c r="X29" s="8">
        <v>3</v>
      </c>
      <c r="Y29" s="8">
        <v>1</v>
      </c>
      <c r="Z29" s="8">
        <v>3</v>
      </c>
      <c r="AA29" s="8">
        <v>4</v>
      </c>
      <c r="AB29" s="8">
        <v>2</v>
      </c>
      <c r="AC29" s="8">
        <v>4</v>
      </c>
      <c r="AD29" s="8">
        <v>3</v>
      </c>
      <c r="AE29" s="8">
        <v>1</v>
      </c>
      <c r="AF29" s="8">
        <v>4</v>
      </c>
      <c r="AG29" s="8">
        <v>2</v>
      </c>
      <c r="AH29" s="8">
        <v>2</v>
      </c>
      <c r="AI29" s="8">
        <v>0</v>
      </c>
      <c r="AJ29" s="8">
        <v>0</v>
      </c>
      <c r="AK29" s="8">
        <v>0</v>
      </c>
      <c r="AL29" s="8">
        <v>0</v>
      </c>
      <c r="AM29" s="8">
        <v>0</v>
      </c>
      <c r="AN29" s="8">
        <v>0</v>
      </c>
      <c r="AO29" s="8">
        <v>0</v>
      </c>
      <c r="AP29" s="8">
        <f>IF(G29=VLOOKUP(VALUE(G$1),Questions!$A:$E,5,FALSE),1,0)</f>
        <v>1</v>
      </c>
      <c r="AQ29" s="8">
        <f>IF(H29=VLOOKUP(VALUE(H$1),Questions!$A:$E,5,FALSE),1,0)</f>
        <v>0</v>
      </c>
      <c r="AR29" s="8">
        <f>IF(I29=VLOOKUP(VALUE(I$1),Questions!$A:$E,5,FALSE),1,0)</f>
        <v>0</v>
      </c>
      <c r="AS29" s="8">
        <f>IF(J29=VLOOKUP(VALUE(J$1),Questions!$A:$E,5,FALSE),1,0)</f>
        <v>1</v>
      </c>
      <c r="AT29" s="8">
        <f>IF(K29=VLOOKUP(VALUE(K$1),Questions!$A:$E,5,FALSE),1,0)</f>
        <v>0</v>
      </c>
      <c r="AU29" s="8">
        <f>IF(L29=VLOOKUP(VALUE(L$1),Questions!$A:$E,5,FALSE),1,0)</f>
        <v>1</v>
      </c>
      <c r="AV29" s="8">
        <f>IF(M29=VLOOKUP(VALUE(M$1),Questions!$A:$E,5,FALSE),1,0)</f>
        <v>0</v>
      </c>
      <c r="AW29" s="8">
        <f>IF(N29=VLOOKUP(VALUE(N$1),Questions!$A:$E,5,FALSE),1,0)</f>
        <v>1</v>
      </c>
      <c r="AX29" s="8">
        <f>IF(O29=VLOOKUP(VALUE(O$1),Questions!$A:$E,5,FALSE),1,0)</f>
        <v>1</v>
      </c>
      <c r="AY29" s="8">
        <f>IF(P29=VLOOKUP(VALUE(P$1),Questions!$A:$E,5,FALSE),1,0)</f>
        <v>0</v>
      </c>
      <c r="AZ29" s="8">
        <f>IF(Q29=VLOOKUP(VALUE(Q$1),Questions!$A:$E,5,FALSE),1,0)</f>
        <v>1</v>
      </c>
      <c r="BA29" s="8">
        <f>IF(R29=VLOOKUP(VALUE(R$1),Questions!$A:$E,5,FALSE),1,0)</f>
        <v>1</v>
      </c>
      <c r="BB29" s="8">
        <f>IF(S29=VLOOKUP(VALUE(S$1),Questions!$A:$E,5,FALSE),1,0)</f>
        <v>0</v>
      </c>
      <c r="BC29" s="8">
        <f>IF(T29=VLOOKUP(VALUE(T$1),Questions!$A:$E,5,FALSE),1,0)</f>
        <v>1</v>
      </c>
      <c r="BD29" s="8">
        <f>IF(U29=VLOOKUP(VALUE(U$1),Questions!$A:$E,5,FALSE),1,0)</f>
        <v>0</v>
      </c>
      <c r="BE29" s="8">
        <f>IF(V29=VLOOKUP(VALUE(V$1),Questions!$A:$E,5,FALSE),1,0)</f>
        <v>1</v>
      </c>
      <c r="BF29" s="8">
        <f>IF(W29=VLOOKUP(VALUE(W$1),Questions!$A:$E,5,FALSE),1,0)</f>
        <v>1</v>
      </c>
      <c r="BG29" s="8">
        <f>IF(X29=VLOOKUP(VALUE(X$1),Questions!$A:$E,5,FALSE),1,0)</f>
        <v>1</v>
      </c>
      <c r="BH29" s="8">
        <f>IF(Y29=VLOOKUP(VALUE(Y$1),Questions!$A:$E,5,FALSE),1,0)</f>
        <v>1</v>
      </c>
      <c r="BI29" s="8">
        <f>IF(Z29=VLOOKUP(VALUE(Z$1),Questions!$A:$E,5,FALSE),1,0)</f>
        <v>1</v>
      </c>
      <c r="BJ29" s="8">
        <f>IF(AA29=VLOOKUP(VALUE(AA$1),Questions!$A:$E,5,FALSE),1,0)</f>
        <v>1</v>
      </c>
      <c r="BK29" s="8">
        <f>IF(AB29=VLOOKUP(VALUE(AB$1),Questions!$A:$E,5,FALSE),1,0)</f>
        <v>1</v>
      </c>
      <c r="BL29" s="8">
        <f>IF(AC29=VLOOKUP(VALUE(AC$1),Questions!$A:$E,5,FALSE),1,0)</f>
        <v>0</v>
      </c>
      <c r="BM29" s="8">
        <f>IF(AD29=VLOOKUP(VALUE(AD$1),Questions!$A:$E,5,FALSE),1,0)</f>
        <v>1</v>
      </c>
      <c r="BN29" s="8">
        <f>IF(AE29=VLOOKUP(VALUE(AE$1),Questions!$A:$E,5,FALSE),1,0)</f>
        <v>0</v>
      </c>
      <c r="BO29" s="8">
        <f>IF(AF29=VLOOKUP(VALUE(AF$1),Questions!$A:$E,5,FALSE),1,0)</f>
        <v>1</v>
      </c>
      <c r="BP29" s="8">
        <f>IF(AG29=VLOOKUP(VALUE(AG$1),Questions!$A:$E,5,FALSE),1,0)</f>
        <v>0</v>
      </c>
      <c r="BQ29" s="8">
        <f>IF(AH29=VLOOKUP(VALUE(AH$1),Questions!$A:$E,5,FALSE),1,0)</f>
        <v>1</v>
      </c>
    </row>
    <row r="30" spans="1:69" ht="13" customHeight="1" x14ac:dyDescent="0.15">
      <c r="A30" t="s">
        <v>34</v>
      </c>
      <c r="B30" s="7">
        <v>10</v>
      </c>
      <c r="C30" s="7">
        <v>4</v>
      </c>
      <c r="D30">
        <v>29</v>
      </c>
      <c r="G30" s="8">
        <v>4</v>
      </c>
      <c r="H30" s="8">
        <v>1</v>
      </c>
      <c r="I30" s="8">
        <v>2</v>
      </c>
      <c r="J30" s="8">
        <v>4</v>
      </c>
      <c r="K30" s="8">
        <v>4</v>
      </c>
      <c r="L30" s="8">
        <v>3</v>
      </c>
      <c r="M30" s="8">
        <v>2</v>
      </c>
      <c r="N30" s="8">
        <v>3</v>
      </c>
      <c r="O30" s="8">
        <v>1</v>
      </c>
      <c r="P30" s="8">
        <v>3</v>
      </c>
      <c r="Q30" s="8">
        <v>4</v>
      </c>
      <c r="R30" s="8">
        <v>2</v>
      </c>
      <c r="S30" s="8">
        <v>3</v>
      </c>
      <c r="T30" s="8">
        <v>1</v>
      </c>
      <c r="U30" s="8">
        <v>2</v>
      </c>
      <c r="V30" s="8">
        <v>2</v>
      </c>
      <c r="W30" s="8">
        <v>1</v>
      </c>
      <c r="X30" s="8">
        <v>3</v>
      </c>
      <c r="Y30" s="8">
        <v>1</v>
      </c>
      <c r="Z30" s="8">
        <v>4</v>
      </c>
      <c r="AA30" s="8">
        <v>1</v>
      </c>
      <c r="AB30" s="8">
        <v>4</v>
      </c>
      <c r="AC30" s="8">
        <v>4</v>
      </c>
      <c r="AD30" s="8">
        <v>3</v>
      </c>
      <c r="AE30" s="8">
        <v>3</v>
      </c>
      <c r="AF30" s="8">
        <v>2</v>
      </c>
      <c r="AG30" s="8">
        <v>1</v>
      </c>
      <c r="AP30" s="8">
        <f>IF(G30=VLOOKUP(VALUE(G$1),Questions!$A:$E,5,FALSE),1,0)</f>
        <v>1</v>
      </c>
      <c r="AQ30" s="8">
        <f>IF(H30=VLOOKUP(VALUE(H$1),Questions!$A:$E,5,FALSE),1,0)</f>
        <v>1</v>
      </c>
      <c r="AR30" s="8">
        <f>IF(I30=VLOOKUP(VALUE(I$1),Questions!$A:$E,5,FALSE),1,0)</f>
        <v>0</v>
      </c>
      <c r="AS30" s="8">
        <f>IF(J30=VLOOKUP(VALUE(J$1),Questions!$A:$E,5,FALSE),1,0)</f>
        <v>0</v>
      </c>
      <c r="AT30" s="8">
        <f>IF(K30=VLOOKUP(VALUE(K$1),Questions!$A:$E,5,FALSE),1,0)</f>
        <v>0</v>
      </c>
      <c r="AU30" s="8">
        <f>IF(L30=VLOOKUP(VALUE(L$1),Questions!$A:$E,5,FALSE),1,0)</f>
        <v>1</v>
      </c>
      <c r="AV30" s="8">
        <f>IF(M30=VLOOKUP(VALUE(M$1),Questions!$A:$E,5,FALSE),1,0)</f>
        <v>1</v>
      </c>
      <c r="AW30" s="8">
        <f>IF(N30=VLOOKUP(VALUE(N$1),Questions!$A:$E,5,FALSE),1,0)</f>
        <v>1</v>
      </c>
      <c r="AX30" s="8">
        <f>IF(O30=VLOOKUP(VALUE(O$1),Questions!$A:$E,5,FALSE),1,0)</f>
        <v>1</v>
      </c>
      <c r="AY30" s="8">
        <f>IF(P30=VLOOKUP(VALUE(P$1),Questions!$A:$E,5,FALSE),1,0)</f>
        <v>1</v>
      </c>
      <c r="AZ30" s="8">
        <f>IF(Q30=VLOOKUP(VALUE(Q$1),Questions!$A:$E,5,FALSE),1,0)</f>
        <v>0</v>
      </c>
      <c r="BA30" s="8">
        <f>IF(R30=VLOOKUP(VALUE(R$1),Questions!$A:$E,5,FALSE),1,0)</f>
        <v>0</v>
      </c>
      <c r="BB30" s="8">
        <f>IF(S30=VLOOKUP(VALUE(S$1),Questions!$A:$E,5,FALSE),1,0)</f>
        <v>0</v>
      </c>
      <c r="BC30" s="8">
        <f>IF(T30=VLOOKUP(VALUE(T$1),Questions!$A:$E,5,FALSE),1,0)</f>
        <v>0</v>
      </c>
      <c r="BD30" s="8">
        <f>IF(U30=VLOOKUP(VALUE(U$1),Questions!$A:$E,5,FALSE),1,0)</f>
        <v>0</v>
      </c>
      <c r="BE30" s="8">
        <f>IF(V30=VLOOKUP(VALUE(V$1),Questions!$A:$E,5,FALSE),1,0)</f>
        <v>0</v>
      </c>
      <c r="BF30" s="8">
        <f>IF(W30=VLOOKUP(VALUE(W$1),Questions!$A:$E,5,FALSE),1,0)</f>
        <v>0</v>
      </c>
      <c r="BG30" s="8">
        <f>IF(X30=VLOOKUP(VALUE(X$1),Questions!$A:$E,5,FALSE),1,0)</f>
        <v>1</v>
      </c>
      <c r="BH30" s="8">
        <f>IF(Y30=VLOOKUP(VALUE(Y$1),Questions!$A:$E,5,FALSE),1,0)</f>
        <v>1</v>
      </c>
      <c r="BI30" s="8">
        <f>IF(Z30=VLOOKUP(VALUE(Z$1),Questions!$A:$E,5,FALSE),1,0)</f>
        <v>0</v>
      </c>
      <c r="BJ30" s="8">
        <f>IF(AA30=VLOOKUP(VALUE(AA$1),Questions!$A:$E,5,FALSE),1,0)</f>
        <v>0</v>
      </c>
      <c r="BK30" s="8">
        <f>IF(AB30=VLOOKUP(VALUE(AB$1),Questions!$A:$E,5,FALSE),1,0)</f>
        <v>0</v>
      </c>
      <c r="BL30" s="8">
        <f>IF(AC30=VLOOKUP(VALUE(AC$1),Questions!$A:$E,5,FALSE),1,0)</f>
        <v>0</v>
      </c>
      <c r="BM30" s="8">
        <f>IF(AD30=VLOOKUP(VALUE(AD$1),Questions!$A:$E,5,FALSE),1,0)</f>
        <v>1</v>
      </c>
      <c r="BN30" s="8">
        <f>IF(AE30=VLOOKUP(VALUE(AE$1),Questions!$A:$E,5,FALSE),1,0)</f>
        <v>0</v>
      </c>
      <c r="BO30" s="8">
        <f>IF(AF30=VLOOKUP(VALUE(AF$1),Questions!$A:$E,5,FALSE),1,0)</f>
        <v>0</v>
      </c>
      <c r="BP30" s="8">
        <f>IF(AG30=VLOOKUP(VALUE(AG$1),Questions!$A:$E,5,FALSE),1,0)</f>
        <v>1</v>
      </c>
      <c r="BQ30" s="8">
        <f>IF(AH30=VLOOKUP(VALUE(AH$1),Questions!$A:$E,5,FALSE),1,0)</f>
        <v>0</v>
      </c>
    </row>
    <row r="31" spans="1:69" ht="13" customHeight="1" x14ac:dyDescent="0.15">
      <c r="A31" t="s">
        <v>34</v>
      </c>
      <c r="B31" s="7">
        <v>10</v>
      </c>
      <c r="C31" s="7">
        <v>4</v>
      </c>
      <c r="D31">
        <v>30</v>
      </c>
      <c r="G31" s="8">
        <v>1</v>
      </c>
      <c r="H31" s="8">
        <v>1</v>
      </c>
      <c r="I31" s="8">
        <v>3</v>
      </c>
      <c r="J31" s="8">
        <v>2</v>
      </c>
      <c r="K31" s="8">
        <v>3</v>
      </c>
      <c r="L31" s="8">
        <v>1</v>
      </c>
      <c r="M31" s="8">
        <v>2</v>
      </c>
      <c r="N31" s="8">
        <v>4</v>
      </c>
      <c r="O31" s="8">
        <v>3</v>
      </c>
      <c r="P31" s="8">
        <v>4</v>
      </c>
      <c r="Q31" s="8">
        <v>1</v>
      </c>
      <c r="R31" s="8">
        <v>1</v>
      </c>
      <c r="S31" s="8">
        <v>3</v>
      </c>
      <c r="T31" s="8">
        <v>4</v>
      </c>
      <c r="U31" s="8">
        <v>1</v>
      </c>
      <c r="V31" s="8">
        <v>2</v>
      </c>
      <c r="W31" s="8">
        <v>1</v>
      </c>
      <c r="X31" s="8">
        <v>3</v>
      </c>
      <c r="Y31" s="8">
        <v>3</v>
      </c>
      <c r="Z31" s="8">
        <v>4</v>
      </c>
      <c r="AA31" s="8">
        <v>4</v>
      </c>
      <c r="AB31" s="8">
        <v>2</v>
      </c>
      <c r="AC31" s="8">
        <v>3</v>
      </c>
      <c r="AD31" s="8">
        <v>3</v>
      </c>
      <c r="AE31" s="8">
        <v>2</v>
      </c>
      <c r="AF31" s="8">
        <v>4</v>
      </c>
      <c r="AG31" s="8">
        <v>1</v>
      </c>
      <c r="AH31" s="8">
        <v>3</v>
      </c>
      <c r="AI31" s="8">
        <v>0</v>
      </c>
      <c r="AJ31" s="8">
        <v>1</v>
      </c>
      <c r="AK31" s="8">
        <v>0</v>
      </c>
      <c r="AL31" s="8">
        <v>0</v>
      </c>
      <c r="AM31" s="8">
        <v>0</v>
      </c>
      <c r="AN31" s="8">
        <v>0</v>
      </c>
      <c r="AO31" s="8">
        <v>0</v>
      </c>
      <c r="AP31" s="8">
        <f>IF(G31=VLOOKUP(VALUE(G$1),Questions!$A:$E,5,FALSE),1,0)</f>
        <v>0</v>
      </c>
      <c r="AQ31" s="8">
        <f>IF(H31=VLOOKUP(VALUE(H$1),Questions!$A:$E,5,FALSE),1,0)</f>
        <v>1</v>
      </c>
      <c r="AR31" s="8">
        <f>IF(I31=VLOOKUP(VALUE(I$1),Questions!$A:$E,5,FALSE),1,0)</f>
        <v>1</v>
      </c>
      <c r="AS31" s="8">
        <f>IF(J31=VLOOKUP(VALUE(J$1),Questions!$A:$E,5,FALSE),1,0)</f>
        <v>1</v>
      </c>
      <c r="AT31" s="8">
        <f>IF(K31=VLOOKUP(VALUE(K$1),Questions!$A:$E,5,FALSE),1,0)</f>
        <v>0</v>
      </c>
      <c r="AU31" s="8">
        <f>IF(L31=VLOOKUP(VALUE(L$1),Questions!$A:$E,5,FALSE),1,0)</f>
        <v>0</v>
      </c>
      <c r="AV31" s="8">
        <f>IF(M31=VLOOKUP(VALUE(M$1),Questions!$A:$E,5,FALSE),1,0)</f>
        <v>1</v>
      </c>
      <c r="AW31" s="8">
        <f>IF(N31=VLOOKUP(VALUE(N$1),Questions!$A:$E,5,FALSE),1,0)</f>
        <v>0</v>
      </c>
      <c r="AX31" s="8">
        <f>IF(O31=VLOOKUP(VALUE(O$1),Questions!$A:$E,5,FALSE),1,0)</f>
        <v>0</v>
      </c>
      <c r="AY31" s="8">
        <f>IF(P31=VLOOKUP(VALUE(P$1),Questions!$A:$E,5,FALSE),1,0)</f>
        <v>0</v>
      </c>
      <c r="AZ31" s="8">
        <f>IF(Q31=VLOOKUP(VALUE(Q$1),Questions!$A:$E,5,FALSE),1,0)</f>
        <v>1</v>
      </c>
      <c r="BA31" s="8">
        <f>IF(R31=VLOOKUP(VALUE(R$1),Questions!$A:$E,5,FALSE),1,0)</f>
        <v>0</v>
      </c>
      <c r="BB31" s="8">
        <f>IF(S31=VLOOKUP(VALUE(S$1),Questions!$A:$E,5,FALSE),1,0)</f>
        <v>0</v>
      </c>
      <c r="BC31" s="8">
        <f>IF(T31=VLOOKUP(VALUE(T$1),Questions!$A:$E,5,FALSE),1,0)</f>
        <v>0</v>
      </c>
      <c r="BD31" s="8">
        <f>IF(U31=VLOOKUP(VALUE(U$1),Questions!$A:$E,5,FALSE),1,0)</f>
        <v>0</v>
      </c>
      <c r="BE31" s="8">
        <f>IF(V31=VLOOKUP(VALUE(V$1),Questions!$A:$E,5,FALSE),1,0)</f>
        <v>0</v>
      </c>
      <c r="BF31" s="8">
        <f>IF(W31=VLOOKUP(VALUE(W$1),Questions!$A:$E,5,FALSE),1,0)</f>
        <v>0</v>
      </c>
      <c r="BG31" s="8">
        <f>IF(X31=VLOOKUP(VALUE(X$1),Questions!$A:$E,5,FALSE),1,0)</f>
        <v>1</v>
      </c>
      <c r="BH31" s="8">
        <f>IF(Y31=VLOOKUP(VALUE(Y$1),Questions!$A:$E,5,FALSE),1,0)</f>
        <v>0</v>
      </c>
      <c r="BI31" s="8">
        <f>IF(Z31=VLOOKUP(VALUE(Z$1),Questions!$A:$E,5,FALSE),1,0)</f>
        <v>0</v>
      </c>
      <c r="BJ31" s="8">
        <f>IF(AA31=VLOOKUP(VALUE(AA$1),Questions!$A:$E,5,FALSE),1,0)</f>
        <v>1</v>
      </c>
      <c r="BK31" s="8">
        <f>IF(AB31=VLOOKUP(VALUE(AB$1),Questions!$A:$E,5,FALSE),1,0)</f>
        <v>1</v>
      </c>
      <c r="BL31" s="8">
        <f>IF(AC31=VLOOKUP(VALUE(AC$1),Questions!$A:$E,5,FALSE),1,0)</f>
        <v>0</v>
      </c>
      <c r="BM31" s="8">
        <f>IF(AD31=VLOOKUP(VALUE(AD$1),Questions!$A:$E,5,FALSE),1,0)</f>
        <v>1</v>
      </c>
      <c r="BN31" s="8">
        <f>IF(AE31=VLOOKUP(VALUE(AE$1),Questions!$A:$E,5,FALSE),1,0)</f>
        <v>1</v>
      </c>
      <c r="BO31" s="8">
        <f>IF(AF31=VLOOKUP(VALUE(AF$1),Questions!$A:$E,5,FALSE),1,0)</f>
        <v>1</v>
      </c>
      <c r="BP31" s="8">
        <f>IF(AG31=VLOOKUP(VALUE(AG$1),Questions!$A:$E,5,FALSE),1,0)</f>
        <v>1</v>
      </c>
      <c r="BQ31" s="8">
        <f>IF(AH31=VLOOKUP(VALUE(AH$1),Questions!$A:$E,5,FALSE),1,0)</f>
        <v>0</v>
      </c>
    </row>
    <row r="32" spans="1:69" ht="13" customHeight="1" x14ac:dyDescent="0.15">
      <c r="A32" t="s">
        <v>34</v>
      </c>
      <c r="B32" s="7">
        <v>10</v>
      </c>
      <c r="C32" s="7">
        <v>4</v>
      </c>
      <c r="D32">
        <v>31</v>
      </c>
      <c r="G32" s="8">
        <v>4</v>
      </c>
      <c r="H32" s="8">
        <v>1</v>
      </c>
      <c r="I32" s="8">
        <v>3</v>
      </c>
      <c r="J32" s="8">
        <v>2</v>
      </c>
      <c r="K32" s="8">
        <v>1</v>
      </c>
      <c r="L32" s="8">
        <v>3</v>
      </c>
      <c r="M32" s="8">
        <v>2</v>
      </c>
      <c r="N32" s="8">
        <v>1</v>
      </c>
      <c r="O32" s="8">
        <v>1</v>
      </c>
      <c r="P32" s="8">
        <v>3</v>
      </c>
      <c r="Q32" s="8">
        <v>1</v>
      </c>
      <c r="R32" s="8">
        <v>4</v>
      </c>
      <c r="S32" s="8">
        <v>3</v>
      </c>
      <c r="T32" s="8">
        <v>4</v>
      </c>
      <c r="U32" s="8">
        <v>4</v>
      </c>
      <c r="V32" s="8">
        <v>3</v>
      </c>
      <c r="W32" s="8">
        <v>4</v>
      </c>
      <c r="X32" s="8">
        <v>3</v>
      </c>
      <c r="Y32" s="8">
        <v>1</v>
      </c>
      <c r="Z32" s="8">
        <v>3</v>
      </c>
      <c r="AA32" s="8">
        <v>4</v>
      </c>
      <c r="AB32" s="8">
        <v>2</v>
      </c>
      <c r="AC32" s="8">
        <v>3</v>
      </c>
      <c r="AD32" s="8">
        <v>3</v>
      </c>
      <c r="AE32" s="8">
        <v>2</v>
      </c>
      <c r="AF32" s="8">
        <v>4</v>
      </c>
      <c r="AG32" s="8">
        <v>1</v>
      </c>
      <c r="AH32" s="8">
        <v>2</v>
      </c>
      <c r="AI32" s="8">
        <v>1</v>
      </c>
      <c r="AJ32" s="8">
        <v>1</v>
      </c>
      <c r="AK32" s="8">
        <v>1</v>
      </c>
      <c r="AL32" s="8">
        <v>1</v>
      </c>
      <c r="AM32" s="8">
        <v>1</v>
      </c>
      <c r="AN32" s="8">
        <v>1</v>
      </c>
      <c r="AO32" s="8">
        <v>1</v>
      </c>
      <c r="AP32" s="8">
        <f>IF(G32=VLOOKUP(VALUE(G$1),Questions!$A:$E,5,FALSE),1,0)</f>
        <v>1</v>
      </c>
      <c r="AQ32" s="8">
        <f>IF(H32=VLOOKUP(VALUE(H$1),Questions!$A:$E,5,FALSE),1,0)</f>
        <v>1</v>
      </c>
      <c r="AR32" s="8">
        <f>IF(I32=VLOOKUP(VALUE(I$1),Questions!$A:$E,5,FALSE),1,0)</f>
        <v>1</v>
      </c>
      <c r="AS32" s="8">
        <f>IF(J32=VLOOKUP(VALUE(J$1),Questions!$A:$E,5,FALSE),1,0)</f>
        <v>1</v>
      </c>
      <c r="AT32" s="8">
        <f>IF(K32=VLOOKUP(VALUE(K$1),Questions!$A:$E,5,FALSE),1,0)</f>
        <v>1</v>
      </c>
      <c r="AU32" s="8">
        <f>IF(L32=VLOOKUP(VALUE(L$1),Questions!$A:$E,5,FALSE),1,0)</f>
        <v>1</v>
      </c>
      <c r="AV32" s="8">
        <f>IF(M32=VLOOKUP(VALUE(M$1),Questions!$A:$E,5,FALSE),1,0)</f>
        <v>1</v>
      </c>
      <c r="AW32" s="8">
        <f>IF(N32=VLOOKUP(VALUE(N$1),Questions!$A:$E,5,FALSE),1,0)</f>
        <v>0</v>
      </c>
      <c r="AX32" s="8">
        <f>IF(O32=VLOOKUP(VALUE(O$1),Questions!$A:$E,5,FALSE),1,0)</f>
        <v>1</v>
      </c>
      <c r="AY32" s="8">
        <f>IF(P32=VLOOKUP(VALUE(P$1),Questions!$A:$E,5,FALSE),1,0)</f>
        <v>1</v>
      </c>
      <c r="AZ32" s="8">
        <f>IF(Q32=VLOOKUP(VALUE(Q$1),Questions!$A:$E,5,FALSE),1,0)</f>
        <v>1</v>
      </c>
      <c r="BA32" s="8">
        <f>IF(R32=VLOOKUP(VALUE(R$1),Questions!$A:$E,5,FALSE),1,0)</f>
        <v>1</v>
      </c>
      <c r="BB32" s="8">
        <f>IF(S32=VLOOKUP(VALUE(S$1),Questions!$A:$E,5,FALSE),1,0)</f>
        <v>0</v>
      </c>
      <c r="BC32" s="8">
        <f>IF(T32=VLOOKUP(VALUE(T$1),Questions!$A:$E,5,FALSE),1,0)</f>
        <v>0</v>
      </c>
      <c r="BD32" s="8">
        <f>IF(U32=VLOOKUP(VALUE(U$1),Questions!$A:$E,5,FALSE),1,0)</f>
        <v>1</v>
      </c>
      <c r="BE32" s="8">
        <f>IF(V32=VLOOKUP(VALUE(V$1),Questions!$A:$E,5,FALSE),1,0)</f>
        <v>1</v>
      </c>
      <c r="BF32" s="8">
        <f>IF(W32=VLOOKUP(VALUE(W$1),Questions!$A:$E,5,FALSE),1,0)</f>
        <v>1</v>
      </c>
      <c r="BG32" s="8">
        <f>IF(X32=VLOOKUP(VALUE(X$1),Questions!$A:$E,5,FALSE),1,0)</f>
        <v>1</v>
      </c>
      <c r="BH32" s="8">
        <f>IF(Y32=VLOOKUP(VALUE(Y$1),Questions!$A:$E,5,FALSE),1,0)</f>
        <v>1</v>
      </c>
      <c r="BI32" s="8">
        <f>IF(Z32=VLOOKUP(VALUE(Z$1),Questions!$A:$E,5,FALSE),1,0)</f>
        <v>1</v>
      </c>
      <c r="BJ32" s="8">
        <f>IF(AA32=VLOOKUP(VALUE(AA$1),Questions!$A:$E,5,FALSE),1,0)</f>
        <v>1</v>
      </c>
      <c r="BK32" s="8">
        <f>IF(AB32=VLOOKUP(VALUE(AB$1),Questions!$A:$E,5,FALSE),1,0)</f>
        <v>1</v>
      </c>
      <c r="BL32" s="8">
        <f>IF(AC32=VLOOKUP(VALUE(AC$1),Questions!$A:$E,5,FALSE),1,0)</f>
        <v>0</v>
      </c>
      <c r="BM32" s="8">
        <f>IF(AD32=VLOOKUP(VALUE(AD$1),Questions!$A:$E,5,FALSE),1,0)</f>
        <v>1</v>
      </c>
      <c r="BN32" s="8">
        <f>IF(AE32=VLOOKUP(VALUE(AE$1),Questions!$A:$E,5,FALSE),1,0)</f>
        <v>1</v>
      </c>
      <c r="BO32" s="8">
        <f>IF(AF32=VLOOKUP(VALUE(AF$1),Questions!$A:$E,5,FALSE),1,0)</f>
        <v>1</v>
      </c>
      <c r="BP32" s="8">
        <f>IF(AG32=VLOOKUP(VALUE(AG$1),Questions!$A:$E,5,FALSE),1,0)</f>
        <v>1</v>
      </c>
      <c r="BQ32" s="8">
        <f>IF(AH32=VLOOKUP(VALUE(AH$1),Questions!$A:$E,5,FALSE),1,0)</f>
        <v>1</v>
      </c>
    </row>
    <row r="33" spans="1:69" ht="13" customHeight="1" x14ac:dyDescent="0.15">
      <c r="A33" t="s">
        <v>35</v>
      </c>
      <c r="B33" s="7">
        <v>10</v>
      </c>
      <c r="C33" s="7">
        <v>1</v>
      </c>
      <c r="D33">
        <v>32</v>
      </c>
      <c r="G33" s="8">
        <v>4</v>
      </c>
      <c r="H33" s="8">
        <v>1</v>
      </c>
      <c r="I33" s="8">
        <v>4</v>
      </c>
      <c r="J33" s="8">
        <v>2</v>
      </c>
      <c r="K33" s="8">
        <v>1</v>
      </c>
      <c r="L33" s="8">
        <v>3</v>
      </c>
      <c r="M33" s="8">
        <v>2</v>
      </c>
      <c r="N33" s="8">
        <v>3</v>
      </c>
      <c r="O33" s="8">
        <v>1</v>
      </c>
      <c r="P33" s="8">
        <v>3</v>
      </c>
      <c r="Q33" s="8">
        <v>1</v>
      </c>
      <c r="R33" s="8">
        <v>4</v>
      </c>
      <c r="S33" s="8">
        <v>3</v>
      </c>
      <c r="T33" s="8">
        <v>3</v>
      </c>
      <c r="U33" s="8">
        <v>4</v>
      </c>
      <c r="V33" s="8">
        <v>3</v>
      </c>
      <c r="W33" s="8">
        <v>3</v>
      </c>
      <c r="X33" s="8">
        <v>4</v>
      </c>
      <c r="Y33" s="8">
        <v>1</v>
      </c>
      <c r="Z33" s="8">
        <v>3</v>
      </c>
      <c r="AA33" s="8">
        <v>4</v>
      </c>
      <c r="AB33" s="8">
        <v>1</v>
      </c>
      <c r="AC33" s="8">
        <v>2</v>
      </c>
      <c r="AD33" s="8">
        <v>3</v>
      </c>
      <c r="AE33" s="8">
        <v>2</v>
      </c>
      <c r="AF33" s="8">
        <v>4</v>
      </c>
      <c r="AP33" s="8">
        <f>IF(G33=VLOOKUP(VALUE(G$1),Questions!$A:$E,5,FALSE),1,0)</f>
        <v>1</v>
      </c>
      <c r="AQ33" s="8">
        <f>IF(H33=VLOOKUP(VALUE(H$1),Questions!$A:$E,5,FALSE),1,0)</f>
        <v>1</v>
      </c>
      <c r="AR33" s="8">
        <f>IF(I33=VLOOKUP(VALUE(I$1),Questions!$A:$E,5,FALSE),1,0)</f>
        <v>0</v>
      </c>
      <c r="AS33" s="8">
        <f>IF(J33=VLOOKUP(VALUE(J$1),Questions!$A:$E,5,FALSE),1,0)</f>
        <v>1</v>
      </c>
      <c r="AT33" s="8">
        <f>IF(K33=VLOOKUP(VALUE(K$1),Questions!$A:$E,5,FALSE),1,0)</f>
        <v>1</v>
      </c>
      <c r="AU33" s="8">
        <f>IF(L33=VLOOKUP(VALUE(L$1),Questions!$A:$E,5,FALSE),1,0)</f>
        <v>1</v>
      </c>
      <c r="AV33" s="8">
        <f>IF(M33=VLOOKUP(VALUE(M$1),Questions!$A:$E,5,FALSE),1,0)</f>
        <v>1</v>
      </c>
      <c r="AW33" s="8">
        <f>IF(N33=VLOOKUP(VALUE(N$1),Questions!$A:$E,5,FALSE),1,0)</f>
        <v>1</v>
      </c>
      <c r="AX33" s="8">
        <f>IF(O33=VLOOKUP(VALUE(O$1),Questions!$A:$E,5,FALSE),1,0)</f>
        <v>1</v>
      </c>
      <c r="AY33" s="8">
        <f>IF(P33=VLOOKUP(VALUE(P$1),Questions!$A:$E,5,FALSE),1,0)</f>
        <v>1</v>
      </c>
      <c r="AZ33" s="8">
        <f>IF(Q33=VLOOKUP(VALUE(Q$1),Questions!$A:$E,5,FALSE),1,0)</f>
        <v>1</v>
      </c>
      <c r="BA33" s="8">
        <f>IF(R33=VLOOKUP(VALUE(R$1),Questions!$A:$E,5,FALSE),1,0)</f>
        <v>1</v>
      </c>
      <c r="BB33" s="8">
        <f>IF(S33=VLOOKUP(VALUE(S$1),Questions!$A:$E,5,FALSE),1,0)</f>
        <v>0</v>
      </c>
      <c r="BC33" s="8">
        <f>IF(T33=VLOOKUP(VALUE(T$1),Questions!$A:$E,5,FALSE),1,0)</f>
        <v>0</v>
      </c>
      <c r="BD33" s="8">
        <f>IF(U33=VLOOKUP(VALUE(U$1),Questions!$A:$E,5,FALSE),1,0)</f>
        <v>1</v>
      </c>
      <c r="BE33" s="8">
        <f>IF(V33=VLOOKUP(VALUE(V$1),Questions!$A:$E,5,FALSE),1,0)</f>
        <v>1</v>
      </c>
      <c r="BF33" s="8">
        <f>IF(W33=VLOOKUP(VALUE(W$1),Questions!$A:$E,5,FALSE),1,0)</f>
        <v>0</v>
      </c>
      <c r="BG33" s="8">
        <f>IF(X33=VLOOKUP(VALUE(X$1),Questions!$A:$E,5,FALSE),1,0)</f>
        <v>0</v>
      </c>
      <c r="BH33" s="8">
        <f>IF(Y33=VLOOKUP(VALUE(Y$1),Questions!$A:$E,5,FALSE),1,0)</f>
        <v>1</v>
      </c>
      <c r="BI33" s="8">
        <f>IF(Z33=VLOOKUP(VALUE(Z$1),Questions!$A:$E,5,FALSE),1,0)</f>
        <v>1</v>
      </c>
      <c r="BJ33" s="8">
        <f>IF(AA33=VLOOKUP(VALUE(AA$1),Questions!$A:$E,5,FALSE),1,0)</f>
        <v>1</v>
      </c>
      <c r="BK33" s="8">
        <f>IF(AB33=VLOOKUP(VALUE(AB$1),Questions!$A:$E,5,FALSE),1,0)</f>
        <v>0</v>
      </c>
      <c r="BL33" s="8">
        <f>IF(AC33=VLOOKUP(VALUE(AC$1),Questions!$A:$E,5,FALSE),1,0)</f>
        <v>1</v>
      </c>
      <c r="BM33" s="8">
        <f>IF(AD33=VLOOKUP(VALUE(AD$1),Questions!$A:$E,5,FALSE),1,0)</f>
        <v>1</v>
      </c>
      <c r="BN33" s="8">
        <f>IF(AE33=VLOOKUP(VALUE(AE$1),Questions!$A:$E,5,FALSE),1,0)</f>
        <v>1</v>
      </c>
      <c r="BO33" s="8">
        <f>IF(AF33=VLOOKUP(VALUE(AF$1),Questions!$A:$E,5,FALSE),1,0)</f>
        <v>1</v>
      </c>
      <c r="BP33" s="8">
        <f>IF(AG33=VLOOKUP(VALUE(AG$1),Questions!$A:$E,5,FALSE),1,0)</f>
        <v>0</v>
      </c>
      <c r="BQ33" s="8">
        <f>IF(AH33=VLOOKUP(VALUE(AH$1),Questions!$A:$E,5,FALSE),1,0)</f>
        <v>0</v>
      </c>
    </row>
    <row r="34" spans="1:69" ht="13" customHeight="1" x14ac:dyDescent="0.15">
      <c r="A34" t="s">
        <v>35</v>
      </c>
      <c r="B34" s="7">
        <v>10</v>
      </c>
      <c r="C34" s="7">
        <v>1</v>
      </c>
      <c r="D34">
        <v>33</v>
      </c>
      <c r="F34" s="8" t="s">
        <v>783</v>
      </c>
      <c r="G34" s="8">
        <v>3</v>
      </c>
      <c r="H34" s="8">
        <v>3</v>
      </c>
      <c r="I34" s="8">
        <v>3</v>
      </c>
      <c r="J34" s="8">
        <v>2</v>
      </c>
      <c r="K34" s="8">
        <v>3</v>
      </c>
      <c r="L34" s="8">
        <v>3</v>
      </c>
      <c r="M34" s="8">
        <v>2</v>
      </c>
      <c r="N34" s="8">
        <v>3</v>
      </c>
      <c r="O34" s="8">
        <v>1</v>
      </c>
      <c r="P34" s="8">
        <v>3</v>
      </c>
      <c r="Q34" s="8">
        <v>1</v>
      </c>
      <c r="R34" s="8">
        <v>4</v>
      </c>
      <c r="S34" s="8">
        <v>2</v>
      </c>
      <c r="T34" s="8">
        <v>2</v>
      </c>
      <c r="U34" s="8">
        <v>3</v>
      </c>
      <c r="V34" s="8">
        <v>4</v>
      </c>
      <c r="W34" s="8">
        <v>4</v>
      </c>
      <c r="X34" s="8">
        <v>1</v>
      </c>
      <c r="Y34" s="8">
        <v>1</v>
      </c>
      <c r="Z34" s="8">
        <v>3</v>
      </c>
      <c r="AA34" s="8">
        <v>4</v>
      </c>
      <c r="AB34" s="8">
        <v>2</v>
      </c>
      <c r="AC34" s="8">
        <v>2</v>
      </c>
      <c r="AD34" s="8">
        <v>3</v>
      </c>
      <c r="AE34" s="8">
        <v>2</v>
      </c>
      <c r="AF34" s="8">
        <v>4</v>
      </c>
      <c r="AG34" s="8">
        <v>1</v>
      </c>
      <c r="AH34" s="8">
        <v>3</v>
      </c>
      <c r="AI34" s="8">
        <v>1</v>
      </c>
      <c r="AJ34" s="8">
        <v>1</v>
      </c>
      <c r="AK34" s="8">
        <v>1</v>
      </c>
      <c r="AL34" s="8">
        <v>1</v>
      </c>
      <c r="AM34" s="8">
        <v>1</v>
      </c>
      <c r="AN34" s="8">
        <v>1</v>
      </c>
      <c r="AO34" s="8">
        <v>1</v>
      </c>
      <c r="AP34" s="8">
        <f>IF(G34=VLOOKUP(VALUE(G$1),Questions!$A:$E,5,FALSE),1,0)</f>
        <v>0</v>
      </c>
      <c r="AQ34" s="8">
        <f>IF(H34=VLOOKUP(VALUE(H$1),Questions!$A:$E,5,FALSE),1,0)</f>
        <v>0</v>
      </c>
      <c r="AR34" s="8">
        <f>IF(I34=VLOOKUP(VALUE(I$1),Questions!$A:$E,5,FALSE),1,0)</f>
        <v>1</v>
      </c>
      <c r="AS34" s="8">
        <f>IF(J34=VLOOKUP(VALUE(J$1),Questions!$A:$E,5,FALSE),1,0)</f>
        <v>1</v>
      </c>
      <c r="AT34" s="8">
        <f>IF(K34=VLOOKUP(VALUE(K$1),Questions!$A:$E,5,FALSE),1,0)</f>
        <v>0</v>
      </c>
      <c r="AU34" s="8">
        <f>IF(L34=VLOOKUP(VALUE(L$1),Questions!$A:$E,5,FALSE),1,0)</f>
        <v>1</v>
      </c>
      <c r="AV34" s="8">
        <f>IF(M34=VLOOKUP(VALUE(M$1),Questions!$A:$E,5,FALSE),1,0)</f>
        <v>1</v>
      </c>
      <c r="AW34" s="8">
        <f>IF(N34=VLOOKUP(VALUE(N$1),Questions!$A:$E,5,FALSE),1,0)</f>
        <v>1</v>
      </c>
      <c r="AX34" s="8">
        <f>IF(O34=VLOOKUP(VALUE(O$1),Questions!$A:$E,5,FALSE),1,0)</f>
        <v>1</v>
      </c>
      <c r="AY34" s="8">
        <f>IF(P34=VLOOKUP(VALUE(P$1),Questions!$A:$E,5,FALSE),1,0)</f>
        <v>1</v>
      </c>
      <c r="AZ34" s="8">
        <f>IF(Q34=VLOOKUP(VALUE(Q$1),Questions!$A:$E,5,FALSE),1,0)</f>
        <v>1</v>
      </c>
      <c r="BA34" s="8">
        <f>IF(R34=VLOOKUP(VALUE(R$1),Questions!$A:$E,5,FALSE),1,0)</f>
        <v>1</v>
      </c>
      <c r="BB34" s="8">
        <f>IF(S34=VLOOKUP(VALUE(S$1),Questions!$A:$E,5,FALSE),1,0)</f>
        <v>1</v>
      </c>
      <c r="BC34" s="8">
        <f>IF(T34=VLOOKUP(VALUE(T$1),Questions!$A:$E,5,FALSE),1,0)</f>
        <v>1</v>
      </c>
      <c r="BD34" s="8">
        <f>IF(U34=VLOOKUP(VALUE(U$1),Questions!$A:$E,5,FALSE),1,0)</f>
        <v>0</v>
      </c>
      <c r="BE34" s="8">
        <f>IF(V34=VLOOKUP(VALUE(V$1),Questions!$A:$E,5,FALSE),1,0)</f>
        <v>0</v>
      </c>
      <c r="BF34" s="8">
        <f>IF(W34=VLOOKUP(VALUE(W$1),Questions!$A:$E,5,FALSE),1,0)</f>
        <v>1</v>
      </c>
      <c r="BG34" s="8">
        <f>IF(X34=VLOOKUP(VALUE(X$1),Questions!$A:$E,5,FALSE),1,0)</f>
        <v>0</v>
      </c>
      <c r="BH34" s="8">
        <f>IF(Y34=VLOOKUP(VALUE(Y$1),Questions!$A:$E,5,FALSE),1,0)</f>
        <v>1</v>
      </c>
      <c r="BI34" s="8">
        <f>IF(Z34=VLOOKUP(VALUE(Z$1),Questions!$A:$E,5,FALSE),1,0)</f>
        <v>1</v>
      </c>
      <c r="BJ34" s="8">
        <f>IF(AA34=VLOOKUP(VALUE(AA$1),Questions!$A:$E,5,FALSE),1,0)</f>
        <v>1</v>
      </c>
      <c r="BK34" s="8">
        <f>IF(AB34=VLOOKUP(VALUE(AB$1),Questions!$A:$E,5,FALSE),1,0)</f>
        <v>1</v>
      </c>
      <c r="BL34" s="8">
        <f>IF(AC34=VLOOKUP(VALUE(AC$1),Questions!$A:$E,5,FALSE),1,0)</f>
        <v>1</v>
      </c>
      <c r="BM34" s="8">
        <f>IF(AD34=VLOOKUP(VALUE(AD$1),Questions!$A:$E,5,FALSE),1,0)</f>
        <v>1</v>
      </c>
      <c r="BN34" s="8">
        <f>IF(AE34=VLOOKUP(VALUE(AE$1),Questions!$A:$E,5,FALSE),1,0)</f>
        <v>1</v>
      </c>
      <c r="BO34" s="8">
        <f>IF(AF34=VLOOKUP(VALUE(AF$1),Questions!$A:$E,5,FALSE),1,0)</f>
        <v>1</v>
      </c>
      <c r="BP34" s="8">
        <f>IF(AG34=VLOOKUP(VALUE(AG$1),Questions!$A:$E,5,FALSE),1,0)</f>
        <v>1</v>
      </c>
      <c r="BQ34" s="8">
        <f>IF(AH34=VLOOKUP(VALUE(AH$1),Questions!$A:$E,5,FALSE),1,0)</f>
        <v>0</v>
      </c>
    </row>
    <row r="35" spans="1:69" ht="13" customHeight="1" x14ac:dyDescent="0.15">
      <c r="A35" t="s">
        <v>35</v>
      </c>
      <c r="B35" s="7">
        <v>10</v>
      </c>
      <c r="C35" s="7">
        <v>1</v>
      </c>
      <c r="D35">
        <v>34</v>
      </c>
      <c r="G35" s="8">
        <v>4</v>
      </c>
      <c r="H35" s="8">
        <v>1</v>
      </c>
      <c r="I35" s="8">
        <v>3</v>
      </c>
      <c r="J35" s="8">
        <v>2</v>
      </c>
      <c r="K35" s="8">
        <v>4</v>
      </c>
      <c r="L35" s="8">
        <v>2</v>
      </c>
      <c r="M35" s="8">
        <v>2</v>
      </c>
      <c r="N35" s="8">
        <v>3</v>
      </c>
      <c r="O35" s="8">
        <v>3</v>
      </c>
      <c r="P35" s="8">
        <v>4</v>
      </c>
      <c r="Q35" s="8">
        <v>1</v>
      </c>
      <c r="R35" s="8">
        <v>4</v>
      </c>
      <c r="S35" s="8">
        <v>4</v>
      </c>
      <c r="T35" s="8">
        <v>2</v>
      </c>
      <c r="U35" s="8">
        <v>4</v>
      </c>
      <c r="V35" s="8">
        <v>3</v>
      </c>
      <c r="W35" s="8">
        <v>4</v>
      </c>
      <c r="X35" s="8">
        <v>3</v>
      </c>
      <c r="Y35" s="8">
        <v>1</v>
      </c>
      <c r="Z35" s="8">
        <v>3</v>
      </c>
      <c r="AA35" s="8">
        <v>4</v>
      </c>
      <c r="AB35" s="8">
        <v>2</v>
      </c>
      <c r="AC35" s="8">
        <v>4</v>
      </c>
      <c r="AD35" s="8">
        <v>3</v>
      </c>
      <c r="AE35" s="8">
        <v>2</v>
      </c>
      <c r="AF35" s="8">
        <v>4</v>
      </c>
      <c r="AG35" s="8">
        <v>1</v>
      </c>
      <c r="AH35" s="8">
        <v>3</v>
      </c>
      <c r="AJ35" s="8">
        <v>1</v>
      </c>
      <c r="AM35" s="8">
        <v>1</v>
      </c>
      <c r="AP35" s="8">
        <f>IF(G35=VLOOKUP(VALUE(G$1),Questions!$A:$E,5,FALSE),1,0)</f>
        <v>1</v>
      </c>
      <c r="AQ35" s="8">
        <f>IF(H35=VLOOKUP(VALUE(H$1),Questions!$A:$E,5,FALSE),1,0)</f>
        <v>1</v>
      </c>
      <c r="AR35" s="8">
        <f>IF(I35=VLOOKUP(VALUE(I$1),Questions!$A:$E,5,FALSE),1,0)</f>
        <v>1</v>
      </c>
      <c r="AS35" s="8">
        <f>IF(J35=VLOOKUP(VALUE(J$1),Questions!$A:$E,5,FALSE),1,0)</f>
        <v>1</v>
      </c>
      <c r="AT35" s="8">
        <f>IF(K35=VLOOKUP(VALUE(K$1),Questions!$A:$E,5,FALSE),1,0)</f>
        <v>0</v>
      </c>
      <c r="AU35" s="8">
        <f>IF(L35=VLOOKUP(VALUE(L$1),Questions!$A:$E,5,FALSE),1,0)</f>
        <v>0</v>
      </c>
      <c r="AV35" s="8">
        <f>IF(M35=VLOOKUP(VALUE(M$1),Questions!$A:$E,5,FALSE),1,0)</f>
        <v>1</v>
      </c>
      <c r="AW35" s="8">
        <f>IF(N35=VLOOKUP(VALUE(N$1),Questions!$A:$E,5,FALSE),1,0)</f>
        <v>1</v>
      </c>
      <c r="AX35" s="8">
        <f>IF(O35=VLOOKUP(VALUE(O$1),Questions!$A:$E,5,FALSE),1,0)</f>
        <v>0</v>
      </c>
      <c r="AY35" s="8">
        <f>IF(P35=VLOOKUP(VALUE(P$1),Questions!$A:$E,5,FALSE),1,0)</f>
        <v>0</v>
      </c>
      <c r="AZ35" s="8">
        <f>IF(Q35=VLOOKUP(VALUE(Q$1),Questions!$A:$E,5,FALSE),1,0)</f>
        <v>1</v>
      </c>
      <c r="BA35" s="8">
        <f>IF(R35=VLOOKUP(VALUE(R$1),Questions!$A:$E,5,FALSE),1,0)</f>
        <v>1</v>
      </c>
      <c r="BB35" s="8">
        <f>IF(S35=VLOOKUP(VALUE(S$1),Questions!$A:$E,5,FALSE),1,0)</f>
        <v>0</v>
      </c>
      <c r="BC35" s="8">
        <f>IF(T35=VLOOKUP(VALUE(T$1),Questions!$A:$E,5,FALSE),1,0)</f>
        <v>1</v>
      </c>
      <c r="BD35" s="8">
        <f>IF(U35=VLOOKUP(VALUE(U$1),Questions!$A:$E,5,FALSE),1,0)</f>
        <v>1</v>
      </c>
      <c r="BE35" s="8">
        <f>IF(V35=VLOOKUP(VALUE(V$1),Questions!$A:$E,5,FALSE),1,0)</f>
        <v>1</v>
      </c>
      <c r="BF35" s="8">
        <f>IF(W35=VLOOKUP(VALUE(W$1),Questions!$A:$E,5,FALSE),1,0)</f>
        <v>1</v>
      </c>
      <c r="BG35" s="8">
        <f>IF(X35=VLOOKUP(VALUE(X$1),Questions!$A:$E,5,FALSE),1,0)</f>
        <v>1</v>
      </c>
      <c r="BH35" s="8">
        <f>IF(Y35=VLOOKUP(VALUE(Y$1),Questions!$A:$E,5,FALSE),1,0)</f>
        <v>1</v>
      </c>
      <c r="BI35" s="8">
        <f>IF(Z35=VLOOKUP(VALUE(Z$1),Questions!$A:$E,5,FALSE),1,0)</f>
        <v>1</v>
      </c>
      <c r="BJ35" s="8">
        <f>IF(AA35=VLOOKUP(VALUE(AA$1),Questions!$A:$E,5,FALSE),1,0)</f>
        <v>1</v>
      </c>
      <c r="BK35" s="8">
        <f>IF(AB35=VLOOKUP(VALUE(AB$1),Questions!$A:$E,5,FALSE),1,0)</f>
        <v>1</v>
      </c>
      <c r="BL35" s="8">
        <f>IF(AC35=VLOOKUP(VALUE(AC$1),Questions!$A:$E,5,FALSE),1,0)</f>
        <v>0</v>
      </c>
      <c r="BM35" s="8">
        <f>IF(AD35=VLOOKUP(VALUE(AD$1),Questions!$A:$E,5,FALSE),1,0)</f>
        <v>1</v>
      </c>
      <c r="BN35" s="8">
        <f>IF(AE35=VLOOKUP(VALUE(AE$1),Questions!$A:$E,5,FALSE),1,0)</f>
        <v>1</v>
      </c>
      <c r="BO35" s="8">
        <f>IF(AF35=VLOOKUP(VALUE(AF$1),Questions!$A:$E,5,FALSE),1,0)</f>
        <v>1</v>
      </c>
      <c r="BP35" s="8">
        <f>IF(AG35=VLOOKUP(VALUE(AG$1),Questions!$A:$E,5,FALSE),1,0)</f>
        <v>1</v>
      </c>
      <c r="BQ35" s="8">
        <f>IF(AH35=VLOOKUP(VALUE(AH$1),Questions!$A:$E,5,FALSE),1,0)</f>
        <v>0</v>
      </c>
    </row>
    <row r="36" spans="1:69" ht="13" customHeight="1" x14ac:dyDescent="0.15">
      <c r="A36" t="s">
        <v>35</v>
      </c>
      <c r="B36" s="7">
        <v>10</v>
      </c>
      <c r="C36" s="7">
        <v>1</v>
      </c>
      <c r="D36">
        <v>35</v>
      </c>
      <c r="F36" s="8" t="s">
        <v>783</v>
      </c>
      <c r="G36" s="8">
        <v>4</v>
      </c>
      <c r="H36" s="8">
        <v>1</v>
      </c>
      <c r="J36" s="8">
        <v>2</v>
      </c>
      <c r="K36" s="8">
        <v>4</v>
      </c>
      <c r="L36" s="8">
        <v>1</v>
      </c>
      <c r="M36" s="8">
        <v>2</v>
      </c>
      <c r="N36" s="8">
        <v>4</v>
      </c>
      <c r="O36" s="8">
        <v>1</v>
      </c>
      <c r="P36" s="8">
        <v>3</v>
      </c>
      <c r="Q36" s="8">
        <v>1</v>
      </c>
      <c r="R36" s="8">
        <v>4</v>
      </c>
      <c r="S36" s="8">
        <v>3</v>
      </c>
      <c r="T36" s="8">
        <v>3</v>
      </c>
      <c r="U36" s="8">
        <v>1</v>
      </c>
      <c r="V36" s="8">
        <v>3</v>
      </c>
      <c r="W36" s="8">
        <v>4</v>
      </c>
      <c r="X36" s="8">
        <v>4</v>
      </c>
      <c r="Y36" s="8">
        <v>1</v>
      </c>
      <c r="Z36" s="8">
        <v>3</v>
      </c>
      <c r="AA36" s="8">
        <v>3</v>
      </c>
      <c r="AB36" s="8">
        <v>2</v>
      </c>
      <c r="AC36" s="8">
        <v>4</v>
      </c>
      <c r="AD36" s="8">
        <v>3</v>
      </c>
      <c r="AE36" s="8">
        <v>1</v>
      </c>
      <c r="AF36" s="8">
        <v>4</v>
      </c>
      <c r="AG36" s="8">
        <v>3</v>
      </c>
      <c r="AH36" s="8">
        <v>3</v>
      </c>
      <c r="AI36" s="8">
        <v>1</v>
      </c>
      <c r="AJ36" s="8">
        <v>1</v>
      </c>
      <c r="AK36" s="8">
        <v>1</v>
      </c>
      <c r="AL36" s="8">
        <v>0</v>
      </c>
      <c r="AM36" s="8">
        <v>1</v>
      </c>
      <c r="AN36" s="8">
        <v>0</v>
      </c>
      <c r="AO36" s="8">
        <v>1</v>
      </c>
      <c r="AP36" s="8">
        <f>IF(G36=VLOOKUP(VALUE(G$1),Questions!$A:$E,5,FALSE),1,0)</f>
        <v>1</v>
      </c>
      <c r="AQ36" s="8">
        <f>IF(H36=VLOOKUP(VALUE(H$1),Questions!$A:$E,5,FALSE),1,0)</f>
        <v>1</v>
      </c>
      <c r="AR36" s="8">
        <f>IF(I36=VLOOKUP(VALUE(I$1),Questions!$A:$E,5,FALSE),1,0)</f>
        <v>0</v>
      </c>
      <c r="AS36" s="8">
        <f>IF(J36=VLOOKUP(VALUE(J$1),Questions!$A:$E,5,FALSE),1,0)</f>
        <v>1</v>
      </c>
      <c r="AT36" s="8">
        <f>IF(K36=VLOOKUP(VALUE(K$1),Questions!$A:$E,5,FALSE),1,0)</f>
        <v>0</v>
      </c>
      <c r="AU36" s="8">
        <f>IF(L36=VLOOKUP(VALUE(L$1),Questions!$A:$E,5,FALSE),1,0)</f>
        <v>0</v>
      </c>
      <c r="AV36" s="8">
        <f>IF(M36=VLOOKUP(VALUE(M$1),Questions!$A:$E,5,FALSE),1,0)</f>
        <v>1</v>
      </c>
      <c r="AW36" s="8">
        <f>IF(N36=VLOOKUP(VALUE(N$1),Questions!$A:$E,5,FALSE),1,0)</f>
        <v>0</v>
      </c>
      <c r="AX36" s="8">
        <f>IF(O36=VLOOKUP(VALUE(O$1),Questions!$A:$E,5,FALSE),1,0)</f>
        <v>1</v>
      </c>
      <c r="AY36" s="8">
        <f>IF(P36=VLOOKUP(VALUE(P$1),Questions!$A:$E,5,FALSE),1,0)</f>
        <v>1</v>
      </c>
      <c r="AZ36" s="8">
        <f>IF(Q36=VLOOKUP(VALUE(Q$1),Questions!$A:$E,5,FALSE),1,0)</f>
        <v>1</v>
      </c>
      <c r="BA36" s="8">
        <f>IF(R36=VLOOKUP(VALUE(R$1),Questions!$A:$E,5,FALSE),1,0)</f>
        <v>1</v>
      </c>
      <c r="BB36" s="8">
        <f>IF(S36=VLOOKUP(VALUE(S$1),Questions!$A:$E,5,FALSE),1,0)</f>
        <v>0</v>
      </c>
      <c r="BC36" s="8">
        <f>IF(T36=VLOOKUP(VALUE(T$1),Questions!$A:$E,5,FALSE),1,0)</f>
        <v>0</v>
      </c>
      <c r="BD36" s="8">
        <f>IF(U36=VLOOKUP(VALUE(U$1),Questions!$A:$E,5,FALSE),1,0)</f>
        <v>0</v>
      </c>
      <c r="BE36" s="8">
        <f>IF(V36=VLOOKUP(VALUE(V$1),Questions!$A:$E,5,FALSE),1,0)</f>
        <v>1</v>
      </c>
      <c r="BF36" s="8">
        <f>IF(W36=VLOOKUP(VALUE(W$1),Questions!$A:$E,5,FALSE),1,0)</f>
        <v>1</v>
      </c>
      <c r="BG36" s="8">
        <f>IF(X36=VLOOKUP(VALUE(X$1),Questions!$A:$E,5,FALSE),1,0)</f>
        <v>0</v>
      </c>
      <c r="BH36" s="8">
        <f>IF(Y36=VLOOKUP(VALUE(Y$1),Questions!$A:$E,5,FALSE),1,0)</f>
        <v>1</v>
      </c>
      <c r="BI36" s="8">
        <f>IF(Z36=VLOOKUP(VALUE(Z$1),Questions!$A:$E,5,FALSE),1,0)</f>
        <v>1</v>
      </c>
      <c r="BJ36" s="8">
        <f>IF(AA36=VLOOKUP(VALUE(AA$1),Questions!$A:$E,5,FALSE),1,0)</f>
        <v>0</v>
      </c>
      <c r="BK36" s="8">
        <f>IF(AB36=VLOOKUP(VALUE(AB$1),Questions!$A:$E,5,FALSE),1,0)</f>
        <v>1</v>
      </c>
      <c r="BL36" s="8">
        <f>IF(AC36=VLOOKUP(VALUE(AC$1),Questions!$A:$E,5,FALSE),1,0)</f>
        <v>0</v>
      </c>
      <c r="BM36" s="8">
        <f>IF(AD36=VLOOKUP(VALUE(AD$1),Questions!$A:$E,5,FALSE),1,0)</f>
        <v>1</v>
      </c>
      <c r="BN36" s="8">
        <f>IF(AE36=VLOOKUP(VALUE(AE$1),Questions!$A:$E,5,FALSE),1,0)</f>
        <v>0</v>
      </c>
      <c r="BO36" s="8">
        <f>IF(AF36=VLOOKUP(VALUE(AF$1),Questions!$A:$E,5,FALSE),1,0)</f>
        <v>1</v>
      </c>
      <c r="BP36" s="8">
        <f>IF(AG36=VLOOKUP(VALUE(AG$1),Questions!$A:$E,5,FALSE),1,0)</f>
        <v>0</v>
      </c>
      <c r="BQ36" s="8">
        <f>IF(AH36=VLOOKUP(VALUE(AH$1),Questions!$A:$E,5,FALSE),1,0)</f>
        <v>0</v>
      </c>
    </row>
    <row r="37" spans="1:69" ht="13" customHeight="1" x14ac:dyDescent="0.15">
      <c r="A37" t="s">
        <v>35</v>
      </c>
      <c r="B37" s="7">
        <v>10</v>
      </c>
      <c r="C37" s="7">
        <v>1</v>
      </c>
      <c r="D37">
        <v>36</v>
      </c>
      <c r="G37" s="8">
        <v>4</v>
      </c>
      <c r="H37" s="8">
        <v>4</v>
      </c>
      <c r="I37" s="8">
        <v>1</v>
      </c>
      <c r="J37" s="8">
        <v>1</v>
      </c>
      <c r="K37" s="8">
        <v>2</v>
      </c>
      <c r="M37" s="8">
        <v>2</v>
      </c>
      <c r="N37" s="8">
        <v>3</v>
      </c>
      <c r="O37" s="8">
        <v>3</v>
      </c>
      <c r="P37" s="8">
        <v>4</v>
      </c>
      <c r="Q37" s="8">
        <v>1</v>
      </c>
      <c r="R37" s="8">
        <v>2</v>
      </c>
      <c r="S37" s="8">
        <v>1</v>
      </c>
      <c r="T37" s="8">
        <v>2</v>
      </c>
      <c r="V37" s="8">
        <v>4</v>
      </c>
      <c r="AJ37" s="8">
        <v>0</v>
      </c>
      <c r="AP37" s="8">
        <f>IF(G37=VLOOKUP(VALUE(G$1),Questions!$A:$E,5,FALSE),1,0)</f>
        <v>1</v>
      </c>
      <c r="AQ37" s="8">
        <f>IF(H37=VLOOKUP(VALUE(H$1),Questions!$A:$E,5,FALSE),1,0)</f>
        <v>0</v>
      </c>
      <c r="AR37" s="8">
        <f>IF(I37=VLOOKUP(VALUE(I$1),Questions!$A:$E,5,FALSE),1,0)</f>
        <v>0</v>
      </c>
      <c r="AS37" s="8">
        <f>IF(J37=VLOOKUP(VALUE(J$1),Questions!$A:$E,5,FALSE),1,0)</f>
        <v>0</v>
      </c>
      <c r="AT37" s="8">
        <f>IF(K37=VLOOKUP(VALUE(K$1),Questions!$A:$E,5,FALSE),1,0)</f>
        <v>0</v>
      </c>
      <c r="AU37" s="8">
        <f>IF(L37=VLOOKUP(VALUE(L$1),Questions!$A:$E,5,FALSE),1,0)</f>
        <v>0</v>
      </c>
      <c r="AV37" s="8">
        <f>IF(M37=VLOOKUP(VALUE(M$1),Questions!$A:$E,5,FALSE),1,0)</f>
        <v>1</v>
      </c>
      <c r="AW37" s="8">
        <f>IF(N37=VLOOKUP(VALUE(N$1),Questions!$A:$E,5,FALSE),1,0)</f>
        <v>1</v>
      </c>
      <c r="AX37" s="8">
        <f>IF(O37=VLOOKUP(VALUE(O$1),Questions!$A:$E,5,FALSE),1,0)</f>
        <v>0</v>
      </c>
      <c r="AY37" s="8">
        <f>IF(P37=VLOOKUP(VALUE(P$1),Questions!$A:$E,5,FALSE),1,0)</f>
        <v>0</v>
      </c>
      <c r="AZ37" s="8">
        <f>IF(Q37=VLOOKUP(VALUE(Q$1),Questions!$A:$E,5,FALSE),1,0)</f>
        <v>1</v>
      </c>
      <c r="BA37" s="8">
        <f>IF(R37=VLOOKUP(VALUE(R$1),Questions!$A:$E,5,FALSE),1,0)</f>
        <v>0</v>
      </c>
      <c r="BB37" s="8">
        <f>IF(S37=VLOOKUP(VALUE(S$1),Questions!$A:$E,5,FALSE),1,0)</f>
        <v>0</v>
      </c>
      <c r="BC37" s="8">
        <f>IF(T37=VLOOKUP(VALUE(T$1),Questions!$A:$E,5,FALSE),1,0)</f>
        <v>1</v>
      </c>
      <c r="BD37" s="8">
        <f>IF(U37=VLOOKUP(VALUE(U$1),Questions!$A:$E,5,FALSE),1,0)</f>
        <v>0</v>
      </c>
      <c r="BE37" s="8">
        <f>IF(V37=VLOOKUP(VALUE(V$1),Questions!$A:$E,5,FALSE),1,0)</f>
        <v>0</v>
      </c>
      <c r="BF37" s="8">
        <f>IF(W37=VLOOKUP(VALUE(W$1),Questions!$A:$E,5,FALSE),1,0)</f>
        <v>0</v>
      </c>
      <c r="BG37" s="8">
        <f>IF(X37=VLOOKUP(VALUE(X$1),Questions!$A:$E,5,FALSE),1,0)</f>
        <v>0</v>
      </c>
      <c r="BH37" s="8">
        <f>IF(Y37=VLOOKUP(VALUE(Y$1),Questions!$A:$E,5,FALSE),1,0)</f>
        <v>0</v>
      </c>
      <c r="BI37" s="8">
        <f>IF(Z37=VLOOKUP(VALUE(Z$1),Questions!$A:$E,5,FALSE),1,0)</f>
        <v>0</v>
      </c>
      <c r="BJ37" s="8">
        <f>IF(AA37=VLOOKUP(VALUE(AA$1),Questions!$A:$E,5,FALSE),1,0)</f>
        <v>0</v>
      </c>
      <c r="BK37" s="8">
        <f>IF(AB37=VLOOKUP(VALUE(AB$1),Questions!$A:$E,5,FALSE),1,0)</f>
        <v>0</v>
      </c>
      <c r="BL37" s="8">
        <f>IF(AC37=VLOOKUP(VALUE(AC$1),Questions!$A:$E,5,FALSE),1,0)</f>
        <v>0</v>
      </c>
      <c r="BM37" s="8">
        <f>IF(AD37=VLOOKUP(VALUE(AD$1),Questions!$A:$E,5,FALSE),1,0)</f>
        <v>0</v>
      </c>
      <c r="BN37" s="8">
        <f>IF(AE37=VLOOKUP(VALUE(AE$1),Questions!$A:$E,5,FALSE),1,0)</f>
        <v>0</v>
      </c>
      <c r="BO37" s="8">
        <f>IF(AF37=VLOOKUP(VALUE(AF$1),Questions!$A:$E,5,FALSE),1,0)</f>
        <v>0</v>
      </c>
      <c r="BP37" s="8">
        <f>IF(AG37=VLOOKUP(VALUE(AG$1),Questions!$A:$E,5,FALSE),1,0)</f>
        <v>0</v>
      </c>
      <c r="BQ37" s="8">
        <f>IF(AH37=VLOOKUP(VALUE(AH$1),Questions!$A:$E,5,FALSE),1,0)</f>
        <v>0</v>
      </c>
    </row>
    <row r="38" spans="1:69" ht="13" customHeight="1" x14ac:dyDescent="0.15">
      <c r="A38" t="s">
        <v>35</v>
      </c>
      <c r="B38" s="7">
        <v>10</v>
      </c>
      <c r="C38" s="7">
        <v>1</v>
      </c>
      <c r="D38">
        <v>37</v>
      </c>
      <c r="G38" s="8">
        <v>4</v>
      </c>
      <c r="H38" s="8">
        <v>3</v>
      </c>
      <c r="I38" s="8">
        <v>3</v>
      </c>
      <c r="J38" s="8">
        <v>2</v>
      </c>
      <c r="K38" s="8">
        <v>1</v>
      </c>
      <c r="L38" s="8">
        <v>2</v>
      </c>
      <c r="M38" s="8">
        <v>4</v>
      </c>
      <c r="N38" s="8">
        <v>3</v>
      </c>
      <c r="O38" s="8">
        <v>1</v>
      </c>
      <c r="P38" s="8">
        <v>4</v>
      </c>
      <c r="Q38" s="8">
        <v>1</v>
      </c>
      <c r="R38" s="8">
        <v>4</v>
      </c>
      <c r="S38" s="8">
        <v>3</v>
      </c>
      <c r="T38" s="8">
        <v>2</v>
      </c>
      <c r="U38" s="8">
        <v>4</v>
      </c>
      <c r="V38" s="8">
        <v>3</v>
      </c>
      <c r="W38" s="8">
        <v>4</v>
      </c>
      <c r="X38" s="8">
        <v>3</v>
      </c>
      <c r="Y38" s="8">
        <v>1</v>
      </c>
      <c r="Z38" s="8">
        <v>3</v>
      </c>
      <c r="AA38" s="8">
        <v>2</v>
      </c>
      <c r="AB38" s="8">
        <v>1</v>
      </c>
      <c r="AC38" s="8">
        <v>2</v>
      </c>
      <c r="AD38" s="8">
        <v>1</v>
      </c>
      <c r="AE38" s="8">
        <v>2</v>
      </c>
      <c r="AF38" s="8">
        <v>4</v>
      </c>
      <c r="AG38" s="8">
        <v>2</v>
      </c>
      <c r="AH38" s="8">
        <v>3</v>
      </c>
      <c r="AI38" s="8">
        <v>1</v>
      </c>
      <c r="AJ38" s="8">
        <v>1</v>
      </c>
      <c r="AK38" s="8">
        <v>1</v>
      </c>
      <c r="AL38" s="8">
        <v>1</v>
      </c>
      <c r="AM38" s="8">
        <v>1</v>
      </c>
      <c r="AN38" s="8">
        <v>1</v>
      </c>
      <c r="AO38" s="8">
        <v>1</v>
      </c>
      <c r="AP38" s="8">
        <f>IF(G38=VLOOKUP(VALUE(G$1),Questions!$A:$E,5,FALSE),1,0)</f>
        <v>1</v>
      </c>
      <c r="AQ38" s="8">
        <f>IF(H38=VLOOKUP(VALUE(H$1),Questions!$A:$E,5,FALSE),1,0)</f>
        <v>0</v>
      </c>
      <c r="AR38" s="8">
        <f>IF(I38=VLOOKUP(VALUE(I$1),Questions!$A:$E,5,FALSE),1,0)</f>
        <v>1</v>
      </c>
      <c r="AS38" s="8">
        <f>IF(J38=VLOOKUP(VALUE(J$1),Questions!$A:$E,5,FALSE),1,0)</f>
        <v>1</v>
      </c>
      <c r="AT38" s="8">
        <f>IF(K38=VLOOKUP(VALUE(K$1),Questions!$A:$E,5,FALSE),1,0)</f>
        <v>1</v>
      </c>
      <c r="AU38" s="8">
        <f>IF(L38=VLOOKUP(VALUE(L$1),Questions!$A:$E,5,FALSE),1,0)</f>
        <v>0</v>
      </c>
      <c r="AV38" s="8">
        <f>IF(M38=VLOOKUP(VALUE(M$1),Questions!$A:$E,5,FALSE),1,0)</f>
        <v>0</v>
      </c>
      <c r="AW38" s="8">
        <f>IF(N38=VLOOKUP(VALUE(N$1),Questions!$A:$E,5,FALSE),1,0)</f>
        <v>1</v>
      </c>
      <c r="AX38" s="8">
        <f>IF(O38=VLOOKUP(VALUE(O$1),Questions!$A:$E,5,FALSE),1,0)</f>
        <v>1</v>
      </c>
      <c r="AY38" s="8">
        <f>IF(P38=VLOOKUP(VALUE(P$1),Questions!$A:$E,5,FALSE),1,0)</f>
        <v>0</v>
      </c>
      <c r="AZ38" s="8">
        <f>IF(Q38=VLOOKUP(VALUE(Q$1),Questions!$A:$E,5,FALSE),1,0)</f>
        <v>1</v>
      </c>
      <c r="BA38" s="8">
        <f>IF(R38=VLOOKUP(VALUE(R$1),Questions!$A:$E,5,FALSE),1,0)</f>
        <v>1</v>
      </c>
      <c r="BB38" s="8">
        <f>IF(S38=VLOOKUP(VALUE(S$1),Questions!$A:$E,5,FALSE),1,0)</f>
        <v>0</v>
      </c>
      <c r="BC38" s="8">
        <f>IF(T38=VLOOKUP(VALUE(T$1),Questions!$A:$E,5,FALSE),1,0)</f>
        <v>1</v>
      </c>
      <c r="BD38" s="8">
        <f>IF(U38=VLOOKUP(VALUE(U$1),Questions!$A:$E,5,FALSE),1,0)</f>
        <v>1</v>
      </c>
      <c r="BE38" s="8">
        <f>IF(V38=VLOOKUP(VALUE(V$1),Questions!$A:$E,5,FALSE),1,0)</f>
        <v>1</v>
      </c>
      <c r="BF38" s="8">
        <f>IF(W38=VLOOKUP(VALUE(W$1),Questions!$A:$E,5,FALSE),1,0)</f>
        <v>1</v>
      </c>
      <c r="BG38" s="8">
        <f>IF(X38=VLOOKUP(VALUE(X$1),Questions!$A:$E,5,FALSE),1,0)</f>
        <v>1</v>
      </c>
      <c r="BH38" s="8">
        <f>IF(Y38=VLOOKUP(VALUE(Y$1),Questions!$A:$E,5,FALSE),1,0)</f>
        <v>1</v>
      </c>
      <c r="BI38" s="8">
        <f>IF(Z38=VLOOKUP(VALUE(Z$1),Questions!$A:$E,5,FALSE),1,0)</f>
        <v>1</v>
      </c>
      <c r="BJ38" s="8">
        <f>IF(AA38=VLOOKUP(VALUE(AA$1),Questions!$A:$E,5,FALSE),1,0)</f>
        <v>0</v>
      </c>
      <c r="BK38" s="8">
        <f>IF(AB38=VLOOKUP(VALUE(AB$1),Questions!$A:$E,5,FALSE),1,0)</f>
        <v>0</v>
      </c>
      <c r="BL38" s="8">
        <f>IF(AC38=VLOOKUP(VALUE(AC$1),Questions!$A:$E,5,FALSE),1,0)</f>
        <v>1</v>
      </c>
      <c r="BM38" s="8">
        <f>IF(AD38=VLOOKUP(VALUE(AD$1),Questions!$A:$E,5,FALSE),1,0)</f>
        <v>0</v>
      </c>
      <c r="BN38" s="8">
        <f>IF(AE38=VLOOKUP(VALUE(AE$1),Questions!$A:$E,5,FALSE),1,0)</f>
        <v>1</v>
      </c>
      <c r="BO38" s="8">
        <f>IF(AF38=VLOOKUP(VALUE(AF$1),Questions!$A:$E,5,FALSE),1,0)</f>
        <v>1</v>
      </c>
      <c r="BP38" s="8">
        <f>IF(AG38=VLOOKUP(VALUE(AG$1),Questions!$A:$E,5,FALSE),1,0)</f>
        <v>0</v>
      </c>
      <c r="BQ38" s="8">
        <f>IF(AH38=VLOOKUP(VALUE(AH$1),Questions!$A:$E,5,FALSE),1,0)</f>
        <v>0</v>
      </c>
    </row>
    <row r="39" spans="1:69" ht="13" customHeight="1" x14ac:dyDescent="0.15">
      <c r="A39" t="s">
        <v>35</v>
      </c>
      <c r="B39" s="7">
        <v>10</v>
      </c>
      <c r="C39" s="7">
        <v>1</v>
      </c>
      <c r="D39">
        <v>38</v>
      </c>
      <c r="G39" s="8">
        <v>4</v>
      </c>
      <c r="H39" s="8">
        <v>1</v>
      </c>
      <c r="I39" s="8">
        <v>3</v>
      </c>
      <c r="J39" s="8">
        <v>1</v>
      </c>
      <c r="K39" s="8">
        <v>2</v>
      </c>
      <c r="L39" s="8">
        <v>1</v>
      </c>
      <c r="M39" s="8">
        <v>2</v>
      </c>
      <c r="N39" s="8">
        <v>3</v>
      </c>
      <c r="O39" s="8">
        <v>1</v>
      </c>
      <c r="P39" s="8">
        <v>4</v>
      </c>
      <c r="Q39" s="8">
        <v>1</v>
      </c>
      <c r="R39" s="8">
        <v>4</v>
      </c>
      <c r="S39" s="8">
        <v>2</v>
      </c>
      <c r="T39" s="8">
        <v>2</v>
      </c>
      <c r="U39" s="8">
        <v>4</v>
      </c>
      <c r="V39" s="8">
        <v>3</v>
      </c>
      <c r="Y39" s="8">
        <v>1</v>
      </c>
      <c r="Z39" s="8">
        <v>3</v>
      </c>
      <c r="AP39" s="8">
        <f>IF(G39=VLOOKUP(VALUE(G$1),Questions!$A:$E,5,FALSE),1,0)</f>
        <v>1</v>
      </c>
      <c r="AQ39" s="8">
        <f>IF(H39=VLOOKUP(VALUE(H$1),Questions!$A:$E,5,FALSE),1,0)</f>
        <v>1</v>
      </c>
      <c r="AR39" s="8">
        <f>IF(I39=VLOOKUP(VALUE(I$1),Questions!$A:$E,5,FALSE),1,0)</f>
        <v>1</v>
      </c>
      <c r="AS39" s="8">
        <f>IF(J39=VLOOKUP(VALUE(J$1),Questions!$A:$E,5,FALSE),1,0)</f>
        <v>0</v>
      </c>
      <c r="AT39" s="8">
        <f>IF(K39=VLOOKUP(VALUE(K$1),Questions!$A:$E,5,FALSE),1,0)</f>
        <v>0</v>
      </c>
      <c r="AU39" s="8">
        <f>IF(L39=VLOOKUP(VALUE(L$1),Questions!$A:$E,5,FALSE),1,0)</f>
        <v>0</v>
      </c>
      <c r="AV39" s="8">
        <f>IF(M39=VLOOKUP(VALUE(M$1),Questions!$A:$E,5,FALSE),1,0)</f>
        <v>1</v>
      </c>
      <c r="AW39" s="8">
        <f>IF(N39=VLOOKUP(VALUE(N$1),Questions!$A:$E,5,FALSE),1,0)</f>
        <v>1</v>
      </c>
      <c r="AX39" s="8">
        <f>IF(O39=VLOOKUP(VALUE(O$1),Questions!$A:$E,5,FALSE),1,0)</f>
        <v>1</v>
      </c>
      <c r="AY39" s="8">
        <f>IF(P39=VLOOKUP(VALUE(P$1),Questions!$A:$E,5,FALSE),1,0)</f>
        <v>0</v>
      </c>
      <c r="AZ39" s="8">
        <f>IF(Q39=VLOOKUP(VALUE(Q$1),Questions!$A:$E,5,FALSE),1,0)</f>
        <v>1</v>
      </c>
      <c r="BA39" s="8">
        <f>IF(R39=VLOOKUP(VALUE(R$1),Questions!$A:$E,5,FALSE),1,0)</f>
        <v>1</v>
      </c>
      <c r="BB39" s="8">
        <f>IF(S39=VLOOKUP(VALUE(S$1),Questions!$A:$E,5,FALSE),1,0)</f>
        <v>1</v>
      </c>
      <c r="BC39" s="8">
        <f>IF(T39=VLOOKUP(VALUE(T$1),Questions!$A:$E,5,FALSE),1,0)</f>
        <v>1</v>
      </c>
      <c r="BD39" s="8">
        <f>IF(U39=VLOOKUP(VALUE(U$1),Questions!$A:$E,5,FALSE),1,0)</f>
        <v>1</v>
      </c>
      <c r="BE39" s="8">
        <f>IF(V39=VLOOKUP(VALUE(V$1),Questions!$A:$E,5,FALSE),1,0)</f>
        <v>1</v>
      </c>
      <c r="BF39" s="8">
        <f>IF(W39=VLOOKUP(VALUE(W$1),Questions!$A:$E,5,FALSE),1,0)</f>
        <v>0</v>
      </c>
      <c r="BG39" s="8">
        <f>IF(X39=VLOOKUP(VALUE(X$1),Questions!$A:$E,5,FALSE),1,0)</f>
        <v>0</v>
      </c>
      <c r="BH39" s="8">
        <f>IF(Y39=VLOOKUP(VALUE(Y$1),Questions!$A:$E,5,FALSE),1,0)</f>
        <v>1</v>
      </c>
      <c r="BI39" s="8">
        <f>IF(Z39=VLOOKUP(VALUE(Z$1),Questions!$A:$E,5,FALSE),1,0)</f>
        <v>1</v>
      </c>
      <c r="BJ39" s="8">
        <f>IF(AA39=VLOOKUP(VALUE(AA$1),Questions!$A:$E,5,FALSE),1,0)</f>
        <v>0</v>
      </c>
      <c r="BK39" s="8">
        <f>IF(AB39=VLOOKUP(VALUE(AB$1),Questions!$A:$E,5,FALSE),1,0)</f>
        <v>0</v>
      </c>
      <c r="BL39" s="8">
        <f>IF(AC39=VLOOKUP(VALUE(AC$1),Questions!$A:$E,5,FALSE),1,0)</f>
        <v>0</v>
      </c>
      <c r="BM39" s="8">
        <f>IF(AD39=VLOOKUP(VALUE(AD$1),Questions!$A:$E,5,FALSE),1,0)</f>
        <v>0</v>
      </c>
      <c r="BN39" s="8">
        <f>IF(AE39=VLOOKUP(VALUE(AE$1),Questions!$A:$E,5,FALSE),1,0)</f>
        <v>0</v>
      </c>
      <c r="BO39" s="8">
        <f>IF(AF39=VLOOKUP(VALUE(AF$1),Questions!$A:$E,5,FALSE),1,0)</f>
        <v>0</v>
      </c>
      <c r="BP39" s="8">
        <f>IF(AG39=VLOOKUP(VALUE(AG$1),Questions!$A:$E,5,FALSE),1,0)</f>
        <v>0</v>
      </c>
      <c r="BQ39" s="8">
        <f>IF(AH39=VLOOKUP(VALUE(AH$1),Questions!$A:$E,5,FALSE),1,0)</f>
        <v>0</v>
      </c>
    </row>
    <row r="40" spans="1:69" ht="13" customHeight="1" x14ac:dyDescent="0.15">
      <c r="A40" t="s">
        <v>35</v>
      </c>
      <c r="B40" s="7">
        <v>10</v>
      </c>
      <c r="C40" s="7">
        <v>1</v>
      </c>
      <c r="D40">
        <v>39</v>
      </c>
      <c r="E40" s="8" t="s">
        <v>783</v>
      </c>
      <c r="F40" s="8" t="s">
        <v>783</v>
      </c>
      <c r="G40" s="8">
        <v>4</v>
      </c>
      <c r="H40" s="8">
        <v>1</v>
      </c>
      <c r="I40" s="8">
        <v>3</v>
      </c>
      <c r="J40" s="8">
        <v>2</v>
      </c>
      <c r="K40" s="8">
        <v>1</v>
      </c>
      <c r="L40" s="8">
        <v>1</v>
      </c>
      <c r="M40" s="8">
        <v>4</v>
      </c>
      <c r="N40" s="8">
        <v>3</v>
      </c>
      <c r="O40" s="8">
        <v>1</v>
      </c>
      <c r="P40" s="8">
        <v>3</v>
      </c>
      <c r="Q40" s="8">
        <v>1</v>
      </c>
      <c r="R40" s="8">
        <v>4</v>
      </c>
      <c r="S40" s="8">
        <v>3</v>
      </c>
      <c r="T40" s="8">
        <v>4</v>
      </c>
      <c r="U40" s="8">
        <v>4</v>
      </c>
      <c r="V40" s="8">
        <v>3</v>
      </c>
      <c r="W40" s="8">
        <v>4</v>
      </c>
      <c r="X40" s="8">
        <v>3</v>
      </c>
      <c r="Y40" s="8">
        <v>1</v>
      </c>
      <c r="Z40" s="8">
        <v>3</v>
      </c>
      <c r="AA40" s="8">
        <v>4</v>
      </c>
      <c r="AB40" s="8">
        <v>2</v>
      </c>
      <c r="AC40" s="8">
        <v>4</v>
      </c>
      <c r="AD40" s="8">
        <v>1</v>
      </c>
      <c r="AE40" s="8">
        <v>3</v>
      </c>
      <c r="AF40" s="8">
        <v>4</v>
      </c>
      <c r="AG40" s="8">
        <v>1</v>
      </c>
      <c r="AH40" s="8">
        <v>2</v>
      </c>
      <c r="AI40" s="8">
        <v>1</v>
      </c>
      <c r="AJ40" s="8">
        <v>1</v>
      </c>
      <c r="AK40" s="8">
        <v>1</v>
      </c>
      <c r="AL40" s="8">
        <v>1</v>
      </c>
      <c r="AM40" s="8">
        <v>1</v>
      </c>
      <c r="AN40" s="8">
        <v>1</v>
      </c>
      <c r="AO40" s="8">
        <v>1</v>
      </c>
      <c r="AP40" s="8">
        <f>IF(G40=VLOOKUP(VALUE(G$1),Questions!$A:$E,5,FALSE),1,0)</f>
        <v>1</v>
      </c>
      <c r="AQ40" s="8">
        <f>IF(H40=VLOOKUP(VALUE(H$1),Questions!$A:$E,5,FALSE),1,0)</f>
        <v>1</v>
      </c>
      <c r="AR40" s="8">
        <f>IF(I40=VLOOKUP(VALUE(I$1),Questions!$A:$E,5,FALSE),1,0)</f>
        <v>1</v>
      </c>
      <c r="AS40" s="8">
        <f>IF(J40=VLOOKUP(VALUE(J$1),Questions!$A:$E,5,FALSE),1,0)</f>
        <v>1</v>
      </c>
      <c r="AT40" s="8">
        <f>IF(K40=VLOOKUP(VALUE(K$1),Questions!$A:$E,5,FALSE),1,0)</f>
        <v>1</v>
      </c>
      <c r="AU40" s="8">
        <f>IF(L40=VLOOKUP(VALUE(L$1),Questions!$A:$E,5,FALSE),1,0)</f>
        <v>0</v>
      </c>
      <c r="AV40" s="8">
        <f>IF(M40=VLOOKUP(VALUE(M$1),Questions!$A:$E,5,FALSE),1,0)</f>
        <v>0</v>
      </c>
      <c r="AW40" s="8">
        <f>IF(N40=VLOOKUP(VALUE(N$1),Questions!$A:$E,5,FALSE),1,0)</f>
        <v>1</v>
      </c>
      <c r="AX40" s="8">
        <f>IF(O40=VLOOKUP(VALUE(O$1),Questions!$A:$E,5,FALSE),1,0)</f>
        <v>1</v>
      </c>
      <c r="AY40" s="8">
        <f>IF(P40=VLOOKUP(VALUE(P$1),Questions!$A:$E,5,FALSE),1,0)</f>
        <v>1</v>
      </c>
      <c r="AZ40" s="8">
        <f>IF(Q40=VLOOKUP(VALUE(Q$1),Questions!$A:$E,5,FALSE),1,0)</f>
        <v>1</v>
      </c>
      <c r="BA40" s="8">
        <f>IF(R40=VLOOKUP(VALUE(R$1),Questions!$A:$E,5,FALSE),1,0)</f>
        <v>1</v>
      </c>
      <c r="BB40" s="8">
        <f>IF(S40=VLOOKUP(VALUE(S$1),Questions!$A:$E,5,FALSE),1,0)</f>
        <v>0</v>
      </c>
      <c r="BC40" s="8">
        <f>IF(T40=VLOOKUP(VALUE(T$1),Questions!$A:$E,5,FALSE),1,0)</f>
        <v>0</v>
      </c>
      <c r="BD40" s="8">
        <f>IF(U40=VLOOKUP(VALUE(U$1),Questions!$A:$E,5,FALSE),1,0)</f>
        <v>1</v>
      </c>
      <c r="BE40" s="8">
        <f>IF(V40=VLOOKUP(VALUE(V$1),Questions!$A:$E,5,FALSE),1,0)</f>
        <v>1</v>
      </c>
      <c r="BF40" s="8">
        <f>IF(W40=VLOOKUP(VALUE(W$1),Questions!$A:$E,5,FALSE),1,0)</f>
        <v>1</v>
      </c>
      <c r="BG40" s="8">
        <f>IF(X40=VLOOKUP(VALUE(X$1),Questions!$A:$E,5,FALSE),1,0)</f>
        <v>1</v>
      </c>
      <c r="BH40" s="8">
        <f>IF(Y40=VLOOKUP(VALUE(Y$1),Questions!$A:$E,5,FALSE),1,0)</f>
        <v>1</v>
      </c>
      <c r="BI40" s="8">
        <f>IF(Z40=VLOOKUP(VALUE(Z$1),Questions!$A:$E,5,FALSE),1,0)</f>
        <v>1</v>
      </c>
      <c r="BJ40" s="8">
        <f>IF(AA40=VLOOKUP(VALUE(AA$1),Questions!$A:$E,5,FALSE),1,0)</f>
        <v>1</v>
      </c>
      <c r="BK40" s="8">
        <f>IF(AB40=VLOOKUP(VALUE(AB$1),Questions!$A:$E,5,FALSE),1,0)</f>
        <v>1</v>
      </c>
      <c r="BL40" s="8">
        <f>IF(AC40=VLOOKUP(VALUE(AC$1),Questions!$A:$E,5,FALSE),1,0)</f>
        <v>0</v>
      </c>
      <c r="BM40" s="8">
        <f>IF(AD40=VLOOKUP(VALUE(AD$1),Questions!$A:$E,5,FALSE),1,0)</f>
        <v>0</v>
      </c>
      <c r="BN40" s="8">
        <f>IF(AE40=VLOOKUP(VALUE(AE$1),Questions!$A:$E,5,FALSE),1,0)</f>
        <v>0</v>
      </c>
      <c r="BO40" s="8">
        <f>IF(AF40=VLOOKUP(VALUE(AF$1),Questions!$A:$E,5,FALSE),1,0)</f>
        <v>1</v>
      </c>
      <c r="BP40" s="8">
        <f>IF(AG40=VLOOKUP(VALUE(AG$1),Questions!$A:$E,5,FALSE),1,0)</f>
        <v>1</v>
      </c>
      <c r="BQ40" s="8">
        <f>IF(AH40=VLOOKUP(VALUE(AH$1),Questions!$A:$E,5,FALSE),1,0)</f>
        <v>1</v>
      </c>
    </row>
    <row r="41" spans="1:69" ht="13" customHeight="1" x14ac:dyDescent="0.15">
      <c r="A41" t="s">
        <v>35</v>
      </c>
      <c r="B41" s="7">
        <v>10</v>
      </c>
      <c r="C41" s="7">
        <v>1</v>
      </c>
      <c r="D41">
        <v>40</v>
      </c>
      <c r="G41" s="8">
        <v>3</v>
      </c>
      <c r="H41" s="8">
        <v>1</v>
      </c>
      <c r="I41" s="8">
        <v>3</v>
      </c>
      <c r="J41" s="8">
        <v>2</v>
      </c>
      <c r="K41" s="8">
        <v>1</v>
      </c>
      <c r="L41" s="8">
        <v>3</v>
      </c>
      <c r="M41" s="8">
        <v>2</v>
      </c>
      <c r="N41" s="8">
        <v>3</v>
      </c>
      <c r="O41" s="8">
        <v>1</v>
      </c>
      <c r="P41" s="8">
        <v>3</v>
      </c>
      <c r="Q41" s="8">
        <v>1</v>
      </c>
      <c r="R41" s="8">
        <v>4</v>
      </c>
      <c r="S41" s="8">
        <v>1</v>
      </c>
      <c r="T41" s="8">
        <v>2</v>
      </c>
      <c r="U41" s="8">
        <v>3</v>
      </c>
      <c r="V41" s="8">
        <v>1</v>
      </c>
      <c r="W41" s="8">
        <v>4</v>
      </c>
      <c r="X41" s="8">
        <v>3</v>
      </c>
      <c r="Y41" s="8">
        <v>2</v>
      </c>
      <c r="Z41" s="8">
        <v>3</v>
      </c>
      <c r="AA41" s="8">
        <v>1</v>
      </c>
      <c r="AB41" s="8">
        <v>4</v>
      </c>
      <c r="AC41" s="8">
        <v>1</v>
      </c>
      <c r="AD41" s="8">
        <v>3</v>
      </c>
      <c r="AE41" s="8">
        <v>1</v>
      </c>
      <c r="AF41" s="8">
        <v>2</v>
      </c>
      <c r="AG41" s="8">
        <v>2</v>
      </c>
      <c r="AH41" s="8">
        <v>4</v>
      </c>
      <c r="AI41" s="8">
        <v>0</v>
      </c>
      <c r="AJ41" s="8">
        <v>1</v>
      </c>
      <c r="AK41" s="8">
        <v>0</v>
      </c>
      <c r="AL41" s="8">
        <v>1</v>
      </c>
      <c r="AM41" s="8">
        <v>1</v>
      </c>
      <c r="AN41" s="8">
        <v>0</v>
      </c>
      <c r="AO41" s="8">
        <v>0</v>
      </c>
      <c r="AP41" s="8">
        <f>IF(G41=VLOOKUP(VALUE(G$1),Questions!$A:$E,5,FALSE),1,0)</f>
        <v>0</v>
      </c>
      <c r="AQ41" s="8">
        <f>IF(H41=VLOOKUP(VALUE(H$1),Questions!$A:$E,5,FALSE),1,0)</f>
        <v>1</v>
      </c>
      <c r="AR41" s="8">
        <f>IF(I41=VLOOKUP(VALUE(I$1),Questions!$A:$E,5,FALSE),1,0)</f>
        <v>1</v>
      </c>
      <c r="AS41" s="8">
        <f>IF(J41=VLOOKUP(VALUE(J$1),Questions!$A:$E,5,FALSE),1,0)</f>
        <v>1</v>
      </c>
      <c r="AT41" s="8">
        <f>IF(K41=VLOOKUP(VALUE(K$1),Questions!$A:$E,5,FALSE),1,0)</f>
        <v>1</v>
      </c>
      <c r="AU41" s="8">
        <f>IF(L41=VLOOKUP(VALUE(L$1),Questions!$A:$E,5,FALSE),1,0)</f>
        <v>1</v>
      </c>
      <c r="AV41" s="8">
        <f>IF(M41=VLOOKUP(VALUE(M$1),Questions!$A:$E,5,FALSE),1,0)</f>
        <v>1</v>
      </c>
      <c r="AW41" s="8">
        <f>IF(N41=VLOOKUP(VALUE(N$1),Questions!$A:$E,5,FALSE),1,0)</f>
        <v>1</v>
      </c>
      <c r="AX41" s="8">
        <f>IF(O41=VLOOKUP(VALUE(O$1),Questions!$A:$E,5,FALSE),1,0)</f>
        <v>1</v>
      </c>
      <c r="AY41" s="8">
        <f>IF(P41=VLOOKUP(VALUE(P$1),Questions!$A:$E,5,FALSE),1,0)</f>
        <v>1</v>
      </c>
      <c r="AZ41" s="8">
        <f>IF(Q41=VLOOKUP(VALUE(Q$1),Questions!$A:$E,5,FALSE),1,0)</f>
        <v>1</v>
      </c>
      <c r="BA41" s="8">
        <f>IF(R41=VLOOKUP(VALUE(R$1),Questions!$A:$E,5,FALSE),1,0)</f>
        <v>1</v>
      </c>
      <c r="BB41" s="8">
        <f>IF(S41=VLOOKUP(VALUE(S$1),Questions!$A:$E,5,FALSE),1,0)</f>
        <v>0</v>
      </c>
      <c r="BC41" s="8">
        <f>IF(T41=VLOOKUP(VALUE(T$1),Questions!$A:$E,5,FALSE),1,0)</f>
        <v>1</v>
      </c>
      <c r="BD41" s="8">
        <f>IF(U41=VLOOKUP(VALUE(U$1),Questions!$A:$E,5,FALSE),1,0)</f>
        <v>0</v>
      </c>
      <c r="BE41" s="8">
        <f>IF(V41=VLOOKUP(VALUE(V$1),Questions!$A:$E,5,FALSE),1,0)</f>
        <v>0</v>
      </c>
      <c r="BF41" s="8">
        <f>IF(W41=VLOOKUP(VALUE(W$1),Questions!$A:$E,5,FALSE),1,0)</f>
        <v>1</v>
      </c>
      <c r="BG41" s="8">
        <f>IF(X41=VLOOKUP(VALUE(X$1),Questions!$A:$E,5,FALSE),1,0)</f>
        <v>1</v>
      </c>
      <c r="BH41" s="8">
        <f>IF(Y41=VLOOKUP(VALUE(Y$1),Questions!$A:$E,5,FALSE),1,0)</f>
        <v>0</v>
      </c>
      <c r="BI41" s="8">
        <f>IF(Z41=VLOOKUP(VALUE(Z$1),Questions!$A:$E,5,FALSE),1,0)</f>
        <v>1</v>
      </c>
      <c r="BJ41" s="8">
        <f>IF(AA41=VLOOKUP(VALUE(AA$1),Questions!$A:$E,5,FALSE),1,0)</f>
        <v>0</v>
      </c>
      <c r="BK41" s="8">
        <f>IF(AB41=VLOOKUP(VALUE(AB$1),Questions!$A:$E,5,FALSE),1,0)</f>
        <v>0</v>
      </c>
      <c r="BL41" s="8">
        <f>IF(AC41=VLOOKUP(VALUE(AC$1),Questions!$A:$E,5,FALSE),1,0)</f>
        <v>0</v>
      </c>
      <c r="BM41" s="8">
        <f>IF(AD41=VLOOKUP(VALUE(AD$1),Questions!$A:$E,5,FALSE),1,0)</f>
        <v>1</v>
      </c>
      <c r="BN41" s="8">
        <f>IF(AE41=VLOOKUP(VALUE(AE$1),Questions!$A:$E,5,FALSE),1,0)</f>
        <v>0</v>
      </c>
      <c r="BO41" s="8">
        <f>IF(AF41=VLOOKUP(VALUE(AF$1),Questions!$A:$E,5,FALSE),1,0)</f>
        <v>0</v>
      </c>
      <c r="BP41" s="8">
        <f>IF(AG41=VLOOKUP(VALUE(AG$1),Questions!$A:$E,5,FALSE),1,0)</f>
        <v>0</v>
      </c>
      <c r="BQ41" s="8">
        <f>IF(AH41=VLOOKUP(VALUE(AH$1),Questions!$A:$E,5,FALSE),1,0)</f>
        <v>0</v>
      </c>
    </row>
    <row r="42" spans="1:69" ht="13" customHeight="1" x14ac:dyDescent="0.15">
      <c r="A42" t="s">
        <v>35</v>
      </c>
      <c r="B42" s="7">
        <v>10</v>
      </c>
      <c r="C42" s="7">
        <v>1</v>
      </c>
      <c r="D42">
        <v>41</v>
      </c>
      <c r="G42" s="8">
        <v>4</v>
      </c>
      <c r="H42" s="8">
        <v>1</v>
      </c>
      <c r="I42" s="8">
        <v>3</v>
      </c>
      <c r="J42" s="8">
        <v>2</v>
      </c>
      <c r="K42" s="8">
        <v>1</v>
      </c>
      <c r="L42" s="8">
        <v>2</v>
      </c>
      <c r="M42" s="8">
        <v>2</v>
      </c>
      <c r="N42" s="8">
        <v>3</v>
      </c>
      <c r="O42" s="8">
        <v>1</v>
      </c>
      <c r="P42" s="8">
        <v>4</v>
      </c>
      <c r="Q42" s="8">
        <v>1</v>
      </c>
      <c r="R42" s="8">
        <v>4</v>
      </c>
      <c r="S42" s="8">
        <v>2</v>
      </c>
      <c r="T42" s="8">
        <v>2</v>
      </c>
      <c r="U42" s="8">
        <v>4</v>
      </c>
      <c r="V42" s="8">
        <v>3</v>
      </c>
      <c r="W42" s="8">
        <v>3</v>
      </c>
      <c r="X42" s="8">
        <v>3</v>
      </c>
      <c r="Y42" s="8">
        <v>1</v>
      </c>
      <c r="Z42" s="8">
        <v>3</v>
      </c>
      <c r="AA42" s="8">
        <v>4</v>
      </c>
      <c r="AB42" s="8">
        <v>1</v>
      </c>
      <c r="AC42" s="8">
        <v>2</v>
      </c>
      <c r="AD42" s="8">
        <v>3</v>
      </c>
      <c r="AE42" s="8">
        <v>1</v>
      </c>
      <c r="AF42" s="8">
        <v>4</v>
      </c>
      <c r="AG42" s="8">
        <v>2</v>
      </c>
      <c r="AH42" s="8">
        <v>2</v>
      </c>
      <c r="AI42" s="8">
        <v>0</v>
      </c>
      <c r="AJ42" s="8">
        <v>0</v>
      </c>
      <c r="AK42" s="8">
        <v>1</v>
      </c>
      <c r="AL42" s="8">
        <v>1</v>
      </c>
      <c r="AM42" s="8">
        <v>0</v>
      </c>
      <c r="AN42" s="8">
        <v>1</v>
      </c>
      <c r="AO42" s="8">
        <v>1</v>
      </c>
      <c r="AP42" s="8">
        <f>IF(G42=VLOOKUP(VALUE(G$1),Questions!$A:$E,5,FALSE),1,0)</f>
        <v>1</v>
      </c>
      <c r="AQ42" s="8">
        <f>IF(H42=VLOOKUP(VALUE(H$1),Questions!$A:$E,5,FALSE),1,0)</f>
        <v>1</v>
      </c>
      <c r="AR42" s="8">
        <f>IF(I42=VLOOKUP(VALUE(I$1),Questions!$A:$E,5,FALSE),1,0)</f>
        <v>1</v>
      </c>
      <c r="AS42" s="8">
        <f>IF(J42=VLOOKUP(VALUE(J$1),Questions!$A:$E,5,FALSE),1,0)</f>
        <v>1</v>
      </c>
      <c r="AT42" s="8">
        <f>IF(K42=VLOOKUP(VALUE(K$1),Questions!$A:$E,5,FALSE),1,0)</f>
        <v>1</v>
      </c>
      <c r="AU42" s="8">
        <f>IF(L42=VLOOKUP(VALUE(L$1),Questions!$A:$E,5,FALSE),1,0)</f>
        <v>0</v>
      </c>
      <c r="AV42" s="8">
        <f>IF(M42=VLOOKUP(VALUE(M$1),Questions!$A:$E,5,FALSE),1,0)</f>
        <v>1</v>
      </c>
      <c r="AW42" s="8">
        <f>IF(N42=VLOOKUP(VALUE(N$1),Questions!$A:$E,5,FALSE),1,0)</f>
        <v>1</v>
      </c>
      <c r="AX42" s="8">
        <f>IF(O42=VLOOKUP(VALUE(O$1),Questions!$A:$E,5,FALSE),1,0)</f>
        <v>1</v>
      </c>
      <c r="AY42" s="8">
        <f>IF(P42=VLOOKUP(VALUE(P$1),Questions!$A:$E,5,FALSE),1,0)</f>
        <v>0</v>
      </c>
      <c r="AZ42" s="8">
        <f>IF(Q42=VLOOKUP(VALUE(Q$1),Questions!$A:$E,5,FALSE),1,0)</f>
        <v>1</v>
      </c>
      <c r="BA42" s="8">
        <f>IF(R42=VLOOKUP(VALUE(R$1),Questions!$A:$E,5,FALSE),1,0)</f>
        <v>1</v>
      </c>
      <c r="BB42" s="8">
        <f>IF(S42=VLOOKUP(VALUE(S$1),Questions!$A:$E,5,FALSE),1,0)</f>
        <v>1</v>
      </c>
      <c r="BC42" s="8">
        <f>IF(T42=VLOOKUP(VALUE(T$1),Questions!$A:$E,5,FALSE),1,0)</f>
        <v>1</v>
      </c>
      <c r="BD42" s="8">
        <f>IF(U42=VLOOKUP(VALUE(U$1),Questions!$A:$E,5,FALSE),1,0)</f>
        <v>1</v>
      </c>
      <c r="BE42" s="8">
        <f>IF(V42=VLOOKUP(VALUE(V$1),Questions!$A:$E,5,FALSE),1,0)</f>
        <v>1</v>
      </c>
      <c r="BF42" s="8">
        <f>IF(W42=VLOOKUP(VALUE(W$1),Questions!$A:$E,5,FALSE),1,0)</f>
        <v>0</v>
      </c>
      <c r="BG42" s="8">
        <f>IF(X42=VLOOKUP(VALUE(X$1),Questions!$A:$E,5,FALSE),1,0)</f>
        <v>1</v>
      </c>
      <c r="BH42" s="8">
        <f>IF(Y42=VLOOKUP(VALUE(Y$1),Questions!$A:$E,5,FALSE),1,0)</f>
        <v>1</v>
      </c>
      <c r="BI42" s="8">
        <f>IF(Z42=VLOOKUP(VALUE(Z$1),Questions!$A:$E,5,FALSE),1,0)</f>
        <v>1</v>
      </c>
      <c r="BJ42" s="8">
        <f>IF(AA42=VLOOKUP(VALUE(AA$1),Questions!$A:$E,5,FALSE),1,0)</f>
        <v>1</v>
      </c>
      <c r="BK42" s="8">
        <f>IF(AB42=VLOOKUP(VALUE(AB$1),Questions!$A:$E,5,FALSE),1,0)</f>
        <v>0</v>
      </c>
      <c r="BL42" s="8">
        <f>IF(AC42=VLOOKUP(VALUE(AC$1),Questions!$A:$E,5,FALSE),1,0)</f>
        <v>1</v>
      </c>
      <c r="BM42" s="8">
        <f>IF(AD42=VLOOKUP(VALUE(AD$1),Questions!$A:$E,5,FALSE),1,0)</f>
        <v>1</v>
      </c>
      <c r="BN42" s="8">
        <f>IF(AE42=VLOOKUP(VALUE(AE$1),Questions!$A:$E,5,FALSE),1,0)</f>
        <v>0</v>
      </c>
      <c r="BO42" s="8">
        <f>IF(AF42=VLOOKUP(VALUE(AF$1),Questions!$A:$E,5,FALSE),1,0)</f>
        <v>1</v>
      </c>
      <c r="BP42" s="8">
        <f>IF(AG42=VLOOKUP(VALUE(AG$1),Questions!$A:$E,5,FALSE),1,0)</f>
        <v>0</v>
      </c>
      <c r="BQ42" s="8">
        <f>IF(AH42=VLOOKUP(VALUE(AH$1),Questions!$A:$E,5,FALSE),1,0)</f>
        <v>1</v>
      </c>
    </row>
    <row r="43" spans="1:69" ht="13" customHeight="1" x14ac:dyDescent="0.15">
      <c r="A43" t="s">
        <v>35</v>
      </c>
      <c r="B43" s="7">
        <v>10</v>
      </c>
      <c r="C43" s="7">
        <v>1</v>
      </c>
      <c r="D43">
        <v>42</v>
      </c>
      <c r="F43" s="8" t="s">
        <v>783</v>
      </c>
      <c r="G43" s="8">
        <v>3</v>
      </c>
      <c r="H43" s="8">
        <v>2</v>
      </c>
      <c r="I43" s="8">
        <v>1</v>
      </c>
      <c r="J43" s="8">
        <v>3</v>
      </c>
      <c r="K43" s="8">
        <v>3</v>
      </c>
      <c r="L43" s="8">
        <v>2</v>
      </c>
      <c r="M43" s="8">
        <v>1</v>
      </c>
      <c r="N43" s="8">
        <v>3</v>
      </c>
      <c r="O43" s="8">
        <v>2</v>
      </c>
      <c r="P43" s="8">
        <v>4</v>
      </c>
      <c r="Q43" s="8">
        <v>4</v>
      </c>
      <c r="R43" s="8">
        <v>4</v>
      </c>
      <c r="S43" s="8">
        <v>3</v>
      </c>
      <c r="T43" s="8">
        <v>2</v>
      </c>
      <c r="U43" s="8">
        <v>4</v>
      </c>
      <c r="V43" s="8">
        <v>3</v>
      </c>
      <c r="W43" s="8">
        <v>2</v>
      </c>
      <c r="X43" s="8">
        <v>3</v>
      </c>
      <c r="Y43" s="8">
        <v>4</v>
      </c>
      <c r="Z43" s="8">
        <v>2</v>
      </c>
      <c r="AA43" s="8">
        <v>1</v>
      </c>
      <c r="AB43" s="8">
        <v>2</v>
      </c>
      <c r="AC43" s="8">
        <v>4</v>
      </c>
      <c r="AD43" s="8">
        <v>3</v>
      </c>
      <c r="AE43" s="8">
        <v>3</v>
      </c>
      <c r="AF43" s="8">
        <v>1</v>
      </c>
      <c r="AP43" s="8">
        <f>IF(G43=VLOOKUP(VALUE(G$1),Questions!$A:$E,5,FALSE),1,0)</f>
        <v>0</v>
      </c>
      <c r="AQ43" s="8">
        <f>IF(H43=VLOOKUP(VALUE(H$1),Questions!$A:$E,5,FALSE),1,0)</f>
        <v>0</v>
      </c>
      <c r="AR43" s="8">
        <f>IF(I43=VLOOKUP(VALUE(I$1),Questions!$A:$E,5,FALSE),1,0)</f>
        <v>0</v>
      </c>
      <c r="AS43" s="8">
        <f>IF(J43=VLOOKUP(VALUE(J$1),Questions!$A:$E,5,FALSE),1,0)</f>
        <v>0</v>
      </c>
      <c r="AT43" s="8">
        <f>IF(K43=VLOOKUP(VALUE(K$1),Questions!$A:$E,5,FALSE),1,0)</f>
        <v>0</v>
      </c>
      <c r="AU43" s="8">
        <f>IF(L43=VLOOKUP(VALUE(L$1),Questions!$A:$E,5,FALSE),1,0)</f>
        <v>0</v>
      </c>
      <c r="AV43" s="8">
        <f>IF(M43=VLOOKUP(VALUE(M$1),Questions!$A:$E,5,FALSE),1,0)</f>
        <v>0</v>
      </c>
      <c r="AW43" s="8">
        <f>IF(N43=VLOOKUP(VALUE(N$1),Questions!$A:$E,5,FALSE),1,0)</f>
        <v>1</v>
      </c>
      <c r="AX43" s="8">
        <f>IF(O43=VLOOKUP(VALUE(O$1),Questions!$A:$E,5,FALSE),1,0)</f>
        <v>0</v>
      </c>
      <c r="AY43" s="8">
        <f>IF(P43=VLOOKUP(VALUE(P$1),Questions!$A:$E,5,FALSE),1,0)</f>
        <v>0</v>
      </c>
      <c r="AZ43" s="8">
        <f>IF(Q43=VLOOKUP(VALUE(Q$1),Questions!$A:$E,5,FALSE),1,0)</f>
        <v>0</v>
      </c>
      <c r="BA43" s="8">
        <f>IF(R43=VLOOKUP(VALUE(R$1),Questions!$A:$E,5,FALSE),1,0)</f>
        <v>1</v>
      </c>
      <c r="BB43" s="8">
        <f>IF(S43=VLOOKUP(VALUE(S$1),Questions!$A:$E,5,FALSE),1,0)</f>
        <v>0</v>
      </c>
      <c r="BC43" s="8">
        <f>IF(T43=VLOOKUP(VALUE(T$1),Questions!$A:$E,5,FALSE),1,0)</f>
        <v>1</v>
      </c>
      <c r="BD43" s="8">
        <f>IF(U43=VLOOKUP(VALUE(U$1),Questions!$A:$E,5,FALSE),1,0)</f>
        <v>1</v>
      </c>
      <c r="BE43" s="8">
        <f>IF(V43=VLOOKUP(VALUE(V$1),Questions!$A:$E,5,FALSE),1,0)</f>
        <v>1</v>
      </c>
      <c r="BF43" s="8">
        <f>IF(W43=VLOOKUP(VALUE(W$1),Questions!$A:$E,5,FALSE),1,0)</f>
        <v>0</v>
      </c>
      <c r="BG43" s="8">
        <f>IF(X43=VLOOKUP(VALUE(X$1),Questions!$A:$E,5,FALSE),1,0)</f>
        <v>1</v>
      </c>
      <c r="BH43" s="8">
        <f>IF(Y43=VLOOKUP(VALUE(Y$1),Questions!$A:$E,5,FALSE),1,0)</f>
        <v>0</v>
      </c>
      <c r="BI43" s="8">
        <f>IF(Z43=VLOOKUP(VALUE(Z$1),Questions!$A:$E,5,FALSE),1,0)</f>
        <v>0</v>
      </c>
      <c r="BJ43" s="8">
        <f>IF(AA43=VLOOKUP(VALUE(AA$1),Questions!$A:$E,5,FALSE),1,0)</f>
        <v>0</v>
      </c>
      <c r="BK43" s="8">
        <f>IF(AB43=VLOOKUP(VALUE(AB$1),Questions!$A:$E,5,FALSE),1,0)</f>
        <v>1</v>
      </c>
      <c r="BL43" s="8">
        <f>IF(AC43=VLOOKUP(VALUE(AC$1),Questions!$A:$E,5,FALSE),1,0)</f>
        <v>0</v>
      </c>
      <c r="BM43" s="8">
        <f>IF(AD43=VLOOKUP(VALUE(AD$1),Questions!$A:$E,5,FALSE),1,0)</f>
        <v>1</v>
      </c>
      <c r="BN43" s="8">
        <f>IF(AE43=VLOOKUP(VALUE(AE$1),Questions!$A:$E,5,FALSE),1,0)</f>
        <v>0</v>
      </c>
      <c r="BO43" s="8">
        <f>IF(AF43=VLOOKUP(VALUE(AF$1),Questions!$A:$E,5,FALSE),1,0)</f>
        <v>0</v>
      </c>
      <c r="BP43" s="8">
        <f>IF(AG43=VLOOKUP(VALUE(AG$1),Questions!$A:$E,5,FALSE),1,0)</f>
        <v>0</v>
      </c>
      <c r="BQ43" s="8">
        <f>IF(AH43=VLOOKUP(VALUE(AH$1),Questions!$A:$E,5,FALSE),1,0)</f>
        <v>0</v>
      </c>
    </row>
    <row r="44" spans="1:69" ht="13" customHeight="1" x14ac:dyDescent="0.15">
      <c r="A44" t="s">
        <v>35</v>
      </c>
      <c r="B44" s="7">
        <v>10</v>
      </c>
      <c r="C44" s="7">
        <v>1</v>
      </c>
      <c r="D44">
        <v>43</v>
      </c>
      <c r="G44" s="8">
        <v>4</v>
      </c>
      <c r="H44" s="8">
        <v>1</v>
      </c>
      <c r="I44" s="8">
        <v>3</v>
      </c>
      <c r="J44" s="8">
        <v>2</v>
      </c>
      <c r="K44" s="8">
        <v>1</v>
      </c>
      <c r="L44" s="8">
        <v>1</v>
      </c>
      <c r="M44" s="8">
        <v>2</v>
      </c>
      <c r="N44" s="8">
        <v>4</v>
      </c>
      <c r="O44" s="8">
        <v>1</v>
      </c>
      <c r="P44" s="8">
        <v>3</v>
      </c>
      <c r="Q44" s="8">
        <v>1</v>
      </c>
      <c r="R44" s="8">
        <v>4</v>
      </c>
      <c r="S44" s="8">
        <v>2</v>
      </c>
      <c r="T44" s="8">
        <v>2</v>
      </c>
      <c r="U44" s="8">
        <v>4</v>
      </c>
      <c r="V44" s="8">
        <v>3</v>
      </c>
      <c r="W44" s="8">
        <v>4</v>
      </c>
      <c r="X44" s="8">
        <v>3</v>
      </c>
      <c r="Y44" s="8">
        <v>1</v>
      </c>
      <c r="Z44" s="8">
        <v>3</v>
      </c>
      <c r="AA44" s="8">
        <v>4</v>
      </c>
      <c r="AB44" s="8">
        <v>2</v>
      </c>
      <c r="AC44" s="8">
        <v>2</v>
      </c>
      <c r="AD44" s="8">
        <v>3</v>
      </c>
      <c r="AE44" s="8">
        <v>2</v>
      </c>
      <c r="AF44" s="8">
        <v>4</v>
      </c>
      <c r="AG44" s="8">
        <v>1</v>
      </c>
      <c r="AH44" s="8">
        <v>2</v>
      </c>
      <c r="AI44" s="8">
        <v>1</v>
      </c>
      <c r="AJ44" s="8">
        <v>1</v>
      </c>
      <c r="AK44" s="8">
        <v>1</v>
      </c>
      <c r="AL44" s="8">
        <v>1</v>
      </c>
      <c r="AM44" s="8">
        <v>1</v>
      </c>
      <c r="AN44" s="8">
        <v>1</v>
      </c>
      <c r="AO44" s="8">
        <v>1</v>
      </c>
      <c r="AP44" s="8">
        <f>IF(G44=VLOOKUP(VALUE(G$1),Questions!$A:$E,5,FALSE),1,0)</f>
        <v>1</v>
      </c>
      <c r="AQ44" s="8">
        <f>IF(H44=VLOOKUP(VALUE(H$1),Questions!$A:$E,5,FALSE),1,0)</f>
        <v>1</v>
      </c>
      <c r="AR44" s="8">
        <f>IF(I44=VLOOKUP(VALUE(I$1),Questions!$A:$E,5,FALSE),1,0)</f>
        <v>1</v>
      </c>
      <c r="AS44" s="8">
        <f>IF(J44=VLOOKUP(VALUE(J$1),Questions!$A:$E,5,FALSE),1,0)</f>
        <v>1</v>
      </c>
      <c r="AT44" s="8">
        <f>IF(K44=VLOOKUP(VALUE(K$1),Questions!$A:$E,5,FALSE),1,0)</f>
        <v>1</v>
      </c>
      <c r="AU44" s="8">
        <f>IF(L44=VLOOKUP(VALUE(L$1),Questions!$A:$E,5,FALSE),1,0)</f>
        <v>0</v>
      </c>
      <c r="AV44" s="8">
        <f>IF(M44=VLOOKUP(VALUE(M$1),Questions!$A:$E,5,FALSE),1,0)</f>
        <v>1</v>
      </c>
      <c r="AW44" s="8">
        <f>IF(N44=VLOOKUP(VALUE(N$1),Questions!$A:$E,5,FALSE),1,0)</f>
        <v>0</v>
      </c>
      <c r="AX44" s="8">
        <f>IF(O44=VLOOKUP(VALUE(O$1),Questions!$A:$E,5,FALSE),1,0)</f>
        <v>1</v>
      </c>
      <c r="AY44" s="8">
        <f>IF(P44=VLOOKUP(VALUE(P$1),Questions!$A:$E,5,FALSE),1,0)</f>
        <v>1</v>
      </c>
      <c r="AZ44" s="8">
        <f>IF(Q44=VLOOKUP(VALUE(Q$1),Questions!$A:$E,5,FALSE),1,0)</f>
        <v>1</v>
      </c>
      <c r="BA44" s="8">
        <f>IF(R44=VLOOKUP(VALUE(R$1),Questions!$A:$E,5,FALSE),1,0)</f>
        <v>1</v>
      </c>
      <c r="BB44" s="8">
        <f>IF(S44=VLOOKUP(VALUE(S$1),Questions!$A:$E,5,FALSE),1,0)</f>
        <v>1</v>
      </c>
      <c r="BC44" s="8">
        <f>IF(T44=VLOOKUP(VALUE(T$1),Questions!$A:$E,5,FALSE),1,0)</f>
        <v>1</v>
      </c>
      <c r="BD44" s="8">
        <f>IF(U44=VLOOKUP(VALUE(U$1),Questions!$A:$E,5,FALSE),1,0)</f>
        <v>1</v>
      </c>
      <c r="BE44" s="8">
        <f>IF(V44=VLOOKUP(VALUE(V$1),Questions!$A:$E,5,FALSE),1,0)</f>
        <v>1</v>
      </c>
      <c r="BF44" s="8">
        <f>IF(W44=VLOOKUP(VALUE(W$1),Questions!$A:$E,5,FALSE),1,0)</f>
        <v>1</v>
      </c>
      <c r="BG44" s="8">
        <f>IF(X44=VLOOKUP(VALUE(X$1),Questions!$A:$E,5,FALSE),1,0)</f>
        <v>1</v>
      </c>
      <c r="BH44" s="8">
        <f>IF(Y44=VLOOKUP(VALUE(Y$1),Questions!$A:$E,5,FALSE),1,0)</f>
        <v>1</v>
      </c>
      <c r="BI44" s="8">
        <f>IF(Z44=VLOOKUP(VALUE(Z$1),Questions!$A:$E,5,FALSE),1,0)</f>
        <v>1</v>
      </c>
      <c r="BJ44" s="8">
        <f>IF(AA44=VLOOKUP(VALUE(AA$1),Questions!$A:$E,5,FALSE),1,0)</f>
        <v>1</v>
      </c>
      <c r="BK44" s="8">
        <f>IF(AB44=VLOOKUP(VALUE(AB$1),Questions!$A:$E,5,FALSE),1,0)</f>
        <v>1</v>
      </c>
      <c r="BL44" s="8">
        <f>IF(AC44=VLOOKUP(VALUE(AC$1),Questions!$A:$E,5,FALSE),1,0)</f>
        <v>1</v>
      </c>
      <c r="BM44" s="8">
        <f>IF(AD44=VLOOKUP(VALUE(AD$1),Questions!$A:$E,5,FALSE),1,0)</f>
        <v>1</v>
      </c>
      <c r="BN44" s="8">
        <f>IF(AE44=VLOOKUP(VALUE(AE$1),Questions!$A:$E,5,FALSE),1,0)</f>
        <v>1</v>
      </c>
      <c r="BO44" s="8">
        <f>IF(AF44=VLOOKUP(VALUE(AF$1),Questions!$A:$E,5,FALSE),1,0)</f>
        <v>1</v>
      </c>
      <c r="BP44" s="8">
        <f>IF(AG44=VLOOKUP(VALUE(AG$1),Questions!$A:$E,5,FALSE),1,0)</f>
        <v>1</v>
      </c>
      <c r="BQ44" s="8">
        <f>IF(AH44=VLOOKUP(VALUE(AH$1),Questions!$A:$E,5,FALSE),1,0)</f>
        <v>1</v>
      </c>
    </row>
    <row r="45" spans="1:69" ht="13" customHeight="1" x14ac:dyDescent="0.15">
      <c r="A45" t="s">
        <v>35</v>
      </c>
      <c r="B45" s="7">
        <v>10</v>
      </c>
      <c r="C45" s="7">
        <v>1</v>
      </c>
      <c r="D45">
        <v>44</v>
      </c>
      <c r="G45" s="8">
        <v>4</v>
      </c>
      <c r="H45" s="8">
        <v>1</v>
      </c>
      <c r="I45" s="8">
        <v>3</v>
      </c>
      <c r="J45" s="8">
        <v>2</v>
      </c>
      <c r="K45" s="8">
        <v>4</v>
      </c>
      <c r="L45" s="8">
        <v>4</v>
      </c>
      <c r="M45" s="8">
        <v>2</v>
      </c>
      <c r="N45" s="8">
        <v>2</v>
      </c>
      <c r="O45" s="8">
        <v>1</v>
      </c>
      <c r="P45" s="8">
        <v>4</v>
      </c>
      <c r="Q45" s="8">
        <v>1</v>
      </c>
      <c r="R45" s="8">
        <v>3</v>
      </c>
      <c r="S45" s="8">
        <v>3</v>
      </c>
      <c r="T45" s="8">
        <v>2</v>
      </c>
      <c r="U45" s="8">
        <v>3</v>
      </c>
      <c r="V45" s="8">
        <v>3</v>
      </c>
      <c r="W45" s="8">
        <v>4</v>
      </c>
      <c r="X45" s="8">
        <v>2</v>
      </c>
      <c r="Y45" s="8">
        <v>3</v>
      </c>
      <c r="Z45" s="8">
        <v>3</v>
      </c>
      <c r="AA45" s="8">
        <v>2</v>
      </c>
      <c r="AB45" s="8">
        <v>2</v>
      </c>
      <c r="AC45" s="8">
        <v>2</v>
      </c>
      <c r="AD45" s="8">
        <v>3</v>
      </c>
      <c r="AE45" s="8">
        <v>3</v>
      </c>
      <c r="AF45" s="8">
        <v>4</v>
      </c>
      <c r="AG45" s="8">
        <v>2</v>
      </c>
      <c r="AH45" s="8">
        <v>4</v>
      </c>
      <c r="AI45" s="8">
        <v>0</v>
      </c>
      <c r="AJ45" s="8">
        <v>0</v>
      </c>
      <c r="AL45" s="8">
        <v>1</v>
      </c>
      <c r="AM45" s="8">
        <v>1</v>
      </c>
      <c r="AN45" s="8">
        <v>1</v>
      </c>
      <c r="AO45" s="8">
        <v>1</v>
      </c>
      <c r="AP45" s="8">
        <f>IF(G45=VLOOKUP(VALUE(G$1),Questions!$A:$E,5,FALSE),1,0)</f>
        <v>1</v>
      </c>
      <c r="AQ45" s="8">
        <f>IF(H45=VLOOKUP(VALUE(H$1),Questions!$A:$E,5,FALSE),1,0)</f>
        <v>1</v>
      </c>
      <c r="AR45" s="8">
        <f>IF(I45=VLOOKUP(VALUE(I$1),Questions!$A:$E,5,FALSE),1,0)</f>
        <v>1</v>
      </c>
      <c r="AS45" s="8">
        <f>IF(J45=VLOOKUP(VALUE(J$1),Questions!$A:$E,5,FALSE),1,0)</f>
        <v>1</v>
      </c>
      <c r="AT45" s="8">
        <f>IF(K45=VLOOKUP(VALUE(K$1),Questions!$A:$E,5,FALSE),1,0)</f>
        <v>0</v>
      </c>
      <c r="AU45" s="8">
        <f>IF(L45=VLOOKUP(VALUE(L$1),Questions!$A:$E,5,FALSE),1,0)</f>
        <v>0</v>
      </c>
      <c r="AV45" s="8">
        <f>IF(M45=VLOOKUP(VALUE(M$1),Questions!$A:$E,5,FALSE),1,0)</f>
        <v>1</v>
      </c>
      <c r="AW45" s="8">
        <f>IF(N45=VLOOKUP(VALUE(N$1),Questions!$A:$E,5,FALSE),1,0)</f>
        <v>0</v>
      </c>
      <c r="AX45" s="8">
        <f>IF(O45=VLOOKUP(VALUE(O$1),Questions!$A:$E,5,FALSE),1,0)</f>
        <v>1</v>
      </c>
      <c r="AY45" s="8">
        <f>IF(P45=VLOOKUP(VALUE(P$1),Questions!$A:$E,5,FALSE),1,0)</f>
        <v>0</v>
      </c>
      <c r="AZ45" s="8">
        <f>IF(Q45=VLOOKUP(VALUE(Q$1),Questions!$A:$E,5,FALSE),1,0)</f>
        <v>1</v>
      </c>
      <c r="BA45" s="8">
        <f>IF(R45=VLOOKUP(VALUE(R$1),Questions!$A:$E,5,FALSE),1,0)</f>
        <v>0</v>
      </c>
      <c r="BB45" s="8">
        <f>IF(S45=VLOOKUP(VALUE(S$1),Questions!$A:$E,5,FALSE),1,0)</f>
        <v>0</v>
      </c>
      <c r="BC45" s="8">
        <f>IF(T45=VLOOKUP(VALUE(T$1),Questions!$A:$E,5,FALSE),1,0)</f>
        <v>1</v>
      </c>
      <c r="BD45" s="8">
        <f>IF(U45=VLOOKUP(VALUE(U$1),Questions!$A:$E,5,FALSE),1,0)</f>
        <v>0</v>
      </c>
      <c r="BE45" s="8">
        <f>IF(V45=VLOOKUP(VALUE(V$1),Questions!$A:$E,5,FALSE),1,0)</f>
        <v>1</v>
      </c>
      <c r="BF45" s="8">
        <f>IF(W45=VLOOKUP(VALUE(W$1),Questions!$A:$E,5,FALSE),1,0)</f>
        <v>1</v>
      </c>
      <c r="BG45" s="8">
        <f>IF(X45=VLOOKUP(VALUE(X$1),Questions!$A:$E,5,FALSE),1,0)</f>
        <v>0</v>
      </c>
      <c r="BH45" s="8">
        <f>IF(Y45=VLOOKUP(VALUE(Y$1),Questions!$A:$E,5,FALSE),1,0)</f>
        <v>0</v>
      </c>
      <c r="BI45" s="8">
        <f>IF(Z45=VLOOKUP(VALUE(Z$1),Questions!$A:$E,5,FALSE),1,0)</f>
        <v>1</v>
      </c>
      <c r="BJ45" s="8">
        <f>IF(AA45=VLOOKUP(VALUE(AA$1),Questions!$A:$E,5,FALSE),1,0)</f>
        <v>0</v>
      </c>
      <c r="BK45" s="8">
        <f>IF(AB45=VLOOKUP(VALUE(AB$1),Questions!$A:$E,5,FALSE),1,0)</f>
        <v>1</v>
      </c>
      <c r="BL45" s="8">
        <f>IF(AC45=VLOOKUP(VALUE(AC$1),Questions!$A:$E,5,FALSE),1,0)</f>
        <v>1</v>
      </c>
      <c r="BM45" s="8">
        <f>IF(AD45=VLOOKUP(VALUE(AD$1),Questions!$A:$E,5,FALSE),1,0)</f>
        <v>1</v>
      </c>
      <c r="BN45" s="8">
        <f>IF(AE45=VLOOKUP(VALUE(AE$1),Questions!$A:$E,5,FALSE),1,0)</f>
        <v>0</v>
      </c>
      <c r="BO45" s="8">
        <f>IF(AF45=VLOOKUP(VALUE(AF$1),Questions!$A:$E,5,FALSE),1,0)</f>
        <v>1</v>
      </c>
      <c r="BP45" s="8">
        <f>IF(AG45=VLOOKUP(VALUE(AG$1),Questions!$A:$E,5,FALSE),1,0)</f>
        <v>0</v>
      </c>
      <c r="BQ45" s="8">
        <f>IF(AH45=VLOOKUP(VALUE(AH$1),Questions!$A:$E,5,FALSE),1,0)</f>
        <v>0</v>
      </c>
    </row>
    <row r="46" spans="1:69" ht="13" customHeight="1" x14ac:dyDescent="0.15">
      <c r="A46" t="s">
        <v>35</v>
      </c>
      <c r="B46" s="7">
        <v>10</v>
      </c>
      <c r="C46" s="7">
        <v>1</v>
      </c>
      <c r="D46">
        <v>45</v>
      </c>
      <c r="F46" s="8" t="s">
        <v>783</v>
      </c>
      <c r="G46" s="8">
        <v>4</v>
      </c>
      <c r="H46" s="8">
        <v>3</v>
      </c>
      <c r="I46" s="8">
        <v>3</v>
      </c>
      <c r="J46" s="8">
        <v>2</v>
      </c>
      <c r="K46" s="8">
        <v>3</v>
      </c>
      <c r="L46" s="8">
        <v>3</v>
      </c>
      <c r="M46" s="8">
        <v>2</v>
      </c>
      <c r="N46" s="8">
        <v>3</v>
      </c>
      <c r="O46" s="8">
        <v>1</v>
      </c>
      <c r="P46" s="8">
        <v>4</v>
      </c>
      <c r="Q46" s="8">
        <v>1</v>
      </c>
      <c r="R46" s="8">
        <v>4</v>
      </c>
      <c r="S46" s="8">
        <v>2</v>
      </c>
      <c r="T46" s="8">
        <v>2</v>
      </c>
      <c r="U46" s="8">
        <v>1</v>
      </c>
      <c r="V46" s="8">
        <v>3</v>
      </c>
      <c r="W46" s="8">
        <v>4</v>
      </c>
      <c r="X46" s="8">
        <v>3</v>
      </c>
      <c r="Y46" s="8">
        <v>1</v>
      </c>
      <c r="Z46" s="8">
        <v>3</v>
      </c>
      <c r="AA46" s="8">
        <v>4</v>
      </c>
      <c r="AB46" s="8">
        <v>2</v>
      </c>
      <c r="AC46" s="8">
        <v>2</v>
      </c>
      <c r="AD46" s="8">
        <v>3</v>
      </c>
      <c r="AE46" s="8">
        <v>2</v>
      </c>
      <c r="AF46" s="8">
        <v>4</v>
      </c>
      <c r="AG46" s="8">
        <v>3</v>
      </c>
      <c r="AH46" s="8">
        <v>1</v>
      </c>
      <c r="AI46" s="8">
        <v>0</v>
      </c>
      <c r="AJ46" s="8">
        <v>1</v>
      </c>
      <c r="AK46" s="8">
        <v>1</v>
      </c>
      <c r="AL46" s="8">
        <v>0</v>
      </c>
      <c r="AM46" s="8">
        <v>1</v>
      </c>
      <c r="AN46" s="8">
        <v>1</v>
      </c>
      <c r="AO46" s="8">
        <v>0</v>
      </c>
      <c r="AP46" s="8">
        <f>IF(G46=VLOOKUP(VALUE(G$1),Questions!$A:$E,5,FALSE),1,0)</f>
        <v>1</v>
      </c>
      <c r="AQ46" s="8">
        <f>IF(H46=VLOOKUP(VALUE(H$1),Questions!$A:$E,5,FALSE),1,0)</f>
        <v>0</v>
      </c>
      <c r="AR46" s="8">
        <f>IF(I46=VLOOKUP(VALUE(I$1),Questions!$A:$E,5,FALSE),1,0)</f>
        <v>1</v>
      </c>
      <c r="AS46" s="8">
        <f>IF(J46=VLOOKUP(VALUE(J$1),Questions!$A:$E,5,FALSE),1,0)</f>
        <v>1</v>
      </c>
      <c r="AT46" s="8">
        <f>IF(K46=VLOOKUP(VALUE(K$1),Questions!$A:$E,5,FALSE),1,0)</f>
        <v>0</v>
      </c>
      <c r="AU46" s="8">
        <f>IF(L46=VLOOKUP(VALUE(L$1),Questions!$A:$E,5,FALSE),1,0)</f>
        <v>1</v>
      </c>
      <c r="AV46" s="8">
        <f>IF(M46=VLOOKUP(VALUE(M$1),Questions!$A:$E,5,FALSE),1,0)</f>
        <v>1</v>
      </c>
      <c r="AW46" s="8">
        <f>IF(N46=VLOOKUP(VALUE(N$1),Questions!$A:$E,5,FALSE),1,0)</f>
        <v>1</v>
      </c>
      <c r="AX46" s="8">
        <f>IF(O46=VLOOKUP(VALUE(O$1),Questions!$A:$E,5,FALSE),1,0)</f>
        <v>1</v>
      </c>
      <c r="AY46" s="8">
        <f>IF(P46=VLOOKUP(VALUE(P$1),Questions!$A:$E,5,FALSE),1,0)</f>
        <v>0</v>
      </c>
      <c r="AZ46" s="8">
        <f>IF(Q46=VLOOKUP(VALUE(Q$1),Questions!$A:$E,5,FALSE),1,0)</f>
        <v>1</v>
      </c>
      <c r="BA46" s="8">
        <f>IF(R46=VLOOKUP(VALUE(R$1),Questions!$A:$E,5,FALSE),1,0)</f>
        <v>1</v>
      </c>
      <c r="BB46" s="8">
        <f>IF(S46=VLOOKUP(VALUE(S$1),Questions!$A:$E,5,FALSE),1,0)</f>
        <v>1</v>
      </c>
      <c r="BC46" s="8">
        <f>IF(T46=VLOOKUP(VALUE(T$1),Questions!$A:$E,5,FALSE),1,0)</f>
        <v>1</v>
      </c>
      <c r="BD46" s="8">
        <f>IF(U46=VLOOKUP(VALUE(U$1),Questions!$A:$E,5,FALSE),1,0)</f>
        <v>0</v>
      </c>
      <c r="BE46" s="8">
        <f>IF(V46=VLOOKUP(VALUE(V$1),Questions!$A:$E,5,FALSE),1,0)</f>
        <v>1</v>
      </c>
      <c r="BF46" s="8">
        <f>IF(W46=VLOOKUP(VALUE(W$1),Questions!$A:$E,5,FALSE),1,0)</f>
        <v>1</v>
      </c>
      <c r="BG46" s="8">
        <f>IF(X46=VLOOKUP(VALUE(X$1),Questions!$A:$E,5,FALSE),1,0)</f>
        <v>1</v>
      </c>
      <c r="BH46" s="8">
        <f>IF(Y46=VLOOKUP(VALUE(Y$1),Questions!$A:$E,5,FALSE),1,0)</f>
        <v>1</v>
      </c>
      <c r="BI46" s="8">
        <f>IF(Z46=VLOOKUP(VALUE(Z$1),Questions!$A:$E,5,FALSE),1,0)</f>
        <v>1</v>
      </c>
      <c r="BJ46" s="8">
        <f>IF(AA46=VLOOKUP(VALUE(AA$1),Questions!$A:$E,5,FALSE),1,0)</f>
        <v>1</v>
      </c>
      <c r="BK46" s="8">
        <f>IF(AB46=VLOOKUP(VALUE(AB$1),Questions!$A:$E,5,FALSE),1,0)</f>
        <v>1</v>
      </c>
      <c r="BL46" s="8">
        <f>IF(AC46=VLOOKUP(VALUE(AC$1),Questions!$A:$E,5,FALSE),1,0)</f>
        <v>1</v>
      </c>
      <c r="BM46" s="8">
        <f>IF(AD46=VLOOKUP(VALUE(AD$1),Questions!$A:$E,5,FALSE),1,0)</f>
        <v>1</v>
      </c>
      <c r="BN46" s="8">
        <f>IF(AE46=VLOOKUP(VALUE(AE$1),Questions!$A:$E,5,FALSE),1,0)</f>
        <v>1</v>
      </c>
      <c r="BO46" s="8">
        <f>IF(AF46=VLOOKUP(VALUE(AF$1),Questions!$A:$E,5,FALSE),1,0)</f>
        <v>1</v>
      </c>
      <c r="BP46" s="8">
        <f>IF(AG46=VLOOKUP(VALUE(AG$1),Questions!$A:$E,5,FALSE),1,0)</f>
        <v>0</v>
      </c>
      <c r="BQ46" s="8">
        <f>IF(AH46=VLOOKUP(VALUE(AH$1),Questions!$A:$E,5,FALSE),1,0)</f>
        <v>0</v>
      </c>
    </row>
    <row r="47" spans="1:69" ht="13" customHeight="1" x14ac:dyDescent="0.15">
      <c r="A47" t="s">
        <v>35</v>
      </c>
      <c r="B47" s="7">
        <v>10</v>
      </c>
      <c r="C47" s="7">
        <v>1</v>
      </c>
      <c r="D47">
        <v>46</v>
      </c>
      <c r="G47" s="8">
        <v>4</v>
      </c>
      <c r="H47" s="8">
        <v>1</v>
      </c>
      <c r="I47" s="8">
        <v>3</v>
      </c>
      <c r="J47" s="8">
        <v>2</v>
      </c>
      <c r="K47" s="8">
        <v>1</v>
      </c>
      <c r="L47" s="8">
        <v>3</v>
      </c>
      <c r="M47" s="8">
        <v>1</v>
      </c>
      <c r="N47" s="8">
        <v>2</v>
      </c>
      <c r="O47" s="8">
        <v>1</v>
      </c>
      <c r="P47" s="8">
        <v>3</v>
      </c>
      <c r="Q47" s="8">
        <v>1</v>
      </c>
      <c r="R47" s="8">
        <v>3</v>
      </c>
      <c r="S47" s="8">
        <v>2</v>
      </c>
      <c r="T47" s="8">
        <v>2</v>
      </c>
      <c r="U47" s="8">
        <v>1</v>
      </c>
      <c r="V47" s="8">
        <v>3</v>
      </c>
      <c r="W47" s="8">
        <v>4</v>
      </c>
      <c r="X47" s="8">
        <v>3</v>
      </c>
      <c r="Y47" s="8">
        <v>1</v>
      </c>
      <c r="Z47" s="8">
        <v>3</v>
      </c>
      <c r="AA47" s="8">
        <v>4</v>
      </c>
      <c r="AB47" s="8">
        <v>2</v>
      </c>
      <c r="AC47" s="8">
        <v>2</v>
      </c>
      <c r="AD47" s="8">
        <v>3</v>
      </c>
      <c r="AE47" s="8">
        <v>2</v>
      </c>
      <c r="AF47" s="8">
        <v>4</v>
      </c>
      <c r="AI47" s="8">
        <v>0</v>
      </c>
      <c r="AJ47" s="8">
        <v>1</v>
      </c>
      <c r="AK47" s="8">
        <v>0</v>
      </c>
      <c r="AP47" s="8">
        <f>IF(G47=VLOOKUP(VALUE(G$1),Questions!$A:$E,5,FALSE),1,0)</f>
        <v>1</v>
      </c>
      <c r="AQ47" s="8">
        <f>IF(H47=VLOOKUP(VALUE(H$1),Questions!$A:$E,5,FALSE),1,0)</f>
        <v>1</v>
      </c>
      <c r="AR47" s="8">
        <f>IF(I47=VLOOKUP(VALUE(I$1),Questions!$A:$E,5,FALSE),1,0)</f>
        <v>1</v>
      </c>
      <c r="AS47" s="8">
        <f>IF(J47=VLOOKUP(VALUE(J$1),Questions!$A:$E,5,FALSE),1,0)</f>
        <v>1</v>
      </c>
      <c r="AT47" s="8">
        <f>IF(K47=VLOOKUP(VALUE(K$1),Questions!$A:$E,5,FALSE),1,0)</f>
        <v>1</v>
      </c>
      <c r="AU47" s="8">
        <f>IF(L47=VLOOKUP(VALUE(L$1),Questions!$A:$E,5,FALSE),1,0)</f>
        <v>1</v>
      </c>
      <c r="AV47" s="8">
        <f>IF(M47=VLOOKUP(VALUE(M$1),Questions!$A:$E,5,FALSE),1,0)</f>
        <v>0</v>
      </c>
      <c r="AW47" s="8">
        <f>IF(N47=VLOOKUP(VALUE(N$1),Questions!$A:$E,5,FALSE),1,0)</f>
        <v>0</v>
      </c>
      <c r="AX47" s="8">
        <f>IF(O47=VLOOKUP(VALUE(O$1),Questions!$A:$E,5,FALSE),1,0)</f>
        <v>1</v>
      </c>
      <c r="AY47" s="8">
        <f>IF(P47=VLOOKUP(VALUE(P$1),Questions!$A:$E,5,FALSE),1,0)</f>
        <v>1</v>
      </c>
      <c r="AZ47" s="8">
        <f>IF(Q47=VLOOKUP(VALUE(Q$1),Questions!$A:$E,5,FALSE),1,0)</f>
        <v>1</v>
      </c>
      <c r="BA47" s="8">
        <f>IF(R47=VLOOKUP(VALUE(R$1),Questions!$A:$E,5,FALSE),1,0)</f>
        <v>0</v>
      </c>
      <c r="BB47" s="8">
        <f>IF(S47=VLOOKUP(VALUE(S$1),Questions!$A:$E,5,FALSE),1,0)</f>
        <v>1</v>
      </c>
      <c r="BC47" s="8">
        <f>IF(T47=VLOOKUP(VALUE(T$1),Questions!$A:$E,5,FALSE),1,0)</f>
        <v>1</v>
      </c>
      <c r="BD47" s="8">
        <f>IF(U47=VLOOKUP(VALUE(U$1),Questions!$A:$E,5,FALSE),1,0)</f>
        <v>0</v>
      </c>
      <c r="BE47" s="8">
        <f>IF(V47=VLOOKUP(VALUE(V$1),Questions!$A:$E,5,FALSE),1,0)</f>
        <v>1</v>
      </c>
      <c r="BF47" s="8">
        <f>IF(W47=VLOOKUP(VALUE(W$1),Questions!$A:$E,5,FALSE),1,0)</f>
        <v>1</v>
      </c>
      <c r="BG47" s="8">
        <f>IF(X47=VLOOKUP(VALUE(X$1),Questions!$A:$E,5,FALSE),1,0)</f>
        <v>1</v>
      </c>
      <c r="BH47" s="8">
        <f>IF(Y47=VLOOKUP(VALUE(Y$1),Questions!$A:$E,5,FALSE),1,0)</f>
        <v>1</v>
      </c>
      <c r="BI47" s="8">
        <f>IF(Z47=VLOOKUP(VALUE(Z$1),Questions!$A:$E,5,FALSE),1,0)</f>
        <v>1</v>
      </c>
      <c r="BJ47" s="8">
        <f>IF(AA47=VLOOKUP(VALUE(AA$1),Questions!$A:$E,5,FALSE),1,0)</f>
        <v>1</v>
      </c>
      <c r="BK47" s="8">
        <f>IF(AB47=VLOOKUP(VALUE(AB$1),Questions!$A:$E,5,FALSE),1,0)</f>
        <v>1</v>
      </c>
      <c r="BL47" s="8">
        <f>IF(AC47=VLOOKUP(VALUE(AC$1),Questions!$A:$E,5,FALSE),1,0)</f>
        <v>1</v>
      </c>
      <c r="BM47" s="8">
        <f>IF(AD47=VLOOKUP(VALUE(AD$1),Questions!$A:$E,5,FALSE),1,0)</f>
        <v>1</v>
      </c>
      <c r="BN47" s="8">
        <f>IF(AE47=VLOOKUP(VALUE(AE$1),Questions!$A:$E,5,FALSE),1,0)</f>
        <v>1</v>
      </c>
      <c r="BO47" s="8">
        <f>IF(AF47=VLOOKUP(VALUE(AF$1),Questions!$A:$E,5,FALSE),1,0)</f>
        <v>1</v>
      </c>
      <c r="BP47" s="8">
        <f>IF(AG47=VLOOKUP(VALUE(AG$1),Questions!$A:$E,5,FALSE),1,0)</f>
        <v>0</v>
      </c>
      <c r="BQ47" s="8">
        <f>IF(AH47=VLOOKUP(VALUE(AH$1),Questions!$A:$E,5,FALSE),1,0)</f>
        <v>0</v>
      </c>
    </row>
    <row r="48" spans="1:69" ht="13" customHeight="1" x14ac:dyDescent="0.15">
      <c r="A48" t="s">
        <v>35</v>
      </c>
      <c r="B48" s="7">
        <v>10</v>
      </c>
      <c r="C48" s="7">
        <v>1</v>
      </c>
      <c r="D48">
        <v>47</v>
      </c>
      <c r="F48" s="8" t="s">
        <v>783</v>
      </c>
      <c r="G48" s="8">
        <v>4</v>
      </c>
      <c r="H48" s="8">
        <v>1</v>
      </c>
      <c r="I48" s="8">
        <v>3</v>
      </c>
      <c r="J48" s="8">
        <v>2</v>
      </c>
      <c r="K48" s="8">
        <v>3</v>
      </c>
      <c r="L48" s="8">
        <v>3</v>
      </c>
      <c r="M48" s="8">
        <v>2</v>
      </c>
      <c r="N48" s="8">
        <v>3</v>
      </c>
      <c r="O48" s="8">
        <v>1</v>
      </c>
      <c r="P48" s="8">
        <v>3</v>
      </c>
      <c r="Q48" s="8">
        <v>1</v>
      </c>
      <c r="R48" s="8">
        <v>4</v>
      </c>
      <c r="S48" s="8">
        <v>3</v>
      </c>
      <c r="T48" s="8">
        <v>2</v>
      </c>
      <c r="U48" s="8">
        <v>4</v>
      </c>
      <c r="V48" s="8">
        <v>3</v>
      </c>
      <c r="W48" s="8">
        <v>4</v>
      </c>
      <c r="X48" s="8">
        <v>3</v>
      </c>
      <c r="Y48" s="8">
        <v>1</v>
      </c>
      <c r="Z48" s="8">
        <v>3</v>
      </c>
      <c r="AA48" s="8">
        <v>4</v>
      </c>
      <c r="AB48" s="8">
        <v>1</v>
      </c>
      <c r="AC48" s="8">
        <v>3</v>
      </c>
      <c r="AD48" s="8">
        <v>4</v>
      </c>
      <c r="AE48" s="8">
        <v>2</v>
      </c>
      <c r="AF48" s="8">
        <v>4</v>
      </c>
      <c r="AG48" s="8">
        <v>1</v>
      </c>
      <c r="AH48" s="8">
        <v>2</v>
      </c>
      <c r="AP48" s="8">
        <f>IF(G48=VLOOKUP(VALUE(G$1),Questions!$A:$E,5,FALSE),1,0)</f>
        <v>1</v>
      </c>
      <c r="AQ48" s="8">
        <f>IF(H48=VLOOKUP(VALUE(H$1),Questions!$A:$E,5,FALSE),1,0)</f>
        <v>1</v>
      </c>
      <c r="AR48" s="8">
        <f>IF(I48=VLOOKUP(VALUE(I$1),Questions!$A:$E,5,FALSE),1,0)</f>
        <v>1</v>
      </c>
      <c r="AS48" s="8">
        <f>IF(J48=VLOOKUP(VALUE(J$1),Questions!$A:$E,5,FALSE),1,0)</f>
        <v>1</v>
      </c>
      <c r="AT48" s="8">
        <f>IF(K48=VLOOKUP(VALUE(K$1),Questions!$A:$E,5,FALSE),1,0)</f>
        <v>0</v>
      </c>
      <c r="AU48" s="8">
        <f>IF(L48=VLOOKUP(VALUE(L$1),Questions!$A:$E,5,FALSE),1,0)</f>
        <v>1</v>
      </c>
      <c r="AV48" s="8">
        <f>IF(M48=VLOOKUP(VALUE(M$1),Questions!$A:$E,5,FALSE),1,0)</f>
        <v>1</v>
      </c>
      <c r="AW48" s="8">
        <f>IF(N48=VLOOKUP(VALUE(N$1),Questions!$A:$E,5,FALSE),1,0)</f>
        <v>1</v>
      </c>
      <c r="AX48" s="8">
        <f>IF(O48=VLOOKUP(VALUE(O$1),Questions!$A:$E,5,FALSE),1,0)</f>
        <v>1</v>
      </c>
      <c r="AY48" s="8">
        <f>IF(P48=VLOOKUP(VALUE(P$1),Questions!$A:$E,5,FALSE),1,0)</f>
        <v>1</v>
      </c>
      <c r="AZ48" s="8">
        <f>IF(Q48=VLOOKUP(VALUE(Q$1),Questions!$A:$E,5,FALSE),1,0)</f>
        <v>1</v>
      </c>
      <c r="BA48" s="8">
        <f>IF(R48=VLOOKUP(VALUE(R$1),Questions!$A:$E,5,FALSE),1,0)</f>
        <v>1</v>
      </c>
      <c r="BB48" s="8">
        <f>IF(S48=VLOOKUP(VALUE(S$1),Questions!$A:$E,5,FALSE),1,0)</f>
        <v>0</v>
      </c>
      <c r="BC48" s="8">
        <f>IF(T48=VLOOKUP(VALUE(T$1),Questions!$A:$E,5,FALSE),1,0)</f>
        <v>1</v>
      </c>
      <c r="BD48" s="8">
        <f>IF(U48=VLOOKUP(VALUE(U$1),Questions!$A:$E,5,FALSE),1,0)</f>
        <v>1</v>
      </c>
      <c r="BE48" s="8">
        <f>IF(V48=VLOOKUP(VALUE(V$1),Questions!$A:$E,5,FALSE),1,0)</f>
        <v>1</v>
      </c>
      <c r="BF48" s="8">
        <f>IF(W48=VLOOKUP(VALUE(W$1),Questions!$A:$E,5,FALSE),1,0)</f>
        <v>1</v>
      </c>
      <c r="BG48" s="8">
        <f>IF(X48=VLOOKUP(VALUE(X$1),Questions!$A:$E,5,FALSE),1,0)</f>
        <v>1</v>
      </c>
      <c r="BH48" s="8">
        <f>IF(Y48=VLOOKUP(VALUE(Y$1),Questions!$A:$E,5,FALSE),1,0)</f>
        <v>1</v>
      </c>
      <c r="BI48" s="8">
        <f>IF(Z48=VLOOKUP(VALUE(Z$1),Questions!$A:$E,5,FALSE),1,0)</f>
        <v>1</v>
      </c>
      <c r="BJ48" s="8">
        <f>IF(AA48=VLOOKUP(VALUE(AA$1),Questions!$A:$E,5,FALSE),1,0)</f>
        <v>1</v>
      </c>
      <c r="BK48" s="8">
        <f>IF(AB48=VLOOKUP(VALUE(AB$1),Questions!$A:$E,5,FALSE),1,0)</f>
        <v>0</v>
      </c>
      <c r="BL48" s="8">
        <f>IF(AC48=VLOOKUP(VALUE(AC$1),Questions!$A:$E,5,FALSE),1,0)</f>
        <v>0</v>
      </c>
      <c r="BM48" s="8">
        <f>IF(AD48=VLOOKUP(VALUE(AD$1),Questions!$A:$E,5,FALSE),1,0)</f>
        <v>0</v>
      </c>
      <c r="BN48" s="8">
        <f>IF(AE48=VLOOKUP(VALUE(AE$1),Questions!$A:$E,5,FALSE),1,0)</f>
        <v>1</v>
      </c>
      <c r="BO48" s="8">
        <f>IF(AF48=VLOOKUP(VALUE(AF$1),Questions!$A:$E,5,FALSE),1,0)</f>
        <v>1</v>
      </c>
      <c r="BP48" s="8">
        <f>IF(AG48=VLOOKUP(VALUE(AG$1),Questions!$A:$E,5,FALSE),1,0)</f>
        <v>1</v>
      </c>
      <c r="BQ48" s="8">
        <f>IF(AH48=VLOOKUP(VALUE(AH$1),Questions!$A:$E,5,FALSE),1,0)</f>
        <v>1</v>
      </c>
    </row>
    <row r="49" spans="1:69" ht="13" customHeight="1" x14ac:dyDescent="0.15">
      <c r="A49" t="s">
        <v>35</v>
      </c>
      <c r="B49" s="7">
        <v>10</v>
      </c>
      <c r="C49" s="7">
        <v>1</v>
      </c>
      <c r="D49">
        <v>48</v>
      </c>
      <c r="F49" s="8" t="s">
        <v>783</v>
      </c>
      <c r="G49" s="8">
        <v>4</v>
      </c>
      <c r="H49" s="8">
        <v>1</v>
      </c>
      <c r="I49" s="8">
        <v>1</v>
      </c>
      <c r="J49" s="8">
        <v>3</v>
      </c>
      <c r="K49" s="8">
        <v>1</v>
      </c>
      <c r="L49" s="8">
        <v>3</v>
      </c>
      <c r="M49" s="8">
        <v>2</v>
      </c>
      <c r="N49" s="8">
        <v>4</v>
      </c>
      <c r="O49" s="8">
        <v>1</v>
      </c>
      <c r="P49" s="8">
        <v>4</v>
      </c>
      <c r="Q49" s="8">
        <v>1</v>
      </c>
      <c r="R49" s="8">
        <v>3</v>
      </c>
      <c r="S49" s="8">
        <v>3</v>
      </c>
      <c r="T49" s="8">
        <v>2</v>
      </c>
      <c r="U49" s="8">
        <v>1</v>
      </c>
      <c r="V49" s="8">
        <v>3</v>
      </c>
      <c r="W49" s="8">
        <v>2</v>
      </c>
      <c r="X49" s="8">
        <v>1</v>
      </c>
      <c r="Y49" s="8">
        <v>3</v>
      </c>
      <c r="Z49" s="8">
        <v>3</v>
      </c>
      <c r="AA49" s="8">
        <v>2</v>
      </c>
      <c r="AB49" s="8">
        <v>3</v>
      </c>
      <c r="AC49" s="8">
        <v>4</v>
      </c>
      <c r="AD49" s="8">
        <v>1</v>
      </c>
      <c r="AE49" s="8">
        <v>2</v>
      </c>
      <c r="AF49" s="8">
        <v>1</v>
      </c>
      <c r="AG49" s="8">
        <v>1</v>
      </c>
      <c r="AH49" s="8">
        <v>1</v>
      </c>
      <c r="AP49" s="8">
        <f>IF(G49=VLOOKUP(VALUE(G$1),Questions!$A:$E,5,FALSE),1,0)</f>
        <v>1</v>
      </c>
      <c r="AQ49" s="8">
        <f>IF(H49=VLOOKUP(VALUE(H$1),Questions!$A:$E,5,FALSE),1,0)</f>
        <v>1</v>
      </c>
      <c r="AR49" s="8">
        <f>IF(I49=VLOOKUP(VALUE(I$1),Questions!$A:$E,5,FALSE),1,0)</f>
        <v>0</v>
      </c>
      <c r="AS49" s="8">
        <f>IF(J49=VLOOKUP(VALUE(J$1),Questions!$A:$E,5,FALSE),1,0)</f>
        <v>0</v>
      </c>
      <c r="AT49" s="8">
        <f>IF(K49=VLOOKUP(VALUE(K$1),Questions!$A:$E,5,FALSE),1,0)</f>
        <v>1</v>
      </c>
      <c r="AU49" s="8">
        <f>IF(L49=VLOOKUP(VALUE(L$1),Questions!$A:$E,5,FALSE),1,0)</f>
        <v>1</v>
      </c>
      <c r="AV49" s="8">
        <f>IF(M49=VLOOKUP(VALUE(M$1),Questions!$A:$E,5,FALSE),1,0)</f>
        <v>1</v>
      </c>
      <c r="AW49" s="8">
        <f>IF(N49=VLOOKUP(VALUE(N$1),Questions!$A:$E,5,FALSE),1,0)</f>
        <v>0</v>
      </c>
      <c r="AX49" s="8">
        <f>IF(O49=VLOOKUP(VALUE(O$1),Questions!$A:$E,5,FALSE),1,0)</f>
        <v>1</v>
      </c>
      <c r="AY49" s="8">
        <f>IF(P49=VLOOKUP(VALUE(P$1),Questions!$A:$E,5,FALSE),1,0)</f>
        <v>0</v>
      </c>
      <c r="AZ49" s="8">
        <f>IF(Q49=VLOOKUP(VALUE(Q$1),Questions!$A:$E,5,FALSE),1,0)</f>
        <v>1</v>
      </c>
      <c r="BA49" s="8">
        <f>IF(R49=VLOOKUP(VALUE(R$1),Questions!$A:$E,5,FALSE),1,0)</f>
        <v>0</v>
      </c>
      <c r="BB49" s="8">
        <f>IF(S49=VLOOKUP(VALUE(S$1),Questions!$A:$E,5,FALSE),1,0)</f>
        <v>0</v>
      </c>
      <c r="BC49" s="8">
        <f>IF(T49=VLOOKUP(VALUE(T$1),Questions!$A:$E,5,FALSE),1,0)</f>
        <v>1</v>
      </c>
      <c r="BD49" s="8">
        <f>IF(U49=VLOOKUP(VALUE(U$1),Questions!$A:$E,5,FALSE),1,0)</f>
        <v>0</v>
      </c>
      <c r="BE49" s="8">
        <f>IF(V49=VLOOKUP(VALUE(V$1),Questions!$A:$E,5,FALSE),1,0)</f>
        <v>1</v>
      </c>
      <c r="BF49" s="8">
        <f>IF(W49=VLOOKUP(VALUE(W$1),Questions!$A:$E,5,FALSE),1,0)</f>
        <v>0</v>
      </c>
      <c r="BG49" s="8">
        <f>IF(X49=VLOOKUP(VALUE(X$1),Questions!$A:$E,5,FALSE),1,0)</f>
        <v>0</v>
      </c>
      <c r="BH49" s="8">
        <f>IF(Y49=VLOOKUP(VALUE(Y$1),Questions!$A:$E,5,FALSE),1,0)</f>
        <v>0</v>
      </c>
      <c r="BI49" s="8">
        <f>IF(Z49=VLOOKUP(VALUE(Z$1),Questions!$A:$E,5,FALSE),1,0)</f>
        <v>1</v>
      </c>
      <c r="BJ49" s="8">
        <f>IF(AA49=VLOOKUP(VALUE(AA$1),Questions!$A:$E,5,FALSE),1,0)</f>
        <v>0</v>
      </c>
      <c r="BK49" s="8">
        <f>IF(AB49=VLOOKUP(VALUE(AB$1),Questions!$A:$E,5,FALSE),1,0)</f>
        <v>0</v>
      </c>
      <c r="BL49" s="8">
        <f>IF(AC49=VLOOKUP(VALUE(AC$1),Questions!$A:$E,5,FALSE),1,0)</f>
        <v>0</v>
      </c>
      <c r="BM49" s="8">
        <f>IF(AD49=VLOOKUP(VALUE(AD$1),Questions!$A:$E,5,FALSE),1,0)</f>
        <v>0</v>
      </c>
      <c r="BN49" s="8">
        <f>IF(AE49=VLOOKUP(VALUE(AE$1),Questions!$A:$E,5,FALSE),1,0)</f>
        <v>1</v>
      </c>
      <c r="BO49" s="8">
        <f>IF(AF49=VLOOKUP(VALUE(AF$1),Questions!$A:$E,5,FALSE),1,0)</f>
        <v>0</v>
      </c>
      <c r="BP49" s="8">
        <f>IF(AG49=VLOOKUP(VALUE(AG$1),Questions!$A:$E,5,FALSE),1,0)</f>
        <v>1</v>
      </c>
      <c r="BQ49" s="8">
        <f>IF(AH49=VLOOKUP(VALUE(AH$1),Questions!$A:$E,5,FALSE),1,0)</f>
        <v>0</v>
      </c>
    </row>
    <row r="50" spans="1:69" ht="13" customHeight="1" x14ac:dyDescent="0.15">
      <c r="A50" t="s">
        <v>35</v>
      </c>
      <c r="B50" s="7">
        <v>10</v>
      </c>
      <c r="C50" s="7">
        <v>1</v>
      </c>
      <c r="D50">
        <v>49</v>
      </c>
      <c r="G50" s="8">
        <v>2</v>
      </c>
      <c r="H50" s="8">
        <v>3</v>
      </c>
      <c r="I50" s="8">
        <v>3</v>
      </c>
      <c r="J50" s="8">
        <v>2</v>
      </c>
      <c r="K50" s="8">
        <v>2</v>
      </c>
      <c r="L50" s="8">
        <v>4</v>
      </c>
      <c r="M50" s="8">
        <v>1</v>
      </c>
      <c r="N50" s="8">
        <v>1</v>
      </c>
      <c r="O50" s="8">
        <v>3</v>
      </c>
      <c r="P50" s="8">
        <v>1</v>
      </c>
      <c r="Q50" s="8">
        <v>1</v>
      </c>
      <c r="R50" s="8">
        <v>4</v>
      </c>
      <c r="S50" s="8">
        <v>1</v>
      </c>
      <c r="T50" s="8">
        <v>3</v>
      </c>
      <c r="U50" s="8">
        <v>4</v>
      </c>
      <c r="V50" s="8">
        <v>3</v>
      </c>
      <c r="W50" s="8">
        <v>2</v>
      </c>
      <c r="X50" s="8">
        <v>2</v>
      </c>
      <c r="Y50" s="8">
        <v>3</v>
      </c>
      <c r="Z50" s="8">
        <v>2</v>
      </c>
      <c r="AA50" s="8">
        <v>3</v>
      </c>
      <c r="AB50" s="8">
        <v>2</v>
      </c>
      <c r="AC50" s="8">
        <v>3</v>
      </c>
      <c r="AD50" s="8">
        <v>2</v>
      </c>
      <c r="AE50" s="8">
        <v>2</v>
      </c>
      <c r="AF50" s="8">
        <v>3</v>
      </c>
      <c r="AG50" s="8">
        <v>2</v>
      </c>
      <c r="AH50" s="8">
        <v>3</v>
      </c>
      <c r="AI50" s="8">
        <v>1</v>
      </c>
      <c r="AJ50" s="8">
        <v>1</v>
      </c>
      <c r="AK50" s="8">
        <v>0</v>
      </c>
      <c r="AL50" s="8">
        <v>1</v>
      </c>
      <c r="AM50" s="8">
        <v>1</v>
      </c>
      <c r="AN50" s="8">
        <v>0</v>
      </c>
      <c r="AO50" s="8">
        <v>0</v>
      </c>
      <c r="AP50" s="8">
        <f>IF(G50=VLOOKUP(VALUE(G$1),Questions!$A:$E,5,FALSE),1,0)</f>
        <v>0</v>
      </c>
      <c r="AQ50" s="8">
        <f>IF(H50=VLOOKUP(VALUE(H$1),Questions!$A:$E,5,FALSE),1,0)</f>
        <v>0</v>
      </c>
      <c r="AR50" s="8">
        <f>IF(I50=VLOOKUP(VALUE(I$1),Questions!$A:$E,5,FALSE),1,0)</f>
        <v>1</v>
      </c>
      <c r="AS50" s="8">
        <f>IF(J50=VLOOKUP(VALUE(J$1),Questions!$A:$E,5,FALSE),1,0)</f>
        <v>1</v>
      </c>
      <c r="AT50" s="8">
        <f>IF(K50=VLOOKUP(VALUE(K$1),Questions!$A:$E,5,FALSE),1,0)</f>
        <v>0</v>
      </c>
      <c r="AU50" s="8">
        <f>IF(L50=VLOOKUP(VALUE(L$1),Questions!$A:$E,5,FALSE),1,0)</f>
        <v>0</v>
      </c>
      <c r="AV50" s="8">
        <f>IF(M50=VLOOKUP(VALUE(M$1),Questions!$A:$E,5,FALSE),1,0)</f>
        <v>0</v>
      </c>
      <c r="AW50" s="8">
        <f>IF(N50=VLOOKUP(VALUE(N$1),Questions!$A:$E,5,FALSE),1,0)</f>
        <v>0</v>
      </c>
      <c r="AX50" s="8">
        <f>IF(O50=VLOOKUP(VALUE(O$1),Questions!$A:$E,5,FALSE),1,0)</f>
        <v>0</v>
      </c>
      <c r="AY50" s="8">
        <f>IF(P50=VLOOKUP(VALUE(P$1),Questions!$A:$E,5,FALSE),1,0)</f>
        <v>0</v>
      </c>
      <c r="AZ50" s="8">
        <f>IF(Q50=VLOOKUP(VALUE(Q$1),Questions!$A:$E,5,FALSE),1,0)</f>
        <v>1</v>
      </c>
      <c r="BA50" s="8">
        <f>IF(R50=VLOOKUP(VALUE(R$1),Questions!$A:$E,5,FALSE),1,0)</f>
        <v>1</v>
      </c>
      <c r="BB50" s="8">
        <f>IF(S50=VLOOKUP(VALUE(S$1),Questions!$A:$E,5,FALSE),1,0)</f>
        <v>0</v>
      </c>
      <c r="BC50" s="8">
        <f>IF(T50=VLOOKUP(VALUE(T$1),Questions!$A:$E,5,FALSE),1,0)</f>
        <v>0</v>
      </c>
      <c r="BD50" s="8">
        <f>IF(U50=VLOOKUP(VALUE(U$1),Questions!$A:$E,5,FALSE),1,0)</f>
        <v>1</v>
      </c>
      <c r="BE50" s="8">
        <f>IF(V50=VLOOKUP(VALUE(V$1),Questions!$A:$E,5,FALSE),1,0)</f>
        <v>1</v>
      </c>
      <c r="BF50" s="8">
        <f>IF(W50=VLOOKUP(VALUE(W$1),Questions!$A:$E,5,FALSE),1,0)</f>
        <v>0</v>
      </c>
      <c r="BG50" s="8">
        <f>IF(X50=VLOOKUP(VALUE(X$1),Questions!$A:$E,5,FALSE),1,0)</f>
        <v>0</v>
      </c>
      <c r="BH50" s="8">
        <f>IF(Y50=VLOOKUP(VALUE(Y$1),Questions!$A:$E,5,FALSE),1,0)</f>
        <v>0</v>
      </c>
      <c r="BI50" s="8">
        <f>IF(Z50=VLOOKUP(VALUE(Z$1),Questions!$A:$E,5,FALSE),1,0)</f>
        <v>0</v>
      </c>
      <c r="BJ50" s="8">
        <f>IF(AA50=VLOOKUP(VALUE(AA$1),Questions!$A:$E,5,FALSE),1,0)</f>
        <v>0</v>
      </c>
      <c r="BK50" s="8">
        <f>IF(AB50=VLOOKUP(VALUE(AB$1),Questions!$A:$E,5,FALSE),1,0)</f>
        <v>1</v>
      </c>
      <c r="BL50" s="8">
        <f>IF(AC50=VLOOKUP(VALUE(AC$1),Questions!$A:$E,5,FALSE),1,0)</f>
        <v>0</v>
      </c>
      <c r="BM50" s="8">
        <f>IF(AD50=VLOOKUP(VALUE(AD$1),Questions!$A:$E,5,FALSE),1,0)</f>
        <v>0</v>
      </c>
      <c r="BN50" s="8">
        <f>IF(AE50=VLOOKUP(VALUE(AE$1),Questions!$A:$E,5,FALSE),1,0)</f>
        <v>1</v>
      </c>
      <c r="BO50" s="8">
        <f>IF(AF50=VLOOKUP(VALUE(AF$1),Questions!$A:$E,5,FALSE),1,0)</f>
        <v>0</v>
      </c>
      <c r="BP50" s="8">
        <f>IF(AG50=VLOOKUP(VALUE(AG$1),Questions!$A:$E,5,FALSE),1,0)</f>
        <v>0</v>
      </c>
      <c r="BQ50" s="8">
        <f>IF(AH50=VLOOKUP(VALUE(AH$1),Questions!$A:$E,5,FALSE),1,0)</f>
        <v>0</v>
      </c>
    </row>
    <row r="51" spans="1:69" ht="13" customHeight="1" x14ac:dyDescent="0.15">
      <c r="A51" t="s">
        <v>35</v>
      </c>
      <c r="B51" s="7">
        <v>10</v>
      </c>
      <c r="C51" s="7">
        <v>1</v>
      </c>
      <c r="D51">
        <v>50</v>
      </c>
      <c r="G51" s="8">
        <v>4</v>
      </c>
      <c r="H51" s="8">
        <v>3</v>
      </c>
      <c r="I51" s="8">
        <v>3</v>
      </c>
      <c r="J51" s="8">
        <v>2</v>
      </c>
      <c r="K51" s="8">
        <v>4</v>
      </c>
      <c r="L51" s="8">
        <v>4</v>
      </c>
      <c r="M51" s="8">
        <v>2</v>
      </c>
      <c r="N51" s="8">
        <v>4</v>
      </c>
      <c r="O51" s="8">
        <v>1</v>
      </c>
      <c r="P51" s="8">
        <v>3</v>
      </c>
      <c r="Q51" s="8">
        <v>2</v>
      </c>
      <c r="R51" s="8">
        <v>1</v>
      </c>
      <c r="S51" s="8">
        <v>2</v>
      </c>
      <c r="T51" s="8">
        <v>2</v>
      </c>
      <c r="U51" s="8">
        <v>4</v>
      </c>
      <c r="V51" s="8">
        <v>3</v>
      </c>
      <c r="W51" s="8">
        <v>4</v>
      </c>
      <c r="X51" s="8">
        <v>4</v>
      </c>
      <c r="Y51" s="8">
        <v>2</v>
      </c>
      <c r="Z51" s="8">
        <v>3</v>
      </c>
      <c r="AA51" s="8">
        <v>3</v>
      </c>
      <c r="AB51" s="8">
        <v>2</v>
      </c>
      <c r="AC51" s="8">
        <v>4</v>
      </c>
      <c r="AD51" s="8">
        <v>3</v>
      </c>
      <c r="AE51" s="8">
        <v>1</v>
      </c>
      <c r="AF51" s="8">
        <v>2</v>
      </c>
      <c r="AG51" s="8">
        <v>3</v>
      </c>
      <c r="AH51" s="8">
        <v>2</v>
      </c>
      <c r="AI51" s="8">
        <v>0</v>
      </c>
      <c r="AJ51" s="8">
        <v>1</v>
      </c>
      <c r="AK51" s="8">
        <v>0</v>
      </c>
      <c r="AL51" s="8">
        <v>0</v>
      </c>
      <c r="AM51" s="8">
        <v>1</v>
      </c>
      <c r="AN51" s="8">
        <v>1</v>
      </c>
      <c r="AO51" s="8">
        <v>1</v>
      </c>
      <c r="AP51" s="8">
        <f>IF(G51=VLOOKUP(VALUE(G$1),Questions!$A:$E,5,FALSE),1,0)</f>
        <v>1</v>
      </c>
      <c r="AQ51" s="8">
        <f>IF(H51=VLOOKUP(VALUE(H$1),Questions!$A:$E,5,FALSE),1,0)</f>
        <v>0</v>
      </c>
      <c r="AR51" s="8">
        <f>IF(I51=VLOOKUP(VALUE(I$1),Questions!$A:$E,5,FALSE),1,0)</f>
        <v>1</v>
      </c>
      <c r="AS51" s="8">
        <f>IF(J51=VLOOKUP(VALUE(J$1),Questions!$A:$E,5,FALSE),1,0)</f>
        <v>1</v>
      </c>
      <c r="AT51" s="8">
        <f>IF(K51=VLOOKUP(VALUE(K$1),Questions!$A:$E,5,FALSE),1,0)</f>
        <v>0</v>
      </c>
      <c r="AU51" s="8">
        <f>IF(L51=VLOOKUP(VALUE(L$1),Questions!$A:$E,5,FALSE),1,0)</f>
        <v>0</v>
      </c>
      <c r="AV51" s="8">
        <f>IF(M51=VLOOKUP(VALUE(M$1),Questions!$A:$E,5,FALSE),1,0)</f>
        <v>1</v>
      </c>
      <c r="AW51" s="8">
        <f>IF(N51=VLOOKUP(VALUE(N$1),Questions!$A:$E,5,FALSE),1,0)</f>
        <v>0</v>
      </c>
      <c r="AX51" s="8">
        <f>IF(O51=VLOOKUP(VALUE(O$1),Questions!$A:$E,5,FALSE),1,0)</f>
        <v>1</v>
      </c>
      <c r="AY51" s="8">
        <f>IF(P51=VLOOKUP(VALUE(P$1),Questions!$A:$E,5,FALSE),1,0)</f>
        <v>1</v>
      </c>
      <c r="AZ51" s="8">
        <f>IF(Q51=VLOOKUP(VALUE(Q$1),Questions!$A:$E,5,FALSE),1,0)</f>
        <v>0</v>
      </c>
      <c r="BA51" s="8">
        <f>IF(R51=VLOOKUP(VALUE(R$1),Questions!$A:$E,5,FALSE),1,0)</f>
        <v>0</v>
      </c>
      <c r="BB51" s="8">
        <f>IF(S51=VLOOKUP(VALUE(S$1),Questions!$A:$E,5,FALSE),1,0)</f>
        <v>1</v>
      </c>
      <c r="BC51" s="8">
        <f>IF(T51=VLOOKUP(VALUE(T$1),Questions!$A:$E,5,FALSE),1,0)</f>
        <v>1</v>
      </c>
      <c r="BD51" s="8">
        <f>IF(U51=VLOOKUP(VALUE(U$1),Questions!$A:$E,5,FALSE),1,0)</f>
        <v>1</v>
      </c>
      <c r="BE51" s="8">
        <f>IF(V51=VLOOKUP(VALUE(V$1),Questions!$A:$E,5,FALSE),1,0)</f>
        <v>1</v>
      </c>
      <c r="BF51" s="8">
        <f>IF(W51=VLOOKUP(VALUE(W$1),Questions!$A:$E,5,FALSE),1,0)</f>
        <v>1</v>
      </c>
      <c r="BG51" s="8">
        <f>IF(X51=VLOOKUP(VALUE(X$1),Questions!$A:$E,5,FALSE),1,0)</f>
        <v>0</v>
      </c>
      <c r="BH51" s="8">
        <f>IF(Y51=VLOOKUP(VALUE(Y$1),Questions!$A:$E,5,FALSE),1,0)</f>
        <v>0</v>
      </c>
      <c r="BI51" s="8">
        <f>IF(Z51=VLOOKUP(VALUE(Z$1),Questions!$A:$E,5,FALSE),1,0)</f>
        <v>1</v>
      </c>
      <c r="BJ51" s="8">
        <f>IF(AA51=VLOOKUP(VALUE(AA$1),Questions!$A:$E,5,FALSE),1,0)</f>
        <v>0</v>
      </c>
      <c r="BK51" s="8">
        <f>IF(AB51=VLOOKUP(VALUE(AB$1),Questions!$A:$E,5,FALSE),1,0)</f>
        <v>1</v>
      </c>
      <c r="BL51" s="8">
        <f>IF(AC51=VLOOKUP(VALUE(AC$1),Questions!$A:$E,5,FALSE),1,0)</f>
        <v>0</v>
      </c>
      <c r="BM51" s="8">
        <f>IF(AD51=VLOOKUP(VALUE(AD$1),Questions!$A:$E,5,FALSE),1,0)</f>
        <v>1</v>
      </c>
      <c r="BN51" s="8">
        <f>IF(AE51=VLOOKUP(VALUE(AE$1),Questions!$A:$E,5,FALSE),1,0)</f>
        <v>0</v>
      </c>
      <c r="BO51" s="8">
        <f>IF(AF51=VLOOKUP(VALUE(AF$1),Questions!$A:$E,5,FALSE),1,0)</f>
        <v>0</v>
      </c>
      <c r="BP51" s="8">
        <f>IF(AG51=VLOOKUP(VALUE(AG$1),Questions!$A:$E,5,FALSE),1,0)</f>
        <v>0</v>
      </c>
      <c r="BQ51" s="8">
        <f>IF(AH51=VLOOKUP(VALUE(AH$1),Questions!$A:$E,5,FALSE),1,0)</f>
        <v>1</v>
      </c>
    </row>
    <row r="52" spans="1:69" ht="13" customHeight="1" x14ac:dyDescent="0.15">
      <c r="A52" t="s">
        <v>35</v>
      </c>
      <c r="B52" s="7">
        <v>10</v>
      </c>
      <c r="C52" s="7">
        <v>1</v>
      </c>
      <c r="D52">
        <v>51</v>
      </c>
      <c r="G52" s="8">
        <v>4</v>
      </c>
      <c r="H52" s="8">
        <v>1</v>
      </c>
      <c r="I52" s="8">
        <v>3</v>
      </c>
      <c r="J52" s="8">
        <v>2</v>
      </c>
      <c r="K52" s="8">
        <v>3</v>
      </c>
      <c r="L52" s="8">
        <v>2</v>
      </c>
      <c r="M52" s="8">
        <v>2</v>
      </c>
      <c r="N52" s="8">
        <v>3</v>
      </c>
      <c r="O52" s="8">
        <v>1</v>
      </c>
      <c r="P52" s="8">
        <v>3</v>
      </c>
      <c r="Q52" s="8">
        <v>1</v>
      </c>
      <c r="R52" s="8">
        <v>4</v>
      </c>
      <c r="S52" s="8">
        <v>2</v>
      </c>
      <c r="T52" s="8">
        <v>3</v>
      </c>
      <c r="U52" s="8">
        <v>4</v>
      </c>
      <c r="V52" s="8">
        <v>3</v>
      </c>
      <c r="W52" s="8">
        <v>4</v>
      </c>
      <c r="X52" s="8">
        <v>3</v>
      </c>
      <c r="Y52" s="8">
        <v>1</v>
      </c>
      <c r="Z52" s="8">
        <v>3</v>
      </c>
      <c r="AA52" s="8">
        <v>4</v>
      </c>
      <c r="AB52" s="8">
        <v>2</v>
      </c>
      <c r="AC52" s="8">
        <v>2</v>
      </c>
      <c r="AD52" s="8">
        <v>3</v>
      </c>
      <c r="AE52" s="8">
        <v>2</v>
      </c>
      <c r="AF52" s="8">
        <v>4</v>
      </c>
      <c r="AG52" s="8">
        <v>1</v>
      </c>
      <c r="AH52" s="8">
        <v>4</v>
      </c>
      <c r="AI52" s="8">
        <v>1</v>
      </c>
      <c r="AJ52" s="8">
        <v>1</v>
      </c>
      <c r="AK52" s="8">
        <v>1</v>
      </c>
      <c r="AL52" s="8">
        <v>1</v>
      </c>
      <c r="AM52" s="8">
        <v>1</v>
      </c>
      <c r="AN52" s="8">
        <v>1</v>
      </c>
      <c r="AO52" s="8">
        <v>1</v>
      </c>
      <c r="AP52" s="8">
        <f>IF(G52=VLOOKUP(VALUE(G$1),Questions!$A:$E,5,FALSE),1,0)</f>
        <v>1</v>
      </c>
      <c r="AQ52" s="8">
        <f>IF(H52=VLOOKUP(VALUE(H$1),Questions!$A:$E,5,FALSE),1,0)</f>
        <v>1</v>
      </c>
      <c r="AR52" s="8">
        <f>IF(I52=VLOOKUP(VALUE(I$1),Questions!$A:$E,5,FALSE),1,0)</f>
        <v>1</v>
      </c>
      <c r="AS52" s="8">
        <f>IF(J52=VLOOKUP(VALUE(J$1),Questions!$A:$E,5,FALSE),1,0)</f>
        <v>1</v>
      </c>
      <c r="AT52" s="8">
        <f>IF(K52=VLOOKUP(VALUE(K$1),Questions!$A:$E,5,FALSE),1,0)</f>
        <v>0</v>
      </c>
      <c r="AU52" s="8">
        <f>IF(L52=VLOOKUP(VALUE(L$1),Questions!$A:$E,5,FALSE),1,0)</f>
        <v>0</v>
      </c>
      <c r="AV52" s="8">
        <f>IF(M52=VLOOKUP(VALUE(M$1),Questions!$A:$E,5,FALSE),1,0)</f>
        <v>1</v>
      </c>
      <c r="AW52" s="8">
        <f>IF(N52=VLOOKUP(VALUE(N$1),Questions!$A:$E,5,FALSE),1,0)</f>
        <v>1</v>
      </c>
      <c r="AX52" s="8">
        <f>IF(O52=VLOOKUP(VALUE(O$1),Questions!$A:$E,5,FALSE),1,0)</f>
        <v>1</v>
      </c>
      <c r="AY52" s="8">
        <f>IF(P52=VLOOKUP(VALUE(P$1),Questions!$A:$E,5,FALSE),1,0)</f>
        <v>1</v>
      </c>
      <c r="AZ52" s="8">
        <f>IF(Q52=VLOOKUP(VALUE(Q$1),Questions!$A:$E,5,FALSE),1,0)</f>
        <v>1</v>
      </c>
      <c r="BA52" s="8">
        <f>IF(R52=VLOOKUP(VALUE(R$1),Questions!$A:$E,5,FALSE),1,0)</f>
        <v>1</v>
      </c>
      <c r="BB52" s="8">
        <f>IF(S52=VLOOKUP(VALUE(S$1),Questions!$A:$E,5,FALSE),1,0)</f>
        <v>1</v>
      </c>
      <c r="BC52" s="8">
        <f>IF(T52=VLOOKUP(VALUE(T$1),Questions!$A:$E,5,FALSE),1,0)</f>
        <v>0</v>
      </c>
      <c r="BD52" s="8">
        <f>IF(U52=VLOOKUP(VALUE(U$1),Questions!$A:$E,5,FALSE),1,0)</f>
        <v>1</v>
      </c>
      <c r="BE52" s="8">
        <f>IF(V52=VLOOKUP(VALUE(V$1),Questions!$A:$E,5,FALSE),1,0)</f>
        <v>1</v>
      </c>
      <c r="BF52" s="8">
        <f>IF(W52=VLOOKUP(VALUE(W$1),Questions!$A:$E,5,FALSE),1,0)</f>
        <v>1</v>
      </c>
      <c r="BG52" s="8">
        <f>IF(X52=VLOOKUP(VALUE(X$1),Questions!$A:$E,5,FALSE),1,0)</f>
        <v>1</v>
      </c>
      <c r="BH52" s="8">
        <f>IF(Y52=VLOOKUP(VALUE(Y$1),Questions!$A:$E,5,FALSE),1,0)</f>
        <v>1</v>
      </c>
      <c r="BI52" s="8">
        <f>IF(Z52=VLOOKUP(VALUE(Z$1),Questions!$A:$E,5,FALSE),1,0)</f>
        <v>1</v>
      </c>
      <c r="BJ52" s="8">
        <f>IF(AA52=VLOOKUP(VALUE(AA$1),Questions!$A:$E,5,FALSE),1,0)</f>
        <v>1</v>
      </c>
      <c r="BK52" s="8">
        <f>IF(AB52=VLOOKUP(VALUE(AB$1),Questions!$A:$E,5,FALSE),1,0)</f>
        <v>1</v>
      </c>
      <c r="BL52" s="8">
        <f>IF(AC52=VLOOKUP(VALUE(AC$1),Questions!$A:$E,5,FALSE),1,0)</f>
        <v>1</v>
      </c>
      <c r="BM52" s="8">
        <f>IF(AD52=VLOOKUP(VALUE(AD$1),Questions!$A:$E,5,FALSE),1,0)</f>
        <v>1</v>
      </c>
      <c r="BN52" s="8">
        <f>IF(AE52=VLOOKUP(VALUE(AE$1),Questions!$A:$E,5,FALSE),1,0)</f>
        <v>1</v>
      </c>
      <c r="BO52" s="8">
        <f>IF(AF52=VLOOKUP(VALUE(AF$1),Questions!$A:$E,5,FALSE),1,0)</f>
        <v>1</v>
      </c>
      <c r="BP52" s="8">
        <f>IF(AG52=VLOOKUP(VALUE(AG$1),Questions!$A:$E,5,FALSE),1,0)</f>
        <v>1</v>
      </c>
      <c r="BQ52" s="8">
        <f>IF(AH52=VLOOKUP(VALUE(AH$1),Questions!$A:$E,5,FALSE),1,0)</f>
        <v>0</v>
      </c>
    </row>
    <row r="53" spans="1:69" ht="13" customHeight="1" x14ac:dyDescent="0.15">
      <c r="A53" t="s">
        <v>35</v>
      </c>
      <c r="B53" s="7">
        <v>10</v>
      </c>
      <c r="C53" s="7">
        <v>1</v>
      </c>
      <c r="D53">
        <v>52</v>
      </c>
      <c r="G53" s="8">
        <v>4</v>
      </c>
      <c r="H53" s="8">
        <v>3</v>
      </c>
      <c r="I53" s="8">
        <v>3</v>
      </c>
      <c r="J53" s="8">
        <v>2</v>
      </c>
      <c r="K53" s="8">
        <v>3</v>
      </c>
      <c r="L53" s="8">
        <v>3</v>
      </c>
      <c r="M53" s="8">
        <v>2</v>
      </c>
      <c r="N53" s="8">
        <v>3</v>
      </c>
      <c r="O53" s="8">
        <v>1</v>
      </c>
      <c r="P53" s="8">
        <v>4</v>
      </c>
      <c r="Q53" s="8">
        <v>1</v>
      </c>
      <c r="R53" s="8">
        <v>4</v>
      </c>
      <c r="S53" s="8">
        <v>2</v>
      </c>
      <c r="T53" s="8">
        <v>2</v>
      </c>
      <c r="U53" s="8">
        <v>1</v>
      </c>
      <c r="V53" s="8">
        <v>3</v>
      </c>
      <c r="W53" s="8">
        <v>4</v>
      </c>
      <c r="X53" s="8">
        <v>3</v>
      </c>
      <c r="Y53" s="8">
        <v>1</v>
      </c>
      <c r="Z53" s="8">
        <v>3</v>
      </c>
      <c r="AA53" s="8">
        <v>4</v>
      </c>
      <c r="AB53" s="8">
        <v>2</v>
      </c>
      <c r="AC53" s="8">
        <v>2</v>
      </c>
      <c r="AD53" s="8">
        <v>3</v>
      </c>
      <c r="AE53" s="8">
        <v>2</v>
      </c>
      <c r="AF53" s="8">
        <v>4</v>
      </c>
      <c r="AG53" s="8">
        <v>2</v>
      </c>
      <c r="AH53" s="8">
        <v>3</v>
      </c>
      <c r="AI53" s="8">
        <v>1</v>
      </c>
      <c r="AJ53" s="8">
        <v>1</v>
      </c>
      <c r="AK53" s="8">
        <v>1</v>
      </c>
      <c r="AL53" s="8">
        <v>1</v>
      </c>
      <c r="AM53" s="8">
        <v>1</v>
      </c>
      <c r="AN53" s="8">
        <v>1</v>
      </c>
      <c r="AO53" s="8">
        <v>1</v>
      </c>
      <c r="AP53" s="8">
        <f>IF(G53=VLOOKUP(VALUE(G$1),Questions!$A:$E,5,FALSE),1,0)</f>
        <v>1</v>
      </c>
      <c r="AQ53" s="8">
        <f>IF(H53=VLOOKUP(VALUE(H$1),Questions!$A:$E,5,FALSE),1,0)</f>
        <v>0</v>
      </c>
      <c r="AR53" s="8">
        <f>IF(I53=VLOOKUP(VALUE(I$1),Questions!$A:$E,5,FALSE),1,0)</f>
        <v>1</v>
      </c>
      <c r="AS53" s="8">
        <f>IF(J53=VLOOKUP(VALUE(J$1),Questions!$A:$E,5,FALSE),1,0)</f>
        <v>1</v>
      </c>
      <c r="AT53" s="8">
        <f>IF(K53=VLOOKUP(VALUE(K$1),Questions!$A:$E,5,FALSE),1,0)</f>
        <v>0</v>
      </c>
      <c r="AU53" s="8">
        <f>IF(L53=VLOOKUP(VALUE(L$1),Questions!$A:$E,5,FALSE),1,0)</f>
        <v>1</v>
      </c>
      <c r="AV53" s="8">
        <f>IF(M53=VLOOKUP(VALUE(M$1),Questions!$A:$E,5,FALSE),1,0)</f>
        <v>1</v>
      </c>
      <c r="AW53" s="8">
        <f>IF(N53=VLOOKUP(VALUE(N$1),Questions!$A:$E,5,FALSE),1,0)</f>
        <v>1</v>
      </c>
      <c r="AX53" s="8">
        <f>IF(O53=VLOOKUP(VALUE(O$1),Questions!$A:$E,5,FALSE),1,0)</f>
        <v>1</v>
      </c>
      <c r="AY53" s="8">
        <f>IF(P53=VLOOKUP(VALUE(P$1),Questions!$A:$E,5,FALSE),1,0)</f>
        <v>0</v>
      </c>
      <c r="AZ53" s="8">
        <f>IF(Q53=VLOOKUP(VALUE(Q$1),Questions!$A:$E,5,FALSE),1,0)</f>
        <v>1</v>
      </c>
      <c r="BA53" s="8">
        <f>IF(R53=VLOOKUP(VALUE(R$1),Questions!$A:$E,5,FALSE),1,0)</f>
        <v>1</v>
      </c>
      <c r="BB53" s="8">
        <f>IF(S53=VLOOKUP(VALUE(S$1),Questions!$A:$E,5,FALSE),1,0)</f>
        <v>1</v>
      </c>
      <c r="BC53" s="8">
        <f>IF(T53=VLOOKUP(VALUE(T$1),Questions!$A:$E,5,FALSE),1,0)</f>
        <v>1</v>
      </c>
      <c r="BD53" s="8">
        <f>IF(U53=VLOOKUP(VALUE(U$1),Questions!$A:$E,5,FALSE),1,0)</f>
        <v>0</v>
      </c>
      <c r="BE53" s="8">
        <f>IF(V53=VLOOKUP(VALUE(V$1),Questions!$A:$E,5,FALSE),1,0)</f>
        <v>1</v>
      </c>
      <c r="BF53" s="8">
        <f>IF(W53=VLOOKUP(VALUE(W$1),Questions!$A:$E,5,FALSE),1,0)</f>
        <v>1</v>
      </c>
      <c r="BG53" s="8">
        <f>IF(X53=VLOOKUP(VALUE(X$1),Questions!$A:$E,5,FALSE),1,0)</f>
        <v>1</v>
      </c>
      <c r="BH53" s="8">
        <f>IF(Y53=VLOOKUP(VALUE(Y$1),Questions!$A:$E,5,FALSE),1,0)</f>
        <v>1</v>
      </c>
      <c r="BI53" s="8">
        <f>IF(Z53=VLOOKUP(VALUE(Z$1),Questions!$A:$E,5,FALSE),1,0)</f>
        <v>1</v>
      </c>
      <c r="BJ53" s="8">
        <f>IF(AA53=VLOOKUP(VALUE(AA$1),Questions!$A:$E,5,FALSE),1,0)</f>
        <v>1</v>
      </c>
      <c r="BK53" s="8">
        <f>IF(AB53=VLOOKUP(VALUE(AB$1),Questions!$A:$E,5,FALSE),1,0)</f>
        <v>1</v>
      </c>
      <c r="BL53" s="8">
        <f>IF(AC53=VLOOKUP(VALUE(AC$1),Questions!$A:$E,5,FALSE),1,0)</f>
        <v>1</v>
      </c>
      <c r="BM53" s="8">
        <f>IF(AD53=VLOOKUP(VALUE(AD$1),Questions!$A:$E,5,FALSE),1,0)</f>
        <v>1</v>
      </c>
      <c r="BN53" s="8">
        <f>IF(AE53=VLOOKUP(VALUE(AE$1),Questions!$A:$E,5,FALSE),1,0)</f>
        <v>1</v>
      </c>
      <c r="BO53" s="8">
        <f>IF(AF53=VLOOKUP(VALUE(AF$1),Questions!$A:$E,5,FALSE),1,0)</f>
        <v>1</v>
      </c>
      <c r="BP53" s="8">
        <f>IF(AG53=VLOOKUP(VALUE(AG$1),Questions!$A:$E,5,FALSE),1,0)</f>
        <v>0</v>
      </c>
      <c r="BQ53" s="8">
        <f>IF(AH53=VLOOKUP(VALUE(AH$1),Questions!$A:$E,5,FALSE),1,0)</f>
        <v>0</v>
      </c>
    </row>
    <row r="54" spans="1:69" ht="13" customHeight="1" x14ac:dyDescent="0.15">
      <c r="A54" t="s">
        <v>35</v>
      </c>
      <c r="B54" s="7">
        <v>10</v>
      </c>
      <c r="C54" s="7">
        <v>1</v>
      </c>
      <c r="D54">
        <v>53</v>
      </c>
      <c r="G54" s="8">
        <v>4</v>
      </c>
      <c r="H54" s="8">
        <v>3</v>
      </c>
      <c r="I54" s="8">
        <v>3</v>
      </c>
      <c r="J54" s="8">
        <v>2</v>
      </c>
      <c r="K54" s="8">
        <v>1</v>
      </c>
      <c r="L54" s="8">
        <v>2</v>
      </c>
      <c r="M54" s="8">
        <v>2</v>
      </c>
      <c r="N54" s="8">
        <v>4</v>
      </c>
      <c r="O54" s="8">
        <v>1</v>
      </c>
      <c r="P54" s="8">
        <v>2</v>
      </c>
      <c r="Q54" s="8">
        <v>1</v>
      </c>
      <c r="R54" s="8">
        <v>3</v>
      </c>
      <c r="S54" s="8">
        <v>2</v>
      </c>
      <c r="T54" s="8">
        <v>4</v>
      </c>
      <c r="U54" s="8">
        <v>4</v>
      </c>
      <c r="V54" s="8">
        <v>3</v>
      </c>
      <c r="W54" s="8">
        <v>3</v>
      </c>
      <c r="X54" s="8">
        <v>4</v>
      </c>
      <c r="Y54" s="8">
        <v>3</v>
      </c>
      <c r="Z54" s="8">
        <v>2</v>
      </c>
      <c r="AA54" s="8">
        <v>4</v>
      </c>
      <c r="AB54" s="8">
        <v>2</v>
      </c>
      <c r="AC54" s="8">
        <v>1</v>
      </c>
      <c r="AD54" s="8">
        <v>2</v>
      </c>
      <c r="AE54" s="8">
        <v>3</v>
      </c>
      <c r="AF54" s="8">
        <v>1</v>
      </c>
      <c r="AG54" s="8">
        <v>2</v>
      </c>
      <c r="AI54" s="8">
        <v>0</v>
      </c>
      <c r="AJ54" s="8">
        <v>0</v>
      </c>
      <c r="AL54" s="8">
        <v>1</v>
      </c>
      <c r="AM54" s="8">
        <v>1</v>
      </c>
      <c r="AP54" s="8">
        <f>IF(G54=VLOOKUP(VALUE(G$1),Questions!$A:$E,5,FALSE),1,0)</f>
        <v>1</v>
      </c>
      <c r="AQ54" s="8">
        <f>IF(H54=VLOOKUP(VALUE(H$1),Questions!$A:$E,5,FALSE),1,0)</f>
        <v>0</v>
      </c>
      <c r="AR54" s="8">
        <f>IF(I54=VLOOKUP(VALUE(I$1),Questions!$A:$E,5,FALSE),1,0)</f>
        <v>1</v>
      </c>
      <c r="AS54" s="8">
        <f>IF(J54=VLOOKUP(VALUE(J$1),Questions!$A:$E,5,FALSE),1,0)</f>
        <v>1</v>
      </c>
      <c r="AT54" s="8">
        <f>IF(K54=VLOOKUP(VALUE(K$1),Questions!$A:$E,5,FALSE),1,0)</f>
        <v>1</v>
      </c>
      <c r="AU54" s="8">
        <f>IF(L54=VLOOKUP(VALUE(L$1),Questions!$A:$E,5,FALSE),1,0)</f>
        <v>0</v>
      </c>
      <c r="AV54" s="8">
        <f>IF(M54=VLOOKUP(VALUE(M$1),Questions!$A:$E,5,FALSE),1,0)</f>
        <v>1</v>
      </c>
      <c r="AW54" s="8">
        <f>IF(N54=VLOOKUP(VALUE(N$1),Questions!$A:$E,5,FALSE),1,0)</f>
        <v>0</v>
      </c>
      <c r="AX54" s="8">
        <f>IF(O54=VLOOKUP(VALUE(O$1),Questions!$A:$E,5,FALSE),1,0)</f>
        <v>1</v>
      </c>
      <c r="AY54" s="8">
        <f>IF(P54=VLOOKUP(VALUE(P$1),Questions!$A:$E,5,FALSE),1,0)</f>
        <v>0</v>
      </c>
      <c r="AZ54" s="8">
        <f>IF(Q54=VLOOKUP(VALUE(Q$1),Questions!$A:$E,5,FALSE),1,0)</f>
        <v>1</v>
      </c>
      <c r="BA54" s="8">
        <f>IF(R54=VLOOKUP(VALUE(R$1),Questions!$A:$E,5,FALSE),1,0)</f>
        <v>0</v>
      </c>
      <c r="BB54" s="8">
        <f>IF(S54=VLOOKUP(VALUE(S$1),Questions!$A:$E,5,FALSE),1,0)</f>
        <v>1</v>
      </c>
      <c r="BC54" s="8">
        <f>IF(T54=VLOOKUP(VALUE(T$1),Questions!$A:$E,5,FALSE),1,0)</f>
        <v>0</v>
      </c>
      <c r="BD54" s="8">
        <f>IF(U54=VLOOKUP(VALUE(U$1),Questions!$A:$E,5,FALSE),1,0)</f>
        <v>1</v>
      </c>
      <c r="BE54" s="8">
        <f>IF(V54=VLOOKUP(VALUE(V$1),Questions!$A:$E,5,FALSE),1,0)</f>
        <v>1</v>
      </c>
      <c r="BF54" s="8">
        <f>IF(W54=VLOOKUP(VALUE(W$1),Questions!$A:$E,5,FALSE),1,0)</f>
        <v>0</v>
      </c>
      <c r="BG54" s="8">
        <f>IF(X54=VLOOKUP(VALUE(X$1),Questions!$A:$E,5,FALSE),1,0)</f>
        <v>0</v>
      </c>
      <c r="BH54" s="8">
        <f>IF(Y54=VLOOKUP(VALUE(Y$1),Questions!$A:$E,5,FALSE),1,0)</f>
        <v>0</v>
      </c>
      <c r="BI54" s="8">
        <f>IF(Z54=VLOOKUP(VALUE(Z$1),Questions!$A:$E,5,FALSE),1,0)</f>
        <v>0</v>
      </c>
      <c r="BJ54" s="8">
        <f>IF(AA54=VLOOKUP(VALUE(AA$1),Questions!$A:$E,5,FALSE),1,0)</f>
        <v>1</v>
      </c>
      <c r="BK54" s="8">
        <f>IF(AB54=VLOOKUP(VALUE(AB$1),Questions!$A:$E,5,FALSE),1,0)</f>
        <v>1</v>
      </c>
      <c r="BL54" s="8">
        <f>IF(AC54=VLOOKUP(VALUE(AC$1),Questions!$A:$E,5,FALSE),1,0)</f>
        <v>0</v>
      </c>
      <c r="BM54" s="8">
        <f>IF(AD54=VLOOKUP(VALUE(AD$1),Questions!$A:$E,5,FALSE),1,0)</f>
        <v>0</v>
      </c>
      <c r="BN54" s="8">
        <f>IF(AE54=VLOOKUP(VALUE(AE$1),Questions!$A:$E,5,FALSE),1,0)</f>
        <v>0</v>
      </c>
      <c r="BO54" s="8">
        <f>IF(AF54=VLOOKUP(VALUE(AF$1),Questions!$A:$E,5,FALSE),1,0)</f>
        <v>0</v>
      </c>
      <c r="BP54" s="8">
        <f>IF(AG54=VLOOKUP(VALUE(AG$1),Questions!$A:$E,5,FALSE),1,0)</f>
        <v>0</v>
      </c>
      <c r="BQ54" s="8">
        <f>IF(AH54=VLOOKUP(VALUE(AH$1),Questions!$A:$E,5,FALSE),1,0)</f>
        <v>0</v>
      </c>
    </row>
    <row r="55" spans="1:69" ht="13" customHeight="1" x14ac:dyDescent="0.15">
      <c r="A55" t="s">
        <v>35</v>
      </c>
      <c r="B55" s="7">
        <v>10</v>
      </c>
      <c r="C55" s="7">
        <v>1</v>
      </c>
      <c r="D55">
        <v>54</v>
      </c>
      <c r="G55" s="8">
        <v>1</v>
      </c>
      <c r="H55" s="8">
        <v>3</v>
      </c>
      <c r="I55" s="8">
        <v>3</v>
      </c>
      <c r="J55" s="8">
        <v>2</v>
      </c>
      <c r="K55" s="8">
        <v>1</v>
      </c>
      <c r="L55" s="8">
        <v>1</v>
      </c>
      <c r="M55" s="8">
        <v>4</v>
      </c>
      <c r="N55" s="8">
        <v>3</v>
      </c>
      <c r="O55" s="8">
        <v>1</v>
      </c>
      <c r="P55" s="8">
        <v>3</v>
      </c>
      <c r="Q55" s="8">
        <v>1</v>
      </c>
      <c r="R55" s="8">
        <v>4</v>
      </c>
      <c r="S55" s="8">
        <v>3</v>
      </c>
      <c r="T55" s="8">
        <v>4</v>
      </c>
      <c r="U55" s="8">
        <v>4</v>
      </c>
      <c r="V55" s="8">
        <v>3</v>
      </c>
      <c r="W55" s="8">
        <v>4</v>
      </c>
      <c r="X55" s="8">
        <v>3</v>
      </c>
      <c r="Y55" s="8">
        <v>1</v>
      </c>
      <c r="Z55" s="8">
        <v>3</v>
      </c>
      <c r="AA55" s="8">
        <v>4</v>
      </c>
      <c r="AB55" s="8">
        <v>2</v>
      </c>
      <c r="AC55" s="8">
        <v>4</v>
      </c>
      <c r="AD55" s="8">
        <v>1</v>
      </c>
      <c r="AE55" s="8">
        <v>3</v>
      </c>
      <c r="AF55" s="8">
        <v>4</v>
      </c>
      <c r="AG55" s="8">
        <v>2</v>
      </c>
      <c r="AI55" s="8">
        <v>0</v>
      </c>
      <c r="AJ55" s="8">
        <v>0</v>
      </c>
      <c r="AL55" s="8">
        <v>0</v>
      </c>
      <c r="AP55" s="8">
        <f>IF(G55=VLOOKUP(VALUE(G$1),Questions!$A:$E,5,FALSE),1,0)</f>
        <v>0</v>
      </c>
      <c r="AQ55" s="8">
        <f>IF(H55=VLOOKUP(VALUE(H$1),Questions!$A:$E,5,FALSE),1,0)</f>
        <v>0</v>
      </c>
      <c r="AR55" s="8">
        <f>IF(I55=VLOOKUP(VALUE(I$1),Questions!$A:$E,5,FALSE),1,0)</f>
        <v>1</v>
      </c>
      <c r="AS55" s="8">
        <f>IF(J55=VLOOKUP(VALUE(J$1),Questions!$A:$E,5,FALSE),1,0)</f>
        <v>1</v>
      </c>
      <c r="AT55" s="8">
        <f>IF(K55=VLOOKUP(VALUE(K$1),Questions!$A:$E,5,FALSE),1,0)</f>
        <v>1</v>
      </c>
      <c r="AU55" s="8">
        <f>IF(L55=VLOOKUP(VALUE(L$1),Questions!$A:$E,5,FALSE),1,0)</f>
        <v>0</v>
      </c>
      <c r="AV55" s="8">
        <f>IF(M55=VLOOKUP(VALUE(M$1),Questions!$A:$E,5,FALSE),1,0)</f>
        <v>0</v>
      </c>
      <c r="AW55" s="8">
        <f>IF(N55=VLOOKUP(VALUE(N$1),Questions!$A:$E,5,FALSE),1,0)</f>
        <v>1</v>
      </c>
      <c r="AX55" s="8">
        <f>IF(O55=VLOOKUP(VALUE(O$1),Questions!$A:$E,5,FALSE),1,0)</f>
        <v>1</v>
      </c>
      <c r="AY55" s="8">
        <f>IF(P55=VLOOKUP(VALUE(P$1),Questions!$A:$E,5,FALSE),1,0)</f>
        <v>1</v>
      </c>
      <c r="AZ55" s="8">
        <f>IF(Q55=VLOOKUP(VALUE(Q$1),Questions!$A:$E,5,FALSE),1,0)</f>
        <v>1</v>
      </c>
      <c r="BA55" s="8">
        <f>IF(R55=VLOOKUP(VALUE(R$1),Questions!$A:$E,5,FALSE),1,0)</f>
        <v>1</v>
      </c>
      <c r="BB55" s="8">
        <f>IF(S55=VLOOKUP(VALUE(S$1),Questions!$A:$E,5,FALSE),1,0)</f>
        <v>0</v>
      </c>
      <c r="BC55" s="8">
        <f>IF(T55=VLOOKUP(VALUE(T$1),Questions!$A:$E,5,FALSE),1,0)</f>
        <v>0</v>
      </c>
      <c r="BD55" s="8">
        <f>IF(U55=VLOOKUP(VALUE(U$1),Questions!$A:$E,5,FALSE),1,0)</f>
        <v>1</v>
      </c>
      <c r="BE55" s="8">
        <f>IF(V55=VLOOKUP(VALUE(V$1),Questions!$A:$E,5,FALSE),1,0)</f>
        <v>1</v>
      </c>
      <c r="BF55" s="8">
        <f>IF(W55=VLOOKUP(VALUE(W$1),Questions!$A:$E,5,FALSE),1,0)</f>
        <v>1</v>
      </c>
      <c r="BG55" s="8">
        <f>IF(X55=VLOOKUP(VALUE(X$1),Questions!$A:$E,5,FALSE),1,0)</f>
        <v>1</v>
      </c>
      <c r="BH55" s="8">
        <f>IF(Y55=VLOOKUP(VALUE(Y$1),Questions!$A:$E,5,FALSE),1,0)</f>
        <v>1</v>
      </c>
      <c r="BI55" s="8">
        <f>IF(Z55=VLOOKUP(VALUE(Z$1),Questions!$A:$E,5,FALSE),1,0)</f>
        <v>1</v>
      </c>
      <c r="BJ55" s="8">
        <f>IF(AA55=VLOOKUP(VALUE(AA$1),Questions!$A:$E,5,FALSE),1,0)</f>
        <v>1</v>
      </c>
      <c r="BK55" s="8">
        <f>IF(AB55=VLOOKUP(VALUE(AB$1),Questions!$A:$E,5,FALSE),1,0)</f>
        <v>1</v>
      </c>
      <c r="BL55" s="8">
        <f>IF(AC55=VLOOKUP(VALUE(AC$1),Questions!$A:$E,5,FALSE),1,0)</f>
        <v>0</v>
      </c>
      <c r="BM55" s="8">
        <f>IF(AD55=VLOOKUP(VALUE(AD$1),Questions!$A:$E,5,FALSE),1,0)</f>
        <v>0</v>
      </c>
      <c r="BN55" s="8">
        <f>IF(AE55=VLOOKUP(VALUE(AE$1),Questions!$A:$E,5,FALSE),1,0)</f>
        <v>0</v>
      </c>
      <c r="BO55" s="8">
        <f>IF(AF55=VLOOKUP(VALUE(AF$1),Questions!$A:$E,5,FALSE),1,0)</f>
        <v>1</v>
      </c>
      <c r="BP55" s="8">
        <f>IF(AG55=VLOOKUP(VALUE(AG$1),Questions!$A:$E,5,FALSE),1,0)</f>
        <v>0</v>
      </c>
      <c r="BQ55" s="8">
        <f>IF(AH55=VLOOKUP(VALUE(AH$1),Questions!$A:$E,5,FALSE),1,0)</f>
        <v>0</v>
      </c>
    </row>
    <row r="56" spans="1:69" ht="13" customHeight="1" x14ac:dyDescent="0.15">
      <c r="A56" t="s">
        <v>35</v>
      </c>
      <c r="B56" s="7">
        <v>10</v>
      </c>
      <c r="C56" s="7">
        <v>1</v>
      </c>
      <c r="D56">
        <v>55</v>
      </c>
      <c r="G56" s="8">
        <v>4</v>
      </c>
      <c r="H56" s="8">
        <v>1</v>
      </c>
      <c r="I56" s="8">
        <v>3</v>
      </c>
      <c r="J56" s="8">
        <v>2</v>
      </c>
      <c r="K56" s="8">
        <v>1</v>
      </c>
      <c r="L56" s="8">
        <v>3</v>
      </c>
      <c r="M56" s="8">
        <v>2</v>
      </c>
      <c r="N56" s="8">
        <v>3</v>
      </c>
      <c r="O56" s="8">
        <v>1</v>
      </c>
      <c r="P56" s="8">
        <v>4</v>
      </c>
      <c r="Q56" s="8">
        <v>1</v>
      </c>
      <c r="R56" s="8">
        <v>4</v>
      </c>
      <c r="S56" s="8">
        <v>2</v>
      </c>
      <c r="T56" s="8">
        <v>2</v>
      </c>
      <c r="U56" s="8">
        <v>4</v>
      </c>
      <c r="V56" s="8">
        <v>3</v>
      </c>
      <c r="W56" s="8">
        <v>4</v>
      </c>
      <c r="X56" s="8">
        <v>4</v>
      </c>
      <c r="Y56" s="8">
        <v>1</v>
      </c>
      <c r="Z56" s="8">
        <v>3</v>
      </c>
      <c r="AA56" s="8">
        <v>4</v>
      </c>
      <c r="AB56" s="8">
        <v>2</v>
      </c>
      <c r="AC56" s="8">
        <v>2</v>
      </c>
      <c r="AD56" s="8">
        <v>3</v>
      </c>
      <c r="AE56" s="8">
        <v>1</v>
      </c>
      <c r="AF56" s="8">
        <v>4</v>
      </c>
      <c r="AG56" s="8">
        <v>2</v>
      </c>
      <c r="AH56" s="8">
        <v>2</v>
      </c>
      <c r="AI56" s="8">
        <v>1</v>
      </c>
      <c r="AJ56" s="8">
        <v>1</v>
      </c>
      <c r="AK56" s="8">
        <v>1</v>
      </c>
      <c r="AL56" s="8">
        <v>0</v>
      </c>
      <c r="AM56" s="8">
        <v>1</v>
      </c>
      <c r="AN56" s="8">
        <v>1</v>
      </c>
      <c r="AO56" s="8">
        <v>1</v>
      </c>
      <c r="AP56" s="8">
        <f>IF(G56=VLOOKUP(VALUE(G$1),Questions!$A:$E,5,FALSE),1,0)</f>
        <v>1</v>
      </c>
      <c r="AQ56" s="8">
        <f>IF(H56=VLOOKUP(VALUE(H$1),Questions!$A:$E,5,FALSE),1,0)</f>
        <v>1</v>
      </c>
      <c r="AR56" s="8">
        <f>IF(I56=VLOOKUP(VALUE(I$1),Questions!$A:$E,5,FALSE),1,0)</f>
        <v>1</v>
      </c>
      <c r="AS56" s="8">
        <f>IF(J56=VLOOKUP(VALUE(J$1),Questions!$A:$E,5,FALSE),1,0)</f>
        <v>1</v>
      </c>
      <c r="AT56" s="8">
        <f>IF(K56=VLOOKUP(VALUE(K$1),Questions!$A:$E,5,FALSE),1,0)</f>
        <v>1</v>
      </c>
      <c r="AU56" s="8">
        <f>IF(L56=VLOOKUP(VALUE(L$1),Questions!$A:$E,5,FALSE),1,0)</f>
        <v>1</v>
      </c>
      <c r="AV56" s="8">
        <f>IF(M56=VLOOKUP(VALUE(M$1),Questions!$A:$E,5,FALSE),1,0)</f>
        <v>1</v>
      </c>
      <c r="AW56" s="8">
        <f>IF(N56=VLOOKUP(VALUE(N$1),Questions!$A:$E,5,FALSE),1,0)</f>
        <v>1</v>
      </c>
      <c r="AX56" s="8">
        <f>IF(O56=VLOOKUP(VALUE(O$1),Questions!$A:$E,5,FALSE),1,0)</f>
        <v>1</v>
      </c>
      <c r="AY56" s="8">
        <f>IF(P56=VLOOKUP(VALUE(P$1),Questions!$A:$E,5,FALSE),1,0)</f>
        <v>0</v>
      </c>
      <c r="AZ56" s="8">
        <f>IF(Q56=VLOOKUP(VALUE(Q$1),Questions!$A:$E,5,FALSE),1,0)</f>
        <v>1</v>
      </c>
      <c r="BA56" s="8">
        <f>IF(R56=VLOOKUP(VALUE(R$1),Questions!$A:$E,5,FALSE),1,0)</f>
        <v>1</v>
      </c>
      <c r="BB56" s="8">
        <f>IF(S56=VLOOKUP(VALUE(S$1),Questions!$A:$E,5,FALSE),1,0)</f>
        <v>1</v>
      </c>
      <c r="BC56" s="8">
        <f>IF(T56=VLOOKUP(VALUE(T$1),Questions!$A:$E,5,FALSE),1,0)</f>
        <v>1</v>
      </c>
      <c r="BD56" s="8">
        <f>IF(U56=VLOOKUP(VALUE(U$1),Questions!$A:$E,5,FALSE),1,0)</f>
        <v>1</v>
      </c>
      <c r="BE56" s="8">
        <f>IF(V56=VLOOKUP(VALUE(V$1),Questions!$A:$E,5,FALSE),1,0)</f>
        <v>1</v>
      </c>
      <c r="BF56" s="8">
        <f>IF(W56=VLOOKUP(VALUE(W$1),Questions!$A:$E,5,FALSE),1,0)</f>
        <v>1</v>
      </c>
      <c r="BG56" s="8">
        <f>IF(X56=VLOOKUP(VALUE(X$1),Questions!$A:$E,5,FALSE),1,0)</f>
        <v>0</v>
      </c>
      <c r="BH56" s="8">
        <f>IF(Y56=VLOOKUP(VALUE(Y$1),Questions!$A:$E,5,FALSE),1,0)</f>
        <v>1</v>
      </c>
      <c r="BI56" s="8">
        <f>IF(Z56=VLOOKUP(VALUE(Z$1),Questions!$A:$E,5,FALSE),1,0)</f>
        <v>1</v>
      </c>
      <c r="BJ56" s="8">
        <f>IF(AA56=VLOOKUP(VALUE(AA$1),Questions!$A:$E,5,FALSE),1,0)</f>
        <v>1</v>
      </c>
      <c r="BK56" s="8">
        <f>IF(AB56=VLOOKUP(VALUE(AB$1),Questions!$A:$E,5,FALSE),1,0)</f>
        <v>1</v>
      </c>
      <c r="BL56" s="8">
        <f>IF(AC56=VLOOKUP(VALUE(AC$1),Questions!$A:$E,5,FALSE),1,0)</f>
        <v>1</v>
      </c>
      <c r="BM56" s="8">
        <f>IF(AD56=VLOOKUP(VALUE(AD$1),Questions!$A:$E,5,FALSE),1,0)</f>
        <v>1</v>
      </c>
      <c r="BN56" s="8">
        <f>IF(AE56=VLOOKUP(VALUE(AE$1),Questions!$A:$E,5,FALSE),1,0)</f>
        <v>0</v>
      </c>
      <c r="BO56" s="8">
        <f>IF(AF56=VLOOKUP(VALUE(AF$1),Questions!$A:$E,5,FALSE),1,0)</f>
        <v>1</v>
      </c>
      <c r="BP56" s="8">
        <f>IF(AG56=VLOOKUP(VALUE(AG$1),Questions!$A:$E,5,FALSE),1,0)</f>
        <v>0</v>
      </c>
      <c r="BQ56" s="8">
        <f>IF(AH56=VLOOKUP(VALUE(AH$1),Questions!$A:$E,5,FALSE),1,0)</f>
        <v>1</v>
      </c>
    </row>
    <row r="57" spans="1:69" ht="13" customHeight="1" x14ac:dyDescent="0.15">
      <c r="A57" t="s">
        <v>35</v>
      </c>
      <c r="B57" s="7">
        <v>10</v>
      </c>
      <c r="C57" s="7">
        <v>1</v>
      </c>
      <c r="D57">
        <v>56</v>
      </c>
      <c r="G57" s="8">
        <v>3</v>
      </c>
      <c r="H57" s="8">
        <v>4</v>
      </c>
      <c r="I57" s="8">
        <v>1</v>
      </c>
      <c r="J57" s="8">
        <v>2</v>
      </c>
      <c r="K57" s="8">
        <v>1</v>
      </c>
      <c r="L57" s="8">
        <v>3</v>
      </c>
      <c r="M57" s="8">
        <v>2</v>
      </c>
      <c r="N57" s="8">
        <v>3</v>
      </c>
      <c r="O57" s="8">
        <v>1</v>
      </c>
      <c r="P57" s="8">
        <v>4</v>
      </c>
      <c r="Q57" s="8">
        <v>1</v>
      </c>
      <c r="R57" s="8">
        <v>4</v>
      </c>
      <c r="S57" s="8">
        <v>4</v>
      </c>
      <c r="T57" s="8">
        <v>2</v>
      </c>
      <c r="U57" s="8">
        <v>4</v>
      </c>
      <c r="V57" s="8">
        <v>3</v>
      </c>
      <c r="W57" s="8">
        <v>2</v>
      </c>
      <c r="X57" s="8">
        <v>2</v>
      </c>
      <c r="Y57" s="8">
        <v>1</v>
      </c>
      <c r="Z57" s="8">
        <v>3</v>
      </c>
      <c r="AA57" s="8">
        <v>4</v>
      </c>
      <c r="AB57" s="8">
        <v>4</v>
      </c>
      <c r="AC57" s="8">
        <v>3</v>
      </c>
      <c r="AD57" s="8">
        <v>3</v>
      </c>
      <c r="AE57" s="8">
        <v>2</v>
      </c>
      <c r="AF57" s="8">
        <v>1</v>
      </c>
      <c r="AG57" s="8">
        <v>2</v>
      </c>
      <c r="AH57" s="8">
        <v>2</v>
      </c>
      <c r="AI57" s="8">
        <v>0</v>
      </c>
      <c r="AJ57" s="8">
        <v>0</v>
      </c>
      <c r="AK57" s="8">
        <v>1</v>
      </c>
      <c r="AL57" s="8">
        <v>0</v>
      </c>
      <c r="AM57" s="8">
        <v>1</v>
      </c>
      <c r="AN57" s="8">
        <v>1</v>
      </c>
      <c r="AO57" s="8">
        <v>0</v>
      </c>
      <c r="AP57" s="8">
        <f>IF(G57=VLOOKUP(VALUE(G$1),Questions!$A:$E,5,FALSE),1,0)</f>
        <v>0</v>
      </c>
      <c r="AQ57" s="8">
        <f>IF(H57=VLOOKUP(VALUE(H$1),Questions!$A:$E,5,FALSE),1,0)</f>
        <v>0</v>
      </c>
      <c r="AR57" s="8">
        <f>IF(I57=VLOOKUP(VALUE(I$1),Questions!$A:$E,5,FALSE),1,0)</f>
        <v>0</v>
      </c>
      <c r="AS57" s="8">
        <f>IF(J57=VLOOKUP(VALUE(J$1),Questions!$A:$E,5,FALSE),1,0)</f>
        <v>1</v>
      </c>
      <c r="AT57" s="8">
        <f>IF(K57=VLOOKUP(VALUE(K$1),Questions!$A:$E,5,FALSE),1,0)</f>
        <v>1</v>
      </c>
      <c r="AU57" s="8">
        <f>IF(L57=VLOOKUP(VALUE(L$1),Questions!$A:$E,5,FALSE),1,0)</f>
        <v>1</v>
      </c>
      <c r="AV57" s="8">
        <f>IF(M57=VLOOKUP(VALUE(M$1),Questions!$A:$E,5,FALSE),1,0)</f>
        <v>1</v>
      </c>
      <c r="AW57" s="8">
        <f>IF(N57=VLOOKUP(VALUE(N$1),Questions!$A:$E,5,FALSE),1,0)</f>
        <v>1</v>
      </c>
      <c r="AX57" s="8">
        <f>IF(O57=VLOOKUP(VALUE(O$1),Questions!$A:$E,5,FALSE),1,0)</f>
        <v>1</v>
      </c>
      <c r="AY57" s="8">
        <f>IF(P57=VLOOKUP(VALUE(P$1),Questions!$A:$E,5,FALSE),1,0)</f>
        <v>0</v>
      </c>
      <c r="AZ57" s="8">
        <f>IF(Q57=VLOOKUP(VALUE(Q$1),Questions!$A:$E,5,FALSE),1,0)</f>
        <v>1</v>
      </c>
      <c r="BA57" s="8">
        <f>IF(R57=VLOOKUP(VALUE(R$1),Questions!$A:$E,5,FALSE),1,0)</f>
        <v>1</v>
      </c>
      <c r="BB57" s="8">
        <f>IF(S57=VLOOKUP(VALUE(S$1),Questions!$A:$E,5,FALSE),1,0)</f>
        <v>0</v>
      </c>
      <c r="BC57" s="8">
        <f>IF(T57=VLOOKUP(VALUE(T$1),Questions!$A:$E,5,FALSE),1,0)</f>
        <v>1</v>
      </c>
      <c r="BD57" s="8">
        <f>IF(U57=VLOOKUP(VALUE(U$1),Questions!$A:$E,5,FALSE),1,0)</f>
        <v>1</v>
      </c>
      <c r="BE57" s="8">
        <f>IF(V57=VLOOKUP(VALUE(V$1),Questions!$A:$E,5,FALSE),1,0)</f>
        <v>1</v>
      </c>
      <c r="BF57" s="8">
        <f>IF(W57=VLOOKUP(VALUE(W$1),Questions!$A:$E,5,FALSE),1,0)</f>
        <v>0</v>
      </c>
      <c r="BG57" s="8">
        <f>IF(X57=VLOOKUP(VALUE(X$1),Questions!$A:$E,5,FALSE),1,0)</f>
        <v>0</v>
      </c>
      <c r="BH57" s="8">
        <f>IF(Y57=VLOOKUP(VALUE(Y$1),Questions!$A:$E,5,FALSE),1,0)</f>
        <v>1</v>
      </c>
      <c r="BI57" s="8">
        <f>IF(Z57=VLOOKUP(VALUE(Z$1),Questions!$A:$E,5,FALSE),1,0)</f>
        <v>1</v>
      </c>
      <c r="BJ57" s="8">
        <f>IF(AA57=VLOOKUP(VALUE(AA$1),Questions!$A:$E,5,FALSE),1,0)</f>
        <v>1</v>
      </c>
      <c r="BK57" s="8">
        <f>IF(AB57=VLOOKUP(VALUE(AB$1),Questions!$A:$E,5,FALSE),1,0)</f>
        <v>0</v>
      </c>
      <c r="BL57" s="8">
        <f>IF(AC57=VLOOKUP(VALUE(AC$1),Questions!$A:$E,5,FALSE),1,0)</f>
        <v>0</v>
      </c>
      <c r="BM57" s="8">
        <f>IF(AD57=VLOOKUP(VALUE(AD$1),Questions!$A:$E,5,FALSE),1,0)</f>
        <v>1</v>
      </c>
      <c r="BN57" s="8">
        <f>IF(AE57=VLOOKUP(VALUE(AE$1),Questions!$A:$E,5,FALSE),1,0)</f>
        <v>1</v>
      </c>
      <c r="BO57" s="8">
        <f>IF(AF57=VLOOKUP(VALUE(AF$1),Questions!$A:$E,5,FALSE),1,0)</f>
        <v>0</v>
      </c>
      <c r="BP57" s="8">
        <f>IF(AG57=VLOOKUP(VALUE(AG$1),Questions!$A:$E,5,FALSE),1,0)</f>
        <v>0</v>
      </c>
      <c r="BQ57" s="8">
        <f>IF(AH57=VLOOKUP(VALUE(AH$1),Questions!$A:$E,5,FALSE),1,0)</f>
        <v>1</v>
      </c>
    </row>
    <row r="58" spans="1:69" ht="13" customHeight="1" x14ac:dyDescent="0.15">
      <c r="A58" t="s">
        <v>35</v>
      </c>
      <c r="B58" s="7">
        <v>10</v>
      </c>
      <c r="C58" s="7">
        <v>8</v>
      </c>
      <c r="D58">
        <v>57</v>
      </c>
      <c r="G58" s="8">
        <v>2</v>
      </c>
      <c r="H58" s="8">
        <v>1</v>
      </c>
      <c r="I58" s="8">
        <v>3</v>
      </c>
      <c r="J58" s="8">
        <v>2</v>
      </c>
      <c r="K58" s="8">
        <v>1</v>
      </c>
      <c r="L58" s="8">
        <v>3</v>
      </c>
      <c r="M58" s="8">
        <v>2</v>
      </c>
      <c r="N58" s="8">
        <v>3</v>
      </c>
      <c r="O58" s="8">
        <v>1</v>
      </c>
      <c r="P58" s="8">
        <v>3</v>
      </c>
      <c r="Q58" s="8">
        <v>1</v>
      </c>
      <c r="R58" s="8">
        <v>4</v>
      </c>
      <c r="S58" s="8">
        <v>2</v>
      </c>
      <c r="T58" s="8">
        <v>2</v>
      </c>
      <c r="U58" s="8">
        <v>4</v>
      </c>
      <c r="V58" s="8">
        <v>3</v>
      </c>
      <c r="W58" s="8">
        <v>4</v>
      </c>
      <c r="X58" s="8">
        <v>3</v>
      </c>
      <c r="Y58" s="8">
        <v>1</v>
      </c>
      <c r="Z58" s="8">
        <v>3</v>
      </c>
      <c r="AA58" s="8">
        <v>4</v>
      </c>
      <c r="AB58" s="8">
        <v>2</v>
      </c>
      <c r="AC58" s="8">
        <v>3</v>
      </c>
      <c r="AD58" s="8">
        <v>3</v>
      </c>
      <c r="AE58" s="8">
        <v>2</v>
      </c>
      <c r="AF58" s="8">
        <v>4</v>
      </c>
      <c r="AG58" s="8">
        <v>4</v>
      </c>
      <c r="AH58" s="8">
        <v>2</v>
      </c>
      <c r="AI58" s="8">
        <v>0</v>
      </c>
      <c r="AJ58" s="8">
        <v>0</v>
      </c>
      <c r="AK58" s="8">
        <v>0</v>
      </c>
      <c r="AL58" s="8">
        <v>0</v>
      </c>
      <c r="AP58" s="8">
        <f>IF(G58=VLOOKUP(VALUE(G$1),Questions!$A:$E,5,FALSE),1,0)</f>
        <v>0</v>
      </c>
      <c r="AQ58" s="8">
        <f>IF(H58=VLOOKUP(VALUE(H$1),Questions!$A:$E,5,FALSE),1,0)</f>
        <v>1</v>
      </c>
      <c r="AR58" s="8">
        <f>IF(I58=VLOOKUP(VALUE(I$1),Questions!$A:$E,5,FALSE),1,0)</f>
        <v>1</v>
      </c>
      <c r="AS58" s="8">
        <f>IF(J58=VLOOKUP(VALUE(J$1),Questions!$A:$E,5,FALSE),1,0)</f>
        <v>1</v>
      </c>
      <c r="AT58" s="8">
        <f>IF(K58=VLOOKUP(VALUE(K$1),Questions!$A:$E,5,FALSE),1,0)</f>
        <v>1</v>
      </c>
      <c r="AU58" s="8">
        <f>IF(L58=VLOOKUP(VALUE(L$1),Questions!$A:$E,5,FALSE),1,0)</f>
        <v>1</v>
      </c>
      <c r="AV58" s="8">
        <f>IF(M58=VLOOKUP(VALUE(M$1),Questions!$A:$E,5,FALSE),1,0)</f>
        <v>1</v>
      </c>
      <c r="AW58" s="8">
        <f>IF(N58=VLOOKUP(VALUE(N$1),Questions!$A:$E,5,FALSE),1,0)</f>
        <v>1</v>
      </c>
      <c r="AX58" s="8">
        <f>IF(O58=VLOOKUP(VALUE(O$1),Questions!$A:$E,5,FALSE),1,0)</f>
        <v>1</v>
      </c>
      <c r="AY58" s="8">
        <f>IF(P58=VLOOKUP(VALUE(P$1),Questions!$A:$E,5,FALSE),1,0)</f>
        <v>1</v>
      </c>
      <c r="AZ58" s="8">
        <f>IF(Q58=VLOOKUP(VALUE(Q$1),Questions!$A:$E,5,FALSE),1,0)</f>
        <v>1</v>
      </c>
      <c r="BA58" s="8">
        <f>IF(R58=VLOOKUP(VALUE(R$1),Questions!$A:$E,5,FALSE),1,0)</f>
        <v>1</v>
      </c>
      <c r="BB58" s="8">
        <f>IF(S58=VLOOKUP(VALUE(S$1),Questions!$A:$E,5,FALSE),1,0)</f>
        <v>1</v>
      </c>
      <c r="BC58" s="8">
        <f>IF(T58=VLOOKUP(VALUE(T$1),Questions!$A:$E,5,FALSE),1,0)</f>
        <v>1</v>
      </c>
      <c r="BD58" s="8">
        <f>IF(U58=VLOOKUP(VALUE(U$1),Questions!$A:$E,5,FALSE),1,0)</f>
        <v>1</v>
      </c>
      <c r="BE58" s="8">
        <f>IF(V58=VLOOKUP(VALUE(V$1),Questions!$A:$E,5,FALSE),1,0)</f>
        <v>1</v>
      </c>
      <c r="BF58" s="8">
        <f>IF(W58=VLOOKUP(VALUE(W$1),Questions!$A:$E,5,FALSE),1,0)</f>
        <v>1</v>
      </c>
      <c r="BG58" s="8">
        <f>IF(X58=VLOOKUP(VALUE(X$1),Questions!$A:$E,5,FALSE),1,0)</f>
        <v>1</v>
      </c>
      <c r="BH58" s="8">
        <f>IF(Y58=VLOOKUP(VALUE(Y$1),Questions!$A:$E,5,FALSE),1,0)</f>
        <v>1</v>
      </c>
      <c r="BI58" s="8">
        <f>IF(Z58=VLOOKUP(VALUE(Z$1),Questions!$A:$E,5,FALSE),1,0)</f>
        <v>1</v>
      </c>
      <c r="BJ58" s="8">
        <f>IF(AA58=VLOOKUP(VALUE(AA$1),Questions!$A:$E,5,FALSE),1,0)</f>
        <v>1</v>
      </c>
      <c r="BK58" s="8">
        <f>IF(AB58=VLOOKUP(VALUE(AB$1),Questions!$A:$E,5,FALSE),1,0)</f>
        <v>1</v>
      </c>
      <c r="BL58" s="8">
        <f>IF(AC58=VLOOKUP(VALUE(AC$1),Questions!$A:$E,5,FALSE),1,0)</f>
        <v>0</v>
      </c>
      <c r="BM58" s="8">
        <f>IF(AD58=VLOOKUP(VALUE(AD$1),Questions!$A:$E,5,FALSE),1,0)</f>
        <v>1</v>
      </c>
      <c r="BN58" s="8">
        <f>IF(AE58=VLOOKUP(VALUE(AE$1),Questions!$A:$E,5,FALSE),1,0)</f>
        <v>1</v>
      </c>
      <c r="BO58" s="8">
        <f>IF(AF58=VLOOKUP(VALUE(AF$1),Questions!$A:$E,5,FALSE),1,0)</f>
        <v>1</v>
      </c>
      <c r="BP58" s="8">
        <f>IF(AG58=VLOOKUP(VALUE(AG$1),Questions!$A:$E,5,FALSE),1,0)</f>
        <v>0</v>
      </c>
      <c r="BQ58" s="8">
        <f>IF(AH58=VLOOKUP(VALUE(AH$1),Questions!$A:$E,5,FALSE),1,0)</f>
        <v>1</v>
      </c>
    </row>
    <row r="59" spans="1:69" ht="13" customHeight="1" x14ac:dyDescent="0.15">
      <c r="A59" t="s">
        <v>35</v>
      </c>
      <c r="B59" s="7">
        <v>10</v>
      </c>
      <c r="C59" s="7">
        <v>8</v>
      </c>
      <c r="D59">
        <v>58</v>
      </c>
      <c r="G59" s="8">
        <v>4</v>
      </c>
      <c r="H59" s="8">
        <v>1</v>
      </c>
      <c r="I59" s="8">
        <v>3</v>
      </c>
      <c r="J59" s="8">
        <v>2</v>
      </c>
      <c r="K59" s="8">
        <v>1</v>
      </c>
      <c r="L59" s="8">
        <v>4</v>
      </c>
      <c r="M59" s="8">
        <v>3</v>
      </c>
      <c r="N59" s="8">
        <v>2</v>
      </c>
      <c r="O59" s="8">
        <v>3</v>
      </c>
      <c r="P59" s="8">
        <v>2</v>
      </c>
      <c r="Q59" s="8">
        <v>2</v>
      </c>
      <c r="R59" s="8">
        <v>3</v>
      </c>
      <c r="S59" s="8">
        <v>1</v>
      </c>
      <c r="T59" s="8">
        <v>3</v>
      </c>
      <c r="U59" s="8">
        <v>1</v>
      </c>
      <c r="V59" s="8">
        <v>3</v>
      </c>
      <c r="W59" s="8">
        <v>4</v>
      </c>
      <c r="X59" s="8">
        <v>1</v>
      </c>
      <c r="Y59" s="8">
        <v>2</v>
      </c>
      <c r="Z59" s="8">
        <v>3</v>
      </c>
      <c r="AA59" s="8">
        <v>2</v>
      </c>
      <c r="AB59" s="8">
        <v>4</v>
      </c>
      <c r="AC59" s="8">
        <v>1</v>
      </c>
      <c r="AD59" s="8">
        <v>2</v>
      </c>
      <c r="AE59" s="8">
        <v>2</v>
      </c>
      <c r="AF59" s="8">
        <v>1</v>
      </c>
      <c r="AG59" s="8">
        <v>3</v>
      </c>
      <c r="AH59" s="8">
        <v>2</v>
      </c>
      <c r="AI59" s="8">
        <v>0</v>
      </c>
      <c r="AJ59" s="8">
        <v>0</v>
      </c>
      <c r="AL59" s="8">
        <v>0</v>
      </c>
      <c r="AM59" s="8">
        <v>0</v>
      </c>
      <c r="AP59" s="8">
        <f>IF(G59=VLOOKUP(VALUE(G$1),Questions!$A:$E,5,FALSE),1,0)</f>
        <v>1</v>
      </c>
      <c r="AQ59" s="8">
        <f>IF(H59=VLOOKUP(VALUE(H$1),Questions!$A:$E,5,FALSE),1,0)</f>
        <v>1</v>
      </c>
      <c r="AR59" s="8">
        <f>IF(I59=VLOOKUP(VALUE(I$1),Questions!$A:$E,5,FALSE),1,0)</f>
        <v>1</v>
      </c>
      <c r="AS59" s="8">
        <f>IF(J59=VLOOKUP(VALUE(J$1),Questions!$A:$E,5,FALSE),1,0)</f>
        <v>1</v>
      </c>
      <c r="AT59" s="8">
        <f>IF(K59=VLOOKUP(VALUE(K$1),Questions!$A:$E,5,FALSE),1,0)</f>
        <v>1</v>
      </c>
      <c r="AU59" s="8">
        <f>IF(L59=VLOOKUP(VALUE(L$1),Questions!$A:$E,5,FALSE),1,0)</f>
        <v>0</v>
      </c>
      <c r="AV59" s="8">
        <f>IF(M59=VLOOKUP(VALUE(M$1),Questions!$A:$E,5,FALSE),1,0)</f>
        <v>0</v>
      </c>
      <c r="AW59" s="8">
        <f>IF(N59=VLOOKUP(VALUE(N$1),Questions!$A:$E,5,FALSE),1,0)</f>
        <v>0</v>
      </c>
      <c r="AX59" s="8">
        <f>IF(O59=VLOOKUP(VALUE(O$1),Questions!$A:$E,5,FALSE),1,0)</f>
        <v>0</v>
      </c>
      <c r="AY59" s="8">
        <f>IF(P59=VLOOKUP(VALUE(P$1),Questions!$A:$E,5,FALSE),1,0)</f>
        <v>0</v>
      </c>
      <c r="AZ59" s="8">
        <f>IF(Q59=VLOOKUP(VALUE(Q$1),Questions!$A:$E,5,FALSE),1,0)</f>
        <v>0</v>
      </c>
      <c r="BA59" s="8">
        <f>IF(R59=VLOOKUP(VALUE(R$1),Questions!$A:$E,5,FALSE),1,0)</f>
        <v>0</v>
      </c>
      <c r="BB59" s="8">
        <f>IF(S59=VLOOKUP(VALUE(S$1),Questions!$A:$E,5,FALSE),1,0)</f>
        <v>0</v>
      </c>
      <c r="BC59" s="8">
        <f>IF(T59=VLOOKUP(VALUE(T$1),Questions!$A:$E,5,FALSE),1,0)</f>
        <v>0</v>
      </c>
      <c r="BD59" s="8">
        <f>IF(U59=VLOOKUP(VALUE(U$1),Questions!$A:$E,5,FALSE),1,0)</f>
        <v>0</v>
      </c>
      <c r="BE59" s="8">
        <f>IF(V59=VLOOKUP(VALUE(V$1),Questions!$A:$E,5,FALSE),1,0)</f>
        <v>1</v>
      </c>
      <c r="BF59" s="8">
        <f>IF(W59=VLOOKUP(VALUE(W$1),Questions!$A:$E,5,FALSE),1,0)</f>
        <v>1</v>
      </c>
      <c r="BG59" s="8">
        <f>IF(X59=VLOOKUP(VALUE(X$1),Questions!$A:$E,5,FALSE),1,0)</f>
        <v>0</v>
      </c>
      <c r="BH59" s="8">
        <f>IF(Y59=VLOOKUP(VALUE(Y$1),Questions!$A:$E,5,FALSE),1,0)</f>
        <v>0</v>
      </c>
      <c r="BI59" s="8">
        <f>IF(Z59=VLOOKUP(VALUE(Z$1),Questions!$A:$E,5,FALSE),1,0)</f>
        <v>1</v>
      </c>
      <c r="BJ59" s="8">
        <f>IF(AA59=VLOOKUP(VALUE(AA$1),Questions!$A:$E,5,FALSE),1,0)</f>
        <v>0</v>
      </c>
      <c r="BK59" s="8">
        <f>IF(AB59=VLOOKUP(VALUE(AB$1),Questions!$A:$E,5,FALSE),1,0)</f>
        <v>0</v>
      </c>
      <c r="BL59" s="8">
        <f>IF(AC59=VLOOKUP(VALUE(AC$1),Questions!$A:$E,5,FALSE),1,0)</f>
        <v>0</v>
      </c>
      <c r="BM59" s="8">
        <f>IF(AD59=VLOOKUP(VALUE(AD$1),Questions!$A:$E,5,FALSE),1,0)</f>
        <v>0</v>
      </c>
      <c r="BN59" s="8">
        <f>IF(AE59=VLOOKUP(VALUE(AE$1),Questions!$A:$E,5,FALSE),1,0)</f>
        <v>1</v>
      </c>
      <c r="BO59" s="8">
        <f>IF(AF59=VLOOKUP(VALUE(AF$1),Questions!$A:$E,5,FALSE),1,0)</f>
        <v>0</v>
      </c>
      <c r="BP59" s="8">
        <f>IF(AG59=VLOOKUP(VALUE(AG$1),Questions!$A:$E,5,FALSE),1,0)</f>
        <v>0</v>
      </c>
      <c r="BQ59" s="8">
        <f>IF(AH59=VLOOKUP(VALUE(AH$1),Questions!$A:$E,5,FALSE),1,0)</f>
        <v>1</v>
      </c>
    </row>
    <row r="60" spans="1:69" ht="13" customHeight="1" x14ac:dyDescent="0.15">
      <c r="A60" t="s">
        <v>35</v>
      </c>
      <c r="B60" s="7">
        <v>10</v>
      </c>
      <c r="C60" s="7">
        <v>8</v>
      </c>
      <c r="D60">
        <v>59</v>
      </c>
      <c r="G60" s="8">
        <v>4</v>
      </c>
      <c r="H60" s="8">
        <v>1</v>
      </c>
      <c r="I60" s="8">
        <v>3</v>
      </c>
      <c r="J60" s="8">
        <v>2</v>
      </c>
      <c r="K60" s="8">
        <v>1</v>
      </c>
      <c r="L60" s="8">
        <v>3</v>
      </c>
      <c r="M60" s="8">
        <v>2</v>
      </c>
      <c r="N60" s="8">
        <v>3</v>
      </c>
      <c r="O60" s="8">
        <v>1</v>
      </c>
      <c r="P60" s="8">
        <v>3</v>
      </c>
      <c r="Q60" s="8">
        <v>1</v>
      </c>
      <c r="R60" s="8">
        <v>4</v>
      </c>
      <c r="S60" s="8">
        <v>2</v>
      </c>
      <c r="T60" s="8">
        <v>2</v>
      </c>
      <c r="U60" s="8">
        <v>4</v>
      </c>
      <c r="V60" s="8">
        <v>3</v>
      </c>
      <c r="W60" s="8">
        <v>4</v>
      </c>
      <c r="X60" s="8">
        <v>3</v>
      </c>
      <c r="Y60" s="8">
        <v>1</v>
      </c>
      <c r="Z60" s="8">
        <v>3</v>
      </c>
      <c r="AA60" s="8">
        <v>4</v>
      </c>
      <c r="AB60" s="8">
        <v>2</v>
      </c>
      <c r="AC60" s="8">
        <v>3</v>
      </c>
      <c r="AD60" s="8">
        <v>3</v>
      </c>
      <c r="AE60" s="8">
        <v>2</v>
      </c>
      <c r="AF60" s="8">
        <v>1</v>
      </c>
      <c r="AG60" s="8">
        <v>1</v>
      </c>
      <c r="AH60" s="8">
        <v>2</v>
      </c>
      <c r="AI60" s="8">
        <v>1</v>
      </c>
      <c r="AJ60" s="8">
        <v>1</v>
      </c>
      <c r="AK60" s="8">
        <v>1</v>
      </c>
      <c r="AL60" s="8">
        <v>1</v>
      </c>
      <c r="AM60" s="8">
        <v>1</v>
      </c>
      <c r="AN60" s="8">
        <v>1</v>
      </c>
      <c r="AO60" s="8">
        <v>1</v>
      </c>
      <c r="AP60" s="8">
        <f>IF(G60=VLOOKUP(VALUE(G$1),Questions!$A:$E,5,FALSE),1,0)</f>
        <v>1</v>
      </c>
      <c r="AQ60" s="8">
        <f>IF(H60=VLOOKUP(VALUE(H$1),Questions!$A:$E,5,FALSE),1,0)</f>
        <v>1</v>
      </c>
      <c r="AR60" s="8">
        <f>IF(I60=VLOOKUP(VALUE(I$1),Questions!$A:$E,5,FALSE),1,0)</f>
        <v>1</v>
      </c>
      <c r="AS60" s="8">
        <f>IF(J60=VLOOKUP(VALUE(J$1),Questions!$A:$E,5,FALSE),1,0)</f>
        <v>1</v>
      </c>
      <c r="AT60" s="8">
        <f>IF(K60=VLOOKUP(VALUE(K$1),Questions!$A:$E,5,FALSE),1,0)</f>
        <v>1</v>
      </c>
      <c r="AU60" s="8">
        <f>IF(L60=VLOOKUP(VALUE(L$1),Questions!$A:$E,5,FALSE),1,0)</f>
        <v>1</v>
      </c>
      <c r="AV60" s="8">
        <f>IF(M60=VLOOKUP(VALUE(M$1),Questions!$A:$E,5,FALSE),1,0)</f>
        <v>1</v>
      </c>
      <c r="AW60" s="8">
        <f>IF(N60=VLOOKUP(VALUE(N$1),Questions!$A:$E,5,FALSE),1,0)</f>
        <v>1</v>
      </c>
      <c r="AX60" s="8">
        <f>IF(O60=VLOOKUP(VALUE(O$1),Questions!$A:$E,5,FALSE),1,0)</f>
        <v>1</v>
      </c>
      <c r="AY60" s="8">
        <f>IF(P60=VLOOKUP(VALUE(P$1),Questions!$A:$E,5,FALSE),1,0)</f>
        <v>1</v>
      </c>
      <c r="AZ60" s="8">
        <f>IF(Q60=VLOOKUP(VALUE(Q$1),Questions!$A:$E,5,FALSE),1,0)</f>
        <v>1</v>
      </c>
      <c r="BA60" s="8">
        <f>IF(R60=VLOOKUP(VALUE(R$1),Questions!$A:$E,5,FALSE),1,0)</f>
        <v>1</v>
      </c>
      <c r="BB60" s="8">
        <f>IF(S60=VLOOKUP(VALUE(S$1),Questions!$A:$E,5,FALSE),1,0)</f>
        <v>1</v>
      </c>
      <c r="BC60" s="8">
        <f>IF(T60=VLOOKUP(VALUE(T$1),Questions!$A:$E,5,FALSE),1,0)</f>
        <v>1</v>
      </c>
      <c r="BD60" s="8">
        <f>IF(U60=VLOOKUP(VALUE(U$1),Questions!$A:$E,5,FALSE),1,0)</f>
        <v>1</v>
      </c>
      <c r="BE60" s="8">
        <f>IF(V60=VLOOKUP(VALUE(V$1),Questions!$A:$E,5,FALSE),1,0)</f>
        <v>1</v>
      </c>
      <c r="BF60" s="8">
        <f>IF(W60=VLOOKUP(VALUE(W$1),Questions!$A:$E,5,FALSE),1,0)</f>
        <v>1</v>
      </c>
      <c r="BG60" s="8">
        <f>IF(X60=VLOOKUP(VALUE(X$1),Questions!$A:$E,5,FALSE),1,0)</f>
        <v>1</v>
      </c>
      <c r="BH60" s="8">
        <f>IF(Y60=VLOOKUP(VALUE(Y$1),Questions!$A:$E,5,FALSE),1,0)</f>
        <v>1</v>
      </c>
      <c r="BI60" s="8">
        <f>IF(Z60=VLOOKUP(VALUE(Z$1),Questions!$A:$E,5,FALSE),1,0)</f>
        <v>1</v>
      </c>
      <c r="BJ60" s="8">
        <f>IF(AA60=VLOOKUP(VALUE(AA$1),Questions!$A:$E,5,FALSE),1,0)</f>
        <v>1</v>
      </c>
      <c r="BK60" s="8">
        <f>IF(AB60=VLOOKUP(VALUE(AB$1),Questions!$A:$E,5,FALSE),1,0)</f>
        <v>1</v>
      </c>
      <c r="BL60" s="8">
        <f>IF(AC60=VLOOKUP(VALUE(AC$1),Questions!$A:$E,5,FALSE),1,0)</f>
        <v>0</v>
      </c>
      <c r="BM60" s="8">
        <f>IF(AD60=VLOOKUP(VALUE(AD$1),Questions!$A:$E,5,FALSE),1,0)</f>
        <v>1</v>
      </c>
      <c r="BN60" s="8">
        <f>IF(AE60=VLOOKUP(VALUE(AE$1),Questions!$A:$E,5,FALSE),1,0)</f>
        <v>1</v>
      </c>
      <c r="BO60" s="8">
        <f>IF(AF60=VLOOKUP(VALUE(AF$1),Questions!$A:$E,5,FALSE),1,0)</f>
        <v>0</v>
      </c>
      <c r="BP60" s="8">
        <f>IF(AG60=VLOOKUP(VALUE(AG$1),Questions!$A:$E,5,FALSE),1,0)</f>
        <v>1</v>
      </c>
      <c r="BQ60" s="8">
        <f>IF(AH60=VLOOKUP(VALUE(AH$1),Questions!$A:$E,5,FALSE),1,0)</f>
        <v>1</v>
      </c>
    </row>
    <row r="61" spans="1:69" ht="13" customHeight="1" x14ac:dyDescent="0.15">
      <c r="A61" t="s">
        <v>35</v>
      </c>
      <c r="B61" s="7">
        <v>10</v>
      </c>
      <c r="C61" s="7">
        <v>8</v>
      </c>
      <c r="D61">
        <v>60</v>
      </c>
      <c r="G61" s="8">
        <v>4</v>
      </c>
      <c r="H61" s="8">
        <v>1</v>
      </c>
      <c r="I61" s="8">
        <v>3</v>
      </c>
      <c r="J61" s="8">
        <v>2</v>
      </c>
      <c r="K61" s="8">
        <v>4</v>
      </c>
      <c r="L61" s="8">
        <v>3</v>
      </c>
      <c r="M61" s="8">
        <v>2</v>
      </c>
      <c r="N61" s="8">
        <v>3</v>
      </c>
      <c r="O61" s="8">
        <v>1</v>
      </c>
      <c r="P61" s="8">
        <v>4</v>
      </c>
      <c r="Q61" s="8">
        <v>1</v>
      </c>
      <c r="R61" s="8">
        <v>4</v>
      </c>
      <c r="S61" s="8">
        <v>2</v>
      </c>
      <c r="T61" s="8">
        <v>2</v>
      </c>
      <c r="U61" s="8">
        <v>4</v>
      </c>
      <c r="V61" s="8">
        <v>1</v>
      </c>
      <c r="W61" s="8">
        <v>4</v>
      </c>
      <c r="X61" s="8">
        <v>3</v>
      </c>
      <c r="Y61" s="8">
        <v>1</v>
      </c>
      <c r="Z61" s="8">
        <v>3</v>
      </c>
      <c r="AA61" s="8">
        <v>4</v>
      </c>
      <c r="AB61" s="8">
        <v>2</v>
      </c>
      <c r="AC61" s="8">
        <v>2</v>
      </c>
      <c r="AD61" s="8">
        <v>3</v>
      </c>
      <c r="AE61" s="8">
        <v>2</v>
      </c>
      <c r="AF61" s="8">
        <v>4</v>
      </c>
      <c r="AG61" s="8">
        <v>1</v>
      </c>
      <c r="AH61" s="8">
        <v>2</v>
      </c>
      <c r="AP61" s="8">
        <f>IF(G61=VLOOKUP(VALUE(G$1),Questions!$A:$E,5,FALSE),1,0)</f>
        <v>1</v>
      </c>
      <c r="AQ61" s="8">
        <f>IF(H61=VLOOKUP(VALUE(H$1),Questions!$A:$E,5,FALSE),1,0)</f>
        <v>1</v>
      </c>
      <c r="AR61" s="8">
        <f>IF(I61=VLOOKUP(VALUE(I$1),Questions!$A:$E,5,FALSE),1,0)</f>
        <v>1</v>
      </c>
      <c r="AS61" s="8">
        <f>IF(J61=VLOOKUP(VALUE(J$1),Questions!$A:$E,5,FALSE),1,0)</f>
        <v>1</v>
      </c>
      <c r="AT61" s="8">
        <f>IF(K61=VLOOKUP(VALUE(K$1),Questions!$A:$E,5,FALSE),1,0)</f>
        <v>0</v>
      </c>
      <c r="AU61" s="8">
        <f>IF(L61=VLOOKUP(VALUE(L$1),Questions!$A:$E,5,FALSE),1,0)</f>
        <v>1</v>
      </c>
      <c r="AV61" s="8">
        <f>IF(M61=VLOOKUP(VALUE(M$1),Questions!$A:$E,5,FALSE),1,0)</f>
        <v>1</v>
      </c>
      <c r="AW61" s="8">
        <f>IF(N61=VLOOKUP(VALUE(N$1),Questions!$A:$E,5,FALSE),1,0)</f>
        <v>1</v>
      </c>
      <c r="AX61" s="8">
        <f>IF(O61=VLOOKUP(VALUE(O$1),Questions!$A:$E,5,FALSE),1,0)</f>
        <v>1</v>
      </c>
      <c r="AY61" s="8">
        <f>IF(P61=VLOOKUP(VALUE(P$1),Questions!$A:$E,5,FALSE),1,0)</f>
        <v>0</v>
      </c>
      <c r="AZ61" s="8">
        <f>IF(Q61=VLOOKUP(VALUE(Q$1),Questions!$A:$E,5,FALSE),1,0)</f>
        <v>1</v>
      </c>
      <c r="BA61" s="8">
        <f>IF(R61=VLOOKUP(VALUE(R$1),Questions!$A:$E,5,FALSE),1,0)</f>
        <v>1</v>
      </c>
      <c r="BB61" s="8">
        <f>IF(S61=VLOOKUP(VALUE(S$1),Questions!$A:$E,5,FALSE),1,0)</f>
        <v>1</v>
      </c>
      <c r="BC61" s="8">
        <f>IF(T61=VLOOKUP(VALUE(T$1),Questions!$A:$E,5,FALSE),1,0)</f>
        <v>1</v>
      </c>
      <c r="BD61" s="8">
        <f>IF(U61=VLOOKUP(VALUE(U$1),Questions!$A:$E,5,FALSE),1,0)</f>
        <v>1</v>
      </c>
      <c r="BE61" s="8">
        <f>IF(V61=VLOOKUP(VALUE(V$1),Questions!$A:$E,5,FALSE),1,0)</f>
        <v>0</v>
      </c>
      <c r="BF61" s="8">
        <f>IF(W61=VLOOKUP(VALUE(W$1),Questions!$A:$E,5,FALSE),1,0)</f>
        <v>1</v>
      </c>
      <c r="BG61" s="8">
        <f>IF(X61=VLOOKUP(VALUE(X$1),Questions!$A:$E,5,FALSE),1,0)</f>
        <v>1</v>
      </c>
      <c r="BH61" s="8">
        <f>IF(Y61=VLOOKUP(VALUE(Y$1),Questions!$A:$E,5,FALSE),1,0)</f>
        <v>1</v>
      </c>
      <c r="BI61" s="8">
        <f>IF(Z61=VLOOKUP(VALUE(Z$1),Questions!$A:$E,5,FALSE),1,0)</f>
        <v>1</v>
      </c>
      <c r="BJ61" s="8">
        <f>IF(AA61=VLOOKUP(VALUE(AA$1),Questions!$A:$E,5,FALSE),1,0)</f>
        <v>1</v>
      </c>
      <c r="BK61" s="8">
        <f>IF(AB61=VLOOKUP(VALUE(AB$1),Questions!$A:$E,5,FALSE),1,0)</f>
        <v>1</v>
      </c>
      <c r="BL61" s="8">
        <f>IF(AC61=VLOOKUP(VALUE(AC$1),Questions!$A:$E,5,FALSE),1,0)</f>
        <v>1</v>
      </c>
      <c r="BM61" s="8">
        <f>IF(AD61=VLOOKUP(VALUE(AD$1),Questions!$A:$E,5,FALSE),1,0)</f>
        <v>1</v>
      </c>
      <c r="BN61" s="8">
        <f>IF(AE61=VLOOKUP(VALUE(AE$1),Questions!$A:$E,5,FALSE),1,0)</f>
        <v>1</v>
      </c>
      <c r="BO61" s="8">
        <f>IF(AF61=VLOOKUP(VALUE(AF$1),Questions!$A:$E,5,FALSE),1,0)</f>
        <v>1</v>
      </c>
      <c r="BP61" s="8">
        <f>IF(AG61=VLOOKUP(VALUE(AG$1),Questions!$A:$E,5,FALSE),1,0)</f>
        <v>1</v>
      </c>
      <c r="BQ61" s="8">
        <f>IF(AH61=VLOOKUP(VALUE(AH$1),Questions!$A:$E,5,FALSE),1,0)</f>
        <v>1</v>
      </c>
    </row>
    <row r="62" spans="1:69" ht="13" customHeight="1" x14ac:dyDescent="0.15">
      <c r="A62" t="s">
        <v>35</v>
      </c>
      <c r="B62" s="7">
        <v>10</v>
      </c>
      <c r="C62" s="7">
        <v>8</v>
      </c>
      <c r="D62">
        <v>61</v>
      </c>
      <c r="F62" s="8" t="s">
        <v>783</v>
      </c>
      <c r="G62" s="8">
        <v>2</v>
      </c>
      <c r="H62" s="8">
        <v>3</v>
      </c>
      <c r="I62" s="8">
        <v>3</v>
      </c>
      <c r="J62" s="8">
        <v>2</v>
      </c>
      <c r="K62" s="8">
        <v>1</v>
      </c>
      <c r="L62" s="8">
        <v>3</v>
      </c>
      <c r="M62" s="8">
        <v>2</v>
      </c>
      <c r="N62" s="8">
        <v>3</v>
      </c>
      <c r="O62" s="8">
        <v>1</v>
      </c>
      <c r="P62" s="8">
        <v>3</v>
      </c>
      <c r="Q62" s="8">
        <v>1</v>
      </c>
      <c r="R62" s="8">
        <v>2</v>
      </c>
      <c r="S62" s="8">
        <v>2</v>
      </c>
      <c r="T62" s="8">
        <v>2</v>
      </c>
      <c r="U62" s="8">
        <v>4</v>
      </c>
      <c r="V62" s="8">
        <v>4</v>
      </c>
      <c r="W62" s="8">
        <v>4</v>
      </c>
      <c r="X62" s="8">
        <v>3</v>
      </c>
      <c r="Y62" s="8">
        <v>1</v>
      </c>
      <c r="Z62" s="8">
        <v>3</v>
      </c>
      <c r="AA62" s="8">
        <v>4</v>
      </c>
      <c r="AB62" s="8">
        <v>2</v>
      </c>
      <c r="AC62" s="8">
        <v>3</v>
      </c>
      <c r="AD62" s="8">
        <v>3</v>
      </c>
      <c r="AE62" s="8">
        <v>1</v>
      </c>
      <c r="AF62" s="8">
        <v>4</v>
      </c>
      <c r="AG62" s="8">
        <v>2</v>
      </c>
      <c r="AH62" s="8">
        <v>1</v>
      </c>
      <c r="AI62" s="8">
        <v>0</v>
      </c>
      <c r="AJ62" s="8">
        <v>0</v>
      </c>
      <c r="AK62" s="8">
        <v>0</v>
      </c>
      <c r="AL62" s="8">
        <v>0</v>
      </c>
      <c r="AM62" s="8">
        <v>1</v>
      </c>
      <c r="AN62" s="8">
        <v>0</v>
      </c>
      <c r="AO62" s="8">
        <v>0</v>
      </c>
      <c r="AP62" s="8">
        <f>IF(G62=VLOOKUP(VALUE(G$1),Questions!$A:$E,5,FALSE),1,0)</f>
        <v>0</v>
      </c>
      <c r="AQ62" s="8">
        <f>IF(H62=VLOOKUP(VALUE(H$1),Questions!$A:$E,5,FALSE),1,0)</f>
        <v>0</v>
      </c>
      <c r="AR62" s="8">
        <f>IF(I62=VLOOKUP(VALUE(I$1),Questions!$A:$E,5,FALSE),1,0)</f>
        <v>1</v>
      </c>
      <c r="AS62" s="8">
        <f>IF(J62=VLOOKUP(VALUE(J$1),Questions!$A:$E,5,FALSE),1,0)</f>
        <v>1</v>
      </c>
      <c r="AT62" s="8">
        <f>IF(K62=VLOOKUP(VALUE(K$1),Questions!$A:$E,5,FALSE),1,0)</f>
        <v>1</v>
      </c>
      <c r="AU62" s="8">
        <f>IF(L62=VLOOKUP(VALUE(L$1),Questions!$A:$E,5,FALSE),1,0)</f>
        <v>1</v>
      </c>
      <c r="AV62" s="8">
        <f>IF(M62=VLOOKUP(VALUE(M$1),Questions!$A:$E,5,FALSE),1,0)</f>
        <v>1</v>
      </c>
      <c r="AW62" s="8">
        <f>IF(N62=VLOOKUP(VALUE(N$1),Questions!$A:$E,5,FALSE),1,0)</f>
        <v>1</v>
      </c>
      <c r="AX62" s="8">
        <f>IF(O62=VLOOKUP(VALUE(O$1),Questions!$A:$E,5,FALSE),1,0)</f>
        <v>1</v>
      </c>
      <c r="AY62" s="8">
        <f>IF(P62=VLOOKUP(VALUE(P$1),Questions!$A:$E,5,FALSE),1,0)</f>
        <v>1</v>
      </c>
      <c r="AZ62" s="8">
        <f>IF(Q62=VLOOKUP(VALUE(Q$1),Questions!$A:$E,5,FALSE),1,0)</f>
        <v>1</v>
      </c>
      <c r="BA62" s="8">
        <f>IF(R62=VLOOKUP(VALUE(R$1),Questions!$A:$E,5,FALSE),1,0)</f>
        <v>0</v>
      </c>
      <c r="BB62" s="8">
        <f>IF(S62=VLOOKUP(VALUE(S$1),Questions!$A:$E,5,FALSE),1,0)</f>
        <v>1</v>
      </c>
      <c r="BC62" s="8">
        <f>IF(T62=VLOOKUP(VALUE(T$1),Questions!$A:$E,5,FALSE),1,0)</f>
        <v>1</v>
      </c>
      <c r="BD62" s="8">
        <f>IF(U62=VLOOKUP(VALUE(U$1),Questions!$A:$E,5,FALSE),1,0)</f>
        <v>1</v>
      </c>
      <c r="BE62" s="8">
        <f>IF(V62=VLOOKUP(VALUE(V$1),Questions!$A:$E,5,FALSE),1,0)</f>
        <v>0</v>
      </c>
      <c r="BF62" s="8">
        <f>IF(W62=VLOOKUP(VALUE(W$1),Questions!$A:$E,5,FALSE),1,0)</f>
        <v>1</v>
      </c>
      <c r="BG62" s="8">
        <f>IF(X62=VLOOKUP(VALUE(X$1),Questions!$A:$E,5,FALSE),1,0)</f>
        <v>1</v>
      </c>
      <c r="BH62" s="8">
        <f>IF(Y62=VLOOKUP(VALUE(Y$1),Questions!$A:$E,5,FALSE),1,0)</f>
        <v>1</v>
      </c>
      <c r="BI62" s="8">
        <f>IF(Z62=VLOOKUP(VALUE(Z$1),Questions!$A:$E,5,FALSE),1,0)</f>
        <v>1</v>
      </c>
      <c r="BJ62" s="8">
        <f>IF(AA62=VLOOKUP(VALUE(AA$1),Questions!$A:$E,5,FALSE),1,0)</f>
        <v>1</v>
      </c>
      <c r="BK62" s="8">
        <f>IF(AB62=VLOOKUP(VALUE(AB$1),Questions!$A:$E,5,FALSE),1,0)</f>
        <v>1</v>
      </c>
      <c r="BL62" s="8">
        <f>IF(AC62=VLOOKUP(VALUE(AC$1),Questions!$A:$E,5,FALSE),1,0)</f>
        <v>0</v>
      </c>
      <c r="BM62" s="8">
        <f>IF(AD62=VLOOKUP(VALUE(AD$1),Questions!$A:$E,5,FALSE),1,0)</f>
        <v>1</v>
      </c>
      <c r="BN62" s="8">
        <f>IF(AE62=VLOOKUP(VALUE(AE$1),Questions!$A:$E,5,FALSE),1,0)</f>
        <v>0</v>
      </c>
      <c r="BO62" s="8">
        <f>IF(AF62=VLOOKUP(VALUE(AF$1),Questions!$A:$E,5,FALSE),1,0)</f>
        <v>1</v>
      </c>
      <c r="BP62" s="8">
        <f>IF(AG62=VLOOKUP(VALUE(AG$1),Questions!$A:$E,5,FALSE),1,0)</f>
        <v>0</v>
      </c>
      <c r="BQ62" s="8">
        <f>IF(AH62=VLOOKUP(VALUE(AH$1),Questions!$A:$E,5,FALSE),1,0)</f>
        <v>0</v>
      </c>
    </row>
    <row r="63" spans="1:69" ht="13" customHeight="1" x14ac:dyDescent="0.15">
      <c r="A63" t="s">
        <v>35</v>
      </c>
      <c r="B63" s="7">
        <v>10</v>
      </c>
      <c r="C63" s="7">
        <v>8</v>
      </c>
      <c r="D63">
        <v>62</v>
      </c>
      <c r="G63" s="8">
        <v>1</v>
      </c>
      <c r="H63" s="8">
        <v>1</v>
      </c>
      <c r="I63" s="8">
        <v>3</v>
      </c>
      <c r="J63" s="8">
        <v>2</v>
      </c>
      <c r="K63" s="8">
        <v>4</v>
      </c>
      <c r="L63" s="8">
        <v>3</v>
      </c>
      <c r="M63" s="8">
        <v>4</v>
      </c>
      <c r="N63" s="8">
        <v>3</v>
      </c>
      <c r="O63" s="8">
        <v>1</v>
      </c>
      <c r="P63" s="8">
        <v>4</v>
      </c>
      <c r="Q63" s="8">
        <v>1</v>
      </c>
      <c r="R63" s="8">
        <v>4</v>
      </c>
      <c r="S63" s="8">
        <v>2</v>
      </c>
      <c r="T63" s="8">
        <v>4</v>
      </c>
      <c r="U63" s="8">
        <v>4</v>
      </c>
      <c r="V63" s="8">
        <v>3</v>
      </c>
      <c r="W63" s="8">
        <v>4</v>
      </c>
      <c r="X63" s="8">
        <v>3</v>
      </c>
      <c r="Y63" s="8">
        <v>1</v>
      </c>
      <c r="Z63" s="8">
        <v>3</v>
      </c>
      <c r="AA63" s="8">
        <v>4</v>
      </c>
      <c r="AB63" s="8">
        <v>2</v>
      </c>
      <c r="AC63" s="8">
        <v>1</v>
      </c>
      <c r="AD63" s="8">
        <v>3</v>
      </c>
      <c r="AE63" s="8">
        <v>1</v>
      </c>
      <c r="AF63" s="8">
        <v>4</v>
      </c>
      <c r="AG63" s="8">
        <v>2</v>
      </c>
      <c r="AH63" s="8">
        <v>1</v>
      </c>
      <c r="AI63" s="8">
        <v>1</v>
      </c>
      <c r="AJ63" s="8">
        <v>0</v>
      </c>
      <c r="AK63" s="8">
        <v>1</v>
      </c>
      <c r="AL63" s="8">
        <v>1</v>
      </c>
      <c r="AM63" s="8">
        <v>1</v>
      </c>
      <c r="AN63" s="8">
        <v>1</v>
      </c>
      <c r="AO63" s="8">
        <v>1</v>
      </c>
      <c r="AP63" s="8">
        <f>IF(G63=VLOOKUP(VALUE(G$1),Questions!$A:$E,5,FALSE),1,0)</f>
        <v>0</v>
      </c>
      <c r="AQ63" s="8">
        <f>IF(H63=VLOOKUP(VALUE(H$1),Questions!$A:$E,5,FALSE),1,0)</f>
        <v>1</v>
      </c>
      <c r="AR63" s="8">
        <f>IF(I63=VLOOKUP(VALUE(I$1),Questions!$A:$E,5,FALSE),1,0)</f>
        <v>1</v>
      </c>
      <c r="AS63" s="8">
        <f>IF(J63=VLOOKUP(VALUE(J$1),Questions!$A:$E,5,FALSE),1,0)</f>
        <v>1</v>
      </c>
      <c r="AT63" s="8">
        <f>IF(K63=VLOOKUP(VALUE(K$1),Questions!$A:$E,5,FALSE),1,0)</f>
        <v>0</v>
      </c>
      <c r="AU63" s="8">
        <f>IF(L63=VLOOKUP(VALUE(L$1),Questions!$A:$E,5,FALSE),1,0)</f>
        <v>1</v>
      </c>
      <c r="AV63" s="8">
        <f>IF(M63=VLOOKUP(VALUE(M$1),Questions!$A:$E,5,FALSE),1,0)</f>
        <v>0</v>
      </c>
      <c r="AW63" s="8">
        <f>IF(N63=VLOOKUP(VALUE(N$1),Questions!$A:$E,5,FALSE),1,0)</f>
        <v>1</v>
      </c>
      <c r="AX63" s="8">
        <f>IF(O63=VLOOKUP(VALUE(O$1),Questions!$A:$E,5,FALSE),1,0)</f>
        <v>1</v>
      </c>
      <c r="AY63" s="8">
        <f>IF(P63=VLOOKUP(VALUE(P$1),Questions!$A:$E,5,FALSE),1,0)</f>
        <v>0</v>
      </c>
      <c r="AZ63" s="8">
        <f>IF(Q63=VLOOKUP(VALUE(Q$1),Questions!$A:$E,5,FALSE),1,0)</f>
        <v>1</v>
      </c>
      <c r="BA63" s="8">
        <f>IF(R63=VLOOKUP(VALUE(R$1),Questions!$A:$E,5,FALSE),1,0)</f>
        <v>1</v>
      </c>
      <c r="BB63" s="8">
        <f>IF(S63=VLOOKUP(VALUE(S$1),Questions!$A:$E,5,FALSE),1,0)</f>
        <v>1</v>
      </c>
      <c r="BC63" s="8">
        <f>IF(T63=VLOOKUP(VALUE(T$1),Questions!$A:$E,5,FALSE),1,0)</f>
        <v>0</v>
      </c>
      <c r="BD63" s="8">
        <f>IF(U63=VLOOKUP(VALUE(U$1),Questions!$A:$E,5,FALSE),1,0)</f>
        <v>1</v>
      </c>
      <c r="BE63" s="8">
        <f>IF(V63=VLOOKUP(VALUE(V$1),Questions!$A:$E,5,FALSE),1,0)</f>
        <v>1</v>
      </c>
      <c r="BF63" s="8">
        <f>IF(W63=VLOOKUP(VALUE(W$1),Questions!$A:$E,5,FALSE),1,0)</f>
        <v>1</v>
      </c>
      <c r="BG63" s="8">
        <f>IF(X63=VLOOKUP(VALUE(X$1),Questions!$A:$E,5,FALSE),1,0)</f>
        <v>1</v>
      </c>
      <c r="BH63" s="8">
        <f>IF(Y63=VLOOKUP(VALUE(Y$1),Questions!$A:$E,5,FALSE),1,0)</f>
        <v>1</v>
      </c>
      <c r="BI63" s="8">
        <f>IF(Z63=VLOOKUP(VALUE(Z$1),Questions!$A:$E,5,FALSE),1,0)</f>
        <v>1</v>
      </c>
      <c r="BJ63" s="8">
        <f>IF(AA63=VLOOKUP(VALUE(AA$1),Questions!$A:$E,5,FALSE),1,0)</f>
        <v>1</v>
      </c>
      <c r="BK63" s="8">
        <f>IF(AB63=VLOOKUP(VALUE(AB$1),Questions!$A:$E,5,FALSE),1,0)</f>
        <v>1</v>
      </c>
      <c r="BL63" s="8">
        <f>IF(AC63=VLOOKUP(VALUE(AC$1),Questions!$A:$E,5,FALSE),1,0)</f>
        <v>0</v>
      </c>
      <c r="BM63" s="8">
        <f>IF(AD63=VLOOKUP(VALUE(AD$1),Questions!$A:$E,5,FALSE),1,0)</f>
        <v>1</v>
      </c>
      <c r="BN63" s="8">
        <f>IF(AE63=VLOOKUP(VALUE(AE$1),Questions!$A:$E,5,FALSE),1,0)</f>
        <v>0</v>
      </c>
      <c r="BO63" s="8">
        <f>IF(AF63=VLOOKUP(VALUE(AF$1),Questions!$A:$E,5,FALSE),1,0)</f>
        <v>1</v>
      </c>
      <c r="BP63" s="8">
        <f>IF(AG63=VLOOKUP(VALUE(AG$1),Questions!$A:$E,5,FALSE),1,0)</f>
        <v>0</v>
      </c>
      <c r="BQ63" s="8">
        <f>IF(AH63=VLOOKUP(VALUE(AH$1),Questions!$A:$E,5,FALSE),1,0)</f>
        <v>0</v>
      </c>
    </row>
    <row r="64" spans="1:69" ht="13" customHeight="1" x14ac:dyDescent="0.15">
      <c r="A64" t="s">
        <v>35</v>
      </c>
      <c r="B64" s="7">
        <v>10</v>
      </c>
      <c r="C64" s="7">
        <v>8</v>
      </c>
      <c r="D64">
        <v>63</v>
      </c>
      <c r="G64" s="8">
        <v>4</v>
      </c>
      <c r="H64" s="8">
        <v>1</v>
      </c>
      <c r="I64" s="8">
        <v>3</v>
      </c>
      <c r="J64" s="8">
        <v>2</v>
      </c>
      <c r="K64" s="8">
        <v>1</v>
      </c>
      <c r="L64" s="8">
        <v>3</v>
      </c>
      <c r="M64" s="8">
        <v>2</v>
      </c>
      <c r="N64" s="8">
        <v>3</v>
      </c>
      <c r="O64" s="8">
        <v>1</v>
      </c>
      <c r="P64" s="8">
        <v>3</v>
      </c>
      <c r="Q64" s="8">
        <v>3</v>
      </c>
      <c r="R64" s="8">
        <v>4</v>
      </c>
      <c r="S64" s="8">
        <v>2</v>
      </c>
      <c r="T64" s="8">
        <v>2</v>
      </c>
      <c r="U64" s="8">
        <v>4</v>
      </c>
      <c r="V64" s="8">
        <v>3</v>
      </c>
      <c r="W64" s="8">
        <v>4</v>
      </c>
      <c r="X64" s="8">
        <v>3</v>
      </c>
      <c r="Y64" s="8">
        <v>1</v>
      </c>
      <c r="Z64" s="8">
        <v>3</v>
      </c>
      <c r="AA64" s="8">
        <v>4</v>
      </c>
      <c r="AB64" s="8">
        <v>2</v>
      </c>
      <c r="AC64" s="8">
        <v>3</v>
      </c>
      <c r="AD64" s="8">
        <v>3</v>
      </c>
      <c r="AE64" s="8">
        <v>2</v>
      </c>
      <c r="AF64" s="8">
        <v>4</v>
      </c>
      <c r="AG64" s="8">
        <v>1</v>
      </c>
      <c r="AH64" s="8">
        <v>2</v>
      </c>
      <c r="AI64" s="8">
        <v>1</v>
      </c>
      <c r="AJ64" s="8">
        <v>1</v>
      </c>
      <c r="AK64" s="8">
        <v>0</v>
      </c>
      <c r="AL64" s="8">
        <v>1</v>
      </c>
      <c r="AM64" s="8">
        <v>1</v>
      </c>
      <c r="AP64" s="8">
        <f>IF(G64=VLOOKUP(VALUE(G$1),Questions!$A:$E,5,FALSE),1,0)</f>
        <v>1</v>
      </c>
      <c r="AQ64" s="8">
        <f>IF(H64=VLOOKUP(VALUE(H$1),Questions!$A:$E,5,FALSE),1,0)</f>
        <v>1</v>
      </c>
      <c r="AR64" s="8">
        <f>IF(I64=VLOOKUP(VALUE(I$1),Questions!$A:$E,5,FALSE),1,0)</f>
        <v>1</v>
      </c>
      <c r="AS64" s="8">
        <f>IF(J64=VLOOKUP(VALUE(J$1),Questions!$A:$E,5,FALSE),1,0)</f>
        <v>1</v>
      </c>
      <c r="AT64" s="8">
        <f>IF(K64=VLOOKUP(VALUE(K$1),Questions!$A:$E,5,FALSE),1,0)</f>
        <v>1</v>
      </c>
      <c r="AU64" s="8">
        <f>IF(L64=VLOOKUP(VALUE(L$1),Questions!$A:$E,5,FALSE),1,0)</f>
        <v>1</v>
      </c>
      <c r="AV64" s="8">
        <f>IF(M64=VLOOKUP(VALUE(M$1),Questions!$A:$E,5,FALSE),1,0)</f>
        <v>1</v>
      </c>
      <c r="AW64" s="8">
        <f>IF(N64=VLOOKUP(VALUE(N$1),Questions!$A:$E,5,FALSE),1,0)</f>
        <v>1</v>
      </c>
      <c r="AX64" s="8">
        <f>IF(O64=VLOOKUP(VALUE(O$1),Questions!$A:$E,5,FALSE),1,0)</f>
        <v>1</v>
      </c>
      <c r="AY64" s="8">
        <f>IF(P64=VLOOKUP(VALUE(P$1),Questions!$A:$E,5,FALSE),1,0)</f>
        <v>1</v>
      </c>
      <c r="AZ64" s="8">
        <f>IF(Q64=VLOOKUP(VALUE(Q$1),Questions!$A:$E,5,FALSE),1,0)</f>
        <v>0</v>
      </c>
      <c r="BA64" s="8">
        <f>IF(R64=VLOOKUP(VALUE(R$1),Questions!$A:$E,5,FALSE),1,0)</f>
        <v>1</v>
      </c>
      <c r="BB64" s="8">
        <f>IF(S64=VLOOKUP(VALUE(S$1),Questions!$A:$E,5,FALSE),1,0)</f>
        <v>1</v>
      </c>
      <c r="BC64" s="8">
        <f>IF(T64=VLOOKUP(VALUE(T$1),Questions!$A:$E,5,FALSE),1,0)</f>
        <v>1</v>
      </c>
      <c r="BD64" s="8">
        <f>IF(U64=VLOOKUP(VALUE(U$1),Questions!$A:$E,5,FALSE),1,0)</f>
        <v>1</v>
      </c>
      <c r="BE64" s="8">
        <f>IF(V64=VLOOKUP(VALUE(V$1),Questions!$A:$E,5,FALSE),1,0)</f>
        <v>1</v>
      </c>
      <c r="BF64" s="8">
        <f>IF(W64=VLOOKUP(VALUE(W$1),Questions!$A:$E,5,FALSE),1,0)</f>
        <v>1</v>
      </c>
      <c r="BG64" s="8">
        <f>IF(X64=VLOOKUP(VALUE(X$1),Questions!$A:$E,5,FALSE),1,0)</f>
        <v>1</v>
      </c>
      <c r="BH64" s="8">
        <f>IF(Y64=VLOOKUP(VALUE(Y$1),Questions!$A:$E,5,FALSE),1,0)</f>
        <v>1</v>
      </c>
      <c r="BI64" s="8">
        <f>IF(Z64=VLOOKUP(VALUE(Z$1),Questions!$A:$E,5,FALSE),1,0)</f>
        <v>1</v>
      </c>
      <c r="BJ64" s="8">
        <f>IF(AA64=VLOOKUP(VALUE(AA$1),Questions!$A:$E,5,FALSE),1,0)</f>
        <v>1</v>
      </c>
      <c r="BK64" s="8">
        <f>IF(AB64=VLOOKUP(VALUE(AB$1),Questions!$A:$E,5,FALSE),1,0)</f>
        <v>1</v>
      </c>
      <c r="BL64" s="8">
        <f>IF(AC64=VLOOKUP(VALUE(AC$1),Questions!$A:$E,5,FALSE),1,0)</f>
        <v>0</v>
      </c>
      <c r="BM64" s="8">
        <f>IF(AD64=VLOOKUP(VALUE(AD$1),Questions!$A:$E,5,FALSE),1,0)</f>
        <v>1</v>
      </c>
      <c r="BN64" s="8">
        <f>IF(AE64=VLOOKUP(VALUE(AE$1),Questions!$A:$E,5,FALSE),1,0)</f>
        <v>1</v>
      </c>
      <c r="BO64" s="8">
        <f>IF(AF64=VLOOKUP(VALUE(AF$1),Questions!$A:$E,5,FALSE),1,0)</f>
        <v>1</v>
      </c>
      <c r="BP64" s="8">
        <f>IF(AG64=VLOOKUP(VALUE(AG$1),Questions!$A:$E,5,FALSE),1,0)</f>
        <v>1</v>
      </c>
      <c r="BQ64" s="8">
        <f>IF(AH64=VLOOKUP(VALUE(AH$1),Questions!$A:$E,5,FALSE),1,0)</f>
        <v>1</v>
      </c>
    </row>
    <row r="65" spans="1:69" ht="13" customHeight="1" x14ac:dyDescent="0.15">
      <c r="A65" t="s">
        <v>35</v>
      </c>
      <c r="B65" s="7">
        <v>10</v>
      </c>
      <c r="C65" s="7">
        <v>8</v>
      </c>
      <c r="D65">
        <v>64</v>
      </c>
      <c r="G65" s="8">
        <v>4</v>
      </c>
      <c r="H65" s="8">
        <v>1</v>
      </c>
      <c r="I65" s="8">
        <v>3</v>
      </c>
      <c r="J65" s="8">
        <v>2</v>
      </c>
      <c r="K65" s="8">
        <v>1</v>
      </c>
      <c r="L65" s="8">
        <v>3</v>
      </c>
      <c r="M65" s="8">
        <v>2</v>
      </c>
      <c r="N65" s="8">
        <v>3</v>
      </c>
      <c r="O65" s="8">
        <v>1</v>
      </c>
      <c r="P65" s="8">
        <v>3</v>
      </c>
      <c r="Q65" s="8">
        <v>1</v>
      </c>
      <c r="R65" s="8">
        <v>4</v>
      </c>
      <c r="S65" s="8">
        <v>2</v>
      </c>
      <c r="T65" s="8">
        <v>2</v>
      </c>
      <c r="U65" s="8">
        <v>4</v>
      </c>
      <c r="V65" s="8">
        <v>4</v>
      </c>
      <c r="W65" s="8">
        <v>4</v>
      </c>
      <c r="X65" s="8">
        <v>3</v>
      </c>
      <c r="Y65" s="8">
        <v>1</v>
      </c>
      <c r="Z65" s="8">
        <v>3</v>
      </c>
      <c r="AA65" s="8">
        <v>4</v>
      </c>
      <c r="AB65" s="8">
        <v>2</v>
      </c>
      <c r="AC65" s="8">
        <v>3</v>
      </c>
      <c r="AD65" s="8">
        <v>3</v>
      </c>
      <c r="AE65" s="8">
        <v>1</v>
      </c>
      <c r="AF65" s="8">
        <v>4</v>
      </c>
      <c r="AG65" s="8">
        <v>2</v>
      </c>
      <c r="AH65" s="8">
        <v>1</v>
      </c>
      <c r="AI65" s="8">
        <v>1</v>
      </c>
      <c r="AJ65" s="8">
        <v>1</v>
      </c>
      <c r="AK65" s="8">
        <v>1</v>
      </c>
      <c r="AL65" s="8">
        <v>1</v>
      </c>
      <c r="AM65" s="8">
        <v>1</v>
      </c>
      <c r="AN65" s="8">
        <v>1</v>
      </c>
      <c r="AO65" s="8">
        <v>1</v>
      </c>
      <c r="AP65" s="8">
        <f>IF(G65=VLOOKUP(VALUE(G$1),Questions!$A:$E,5,FALSE),1,0)</f>
        <v>1</v>
      </c>
      <c r="AQ65" s="8">
        <f>IF(H65=VLOOKUP(VALUE(H$1),Questions!$A:$E,5,FALSE),1,0)</f>
        <v>1</v>
      </c>
      <c r="AR65" s="8">
        <f>IF(I65=VLOOKUP(VALUE(I$1),Questions!$A:$E,5,FALSE),1,0)</f>
        <v>1</v>
      </c>
      <c r="AS65" s="8">
        <f>IF(J65=VLOOKUP(VALUE(J$1),Questions!$A:$E,5,FALSE),1,0)</f>
        <v>1</v>
      </c>
      <c r="AT65" s="8">
        <f>IF(K65=VLOOKUP(VALUE(K$1),Questions!$A:$E,5,FALSE),1,0)</f>
        <v>1</v>
      </c>
      <c r="AU65" s="8">
        <f>IF(L65=VLOOKUP(VALUE(L$1),Questions!$A:$E,5,FALSE),1,0)</f>
        <v>1</v>
      </c>
      <c r="AV65" s="8">
        <f>IF(M65=VLOOKUP(VALUE(M$1),Questions!$A:$E,5,FALSE),1,0)</f>
        <v>1</v>
      </c>
      <c r="AW65" s="8">
        <f>IF(N65=VLOOKUP(VALUE(N$1),Questions!$A:$E,5,FALSE),1,0)</f>
        <v>1</v>
      </c>
      <c r="AX65" s="8">
        <f>IF(O65=VLOOKUP(VALUE(O$1),Questions!$A:$E,5,FALSE),1,0)</f>
        <v>1</v>
      </c>
      <c r="AY65" s="8">
        <f>IF(P65=VLOOKUP(VALUE(P$1),Questions!$A:$E,5,FALSE),1,0)</f>
        <v>1</v>
      </c>
      <c r="AZ65" s="8">
        <f>IF(Q65=VLOOKUP(VALUE(Q$1),Questions!$A:$E,5,FALSE),1,0)</f>
        <v>1</v>
      </c>
      <c r="BA65" s="8">
        <f>IF(R65=VLOOKUP(VALUE(R$1),Questions!$A:$E,5,FALSE),1,0)</f>
        <v>1</v>
      </c>
      <c r="BB65" s="8">
        <f>IF(S65=VLOOKUP(VALUE(S$1),Questions!$A:$E,5,FALSE),1,0)</f>
        <v>1</v>
      </c>
      <c r="BC65" s="8">
        <f>IF(T65=VLOOKUP(VALUE(T$1),Questions!$A:$E,5,FALSE),1,0)</f>
        <v>1</v>
      </c>
      <c r="BD65" s="8">
        <f>IF(U65=VLOOKUP(VALUE(U$1),Questions!$A:$E,5,FALSE),1,0)</f>
        <v>1</v>
      </c>
      <c r="BE65" s="8">
        <f>IF(V65=VLOOKUP(VALUE(V$1),Questions!$A:$E,5,FALSE),1,0)</f>
        <v>0</v>
      </c>
      <c r="BF65" s="8">
        <f>IF(W65=VLOOKUP(VALUE(W$1),Questions!$A:$E,5,FALSE),1,0)</f>
        <v>1</v>
      </c>
      <c r="BG65" s="8">
        <f>IF(X65=VLOOKUP(VALUE(X$1),Questions!$A:$E,5,FALSE),1,0)</f>
        <v>1</v>
      </c>
      <c r="BH65" s="8">
        <f>IF(Y65=VLOOKUP(VALUE(Y$1),Questions!$A:$E,5,FALSE),1,0)</f>
        <v>1</v>
      </c>
      <c r="BI65" s="8">
        <f>IF(Z65=VLOOKUP(VALUE(Z$1),Questions!$A:$E,5,FALSE),1,0)</f>
        <v>1</v>
      </c>
      <c r="BJ65" s="8">
        <f>IF(AA65=VLOOKUP(VALUE(AA$1),Questions!$A:$E,5,FALSE),1,0)</f>
        <v>1</v>
      </c>
      <c r="BK65" s="8">
        <f>IF(AB65=VLOOKUP(VALUE(AB$1),Questions!$A:$E,5,FALSE),1,0)</f>
        <v>1</v>
      </c>
      <c r="BL65" s="8">
        <f>IF(AC65=VLOOKUP(VALUE(AC$1),Questions!$A:$E,5,FALSE),1,0)</f>
        <v>0</v>
      </c>
      <c r="BM65" s="8">
        <f>IF(AD65=VLOOKUP(VALUE(AD$1),Questions!$A:$E,5,FALSE),1,0)</f>
        <v>1</v>
      </c>
      <c r="BN65" s="8">
        <f>IF(AE65=VLOOKUP(VALUE(AE$1),Questions!$A:$E,5,FALSE),1,0)</f>
        <v>0</v>
      </c>
      <c r="BO65" s="8">
        <f>IF(AF65=VLOOKUP(VALUE(AF$1),Questions!$A:$E,5,FALSE),1,0)</f>
        <v>1</v>
      </c>
      <c r="BP65" s="8">
        <f>IF(AG65=VLOOKUP(VALUE(AG$1),Questions!$A:$E,5,FALSE),1,0)</f>
        <v>0</v>
      </c>
      <c r="BQ65" s="8">
        <f>IF(AH65=VLOOKUP(VALUE(AH$1),Questions!$A:$E,5,FALSE),1,0)</f>
        <v>0</v>
      </c>
    </row>
    <row r="66" spans="1:69" ht="13" customHeight="1" x14ac:dyDescent="0.15">
      <c r="A66" t="s">
        <v>35</v>
      </c>
      <c r="B66" s="7">
        <v>10</v>
      </c>
      <c r="C66" s="7">
        <v>8</v>
      </c>
      <c r="D66">
        <v>65</v>
      </c>
      <c r="G66" s="8">
        <v>2</v>
      </c>
      <c r="H66" s="8">
        <v>1</v>
      </c>
      <c r="I66" s="8">
        <v>3</v>
      </c>
      <c r="J66" s="8">
        <v>2</v>
      </c>
      <c r="K66" s="8">
        <v>1</v>
      </c>
      <c r="L66" s="8">
        <v>3</v>
      </c>
      <c r="M66" s="8">
        <v>2</v>
      </c>
      <c r="N66" s="8">
        <v>3</v>
      </c>
      <c r="O66" s="8">
        <v>1</v>
      </c>
      <c r="P66" s="8">
        <v>4</v>
      </c>
      <c r="Q66" s="8">
        <v>1</v>
      </c>
      <c r="R66" s="8">
        <v>3</v>
      </c>
      <c r="S66" s="8">
        <v>2</v>
      </c>
      <c r="T66" s="8">
        <v>2</v>
      </c>
      <c r="U66" s="8">
        <v>4</v>
      </c>
      <c r="V66" s="8">
        <v>3</v>
      </c>
      <c r="W66" s="8">
        <v>4</v>
      </c>
      <c r="X66" s="8">
        <v>3</v>
      </c>
      <c r="Y66" s="8">
        <v>2</v>
      </c>
      <c r="Z66" s="8">
        <v>1</v>
      </c>
      <c r="AA66" s="8">
        <v>4</v>
      </c>
      <c r="AB66" s="8">
        <v>2</v>
      </c>
      <c r="AC66" s="8">
        <v>3</v>
      </c>
      <c r="AD66" s="8">
        <v>3</v>
      </c>
      <c r="AE66" s="8">
        <v>1</v>
      </c>
      <c r="AF66" s="8">
        <v>4</v>
      </c>
      <c r="AG66" s="8">
        <v>2</v>
      </c>
      <c r="AH66" s="8">
        <v>1</v>
      </c>
      <c r="AI66" s="8">
        <v>1</v>
      </c>
      <c r="AJ66" s="8">
        <v>1</v>
      </c>
      <c r="AK66" s="8">
        <v>1</v>
      </c>
      <c r="AL66" s="8">
        <v>1</v>
      </c>
      <c r="AM66" s="8">
        <v>1</v>
      </c>
      <c r="AN66" s="8">
        <v>1</v>
      </c>
      <c r="AO66" s="8">
        <v>1</v>
      </c>
      <c r="AP66" s="8">
        <f>IF(G66=VLOOKUP(VALUE(G$1),Questions!$A:$E,5,FALSE),1,0)</f>
        <v>0</v>
      </c>
      <c r="AQ66" s="8">
        <f>IF(H66=VLOOKUP(VALUE(H$1),Questions!$A:$E,5,FALSE),1,0)</f>
        <v>1</v>
      </c>
      <c r="AR66" s="8">
        <f>IF(I66=VLOOKUP(VALUE(I$1),Questions!$A:$E,5,FALSE),1,0)</f>
        <v>1</v>
      </c>
      <c r="AS66" s="8">
        <f>IF(J66=VLOOKUP(VALUE(J$1),Questions!$A:$E,5,FALSE),1,0)</f>
        <v>1</v>
      </c>
      <c r="AT66" s="8">
        <f>IF(K66=VLOOKUP(VALUE(K$1),Questions!$A:$E,5,FALSE),1,0)</f>
        <v>1</v>
      </c>
      <c r="AU66" s="8">
        <f>IF(L66=VLOOKUP(VALUE(L$1),Questions!$A:$E,5,FALSE),1,0)</f>
        <v>1</v>
      </c>
      <c r="AV66" s="8">
        <f>IF(M66=VLOOKUP(VALUE(M$1),Questions!$A:$E,5,FALSE),1,0)</f>
        <v>1</v>
      </c>
      <c r="AW66" s="8">
        <f>IF(N66=VLOOKUP(VALUE(N$1),Questions!$A:$E,5,FALSE),1,0)</f>
        <v>1</v>
      </c>
      <c r="AX66" s="8">
        <f>IF(O66=VLOOKUP(VALUE(O$1),Questions!$A:$E,5,FALSE),1,0)</f>
        <v>1</v>
      </c>
      <c r="AY66" s="8">
        <f>IF(P66=VLOOKUP(VALUE(P$1),Questions!$A:$E,5,FALSE),1,0)</f>
        <v>0</v>
      </c>
      <c r="AZ66" s="8">
        <f>IF(Q66=VLOOKUP(VALUE(Q$1),Questions!$A:$E,5,FALSE),1,0)</f>
        <v>1</v>
      </c>
      <c r="BA66" s="8">
        <f>IF(R66=VLOOKUP(VALUE(R$1),Questions!$A:$E,5,FALSE),1,0)</f>
        <v>0</v>
      </c>
      <c r="BB66" s="8">
        <f>IF(S66=VLOOKUP(VALUE(S$1),Questions!$A:$E,5,FALSE),1,0)</f>
        <v>1</v>
      </c>
      <c r="BC66" s="8">
        <f>IF(T66=VLOOKUP(VALUE(T$1),Questions!$A:$E,5,FALSE),1,0)</f>
        <v>1</v>
      </c>
      <c r="BD66" s="8">
        <f>IF(U66=VLOOKUP(VALUE(U$1),Questions!$A:$E,5,FALSE),1,0)</f>
        <v>1</v>
      </c>
      <c r="BE66" s="8">
        <f>IF(V66=VLOOKUP(VALUE(V$1),Questions!$A:$E,5,FALSE),1,0)</f>
        <v>1</v>
      </c>
      <c r="BF66" s="8">
        <f>IF(W66=VLOOKUP(VALUE(W$1),Questions!$A:$E,5,FALSE),1,0)</f>
        <v>1</v>
      </c>
      <c r="BG66" s="8">
        <f>IF(X66=VLOOKUP(VALUE(X$1),Questions!$A:$E,5,FALSE),1,0)</f>
        <v>1</v>
      </c>
      <c r="BH66" s="8">
        <f>IF(Y66=VLOOKUP(VALUE(Y$1),Questions!$A:$E,5,FALSE),1,0)</f>
        <v>0</v>
      </c>
      <c r="BI66" s="8">
        <f>IF(Z66=VLOOKUP(VALUE(Z$1),Questions!$A:$E,5,FALSE),1,0)</f>
        <v>0</v>
      </c>
      <c r="BJ66" s="8">
        <f>IF(AA66=VLOOKUP(VALUE(AA$1),Questions!$A:$E,5,FALSE),1,0)</f>
        <v>1</v>
      </c>
      <c r="BK66" s="8">
        <f>IF(AB66=VLOOKUP(VALUE(AB$1),Questions!$A:$E,5,FALSE),1,0)</f>
        <v>1</v>
      </c>
      <c r="BL66" s="8">
        <f>IF(AC66=VLOOKUP(VALUE(AC$1),Questions!$A:$E,5,FALSE),1,0)</f>
        <v>0</v>
      </c>
      <c r="BM66" s="8">
        <f>IF(AD66=VLOOKUP(VALUE(AD$1),Questions!$A:$E,5,FALSE),1,0)</f>
        <v>1</v>
      </c>
      <c r="BN66" s="8">
        <f>IF(AE66=VLOOKUP(VALUE(AE$1),Questions!$A:$E,5,FALSE),1,0)</f>
        <v>0</v>
      </c>
      <c r="BO66" s="8">
        <f>IF(AF66=VLOOKUP(VALUE(AF$1),Questions!$A:$E,5,FALSE),1,0)</f>
        <v>1</v>
      </c>
      <c r="BP66" s="8">
        <f>IF(AG66=VLOOKUP(VALUE(AG$1),Questions!$A:$E,5,FALSE),1,0)</f>
        <v>0</v>
      </c>
      <c r="BQ66" s="8">
        <f>IF(AH66=VLOOKUP(VALUE(AH$1),Questions!$A:$E,5,FALSE),1,0)</f>
        <v>0</v>
      </c>
    </row>
    <row r="67" spans="1:69" ht="13" customHeight="1" x14ac:dyDescent="0.15">
      <c r="A67" t="s">
        <v>35</v>
      </c>
      <c r="B67" s="7">
        <v>10</v>
      </c>
      <c r="C67" s="7">
        <v>8</v>
      </c>
      <c r="D67">
        <v>66</v>
      </c>
      <c r="G67" s="8">
        <v>4</v>
      </c>
      <c r="H67" s="8">
        <v>1</v>
      </c>
      <c r="I67" s="8">
        <v>3</v>
      </c>
      <c r="J67" s="8">
        <v>2</v>
      </c>
      <c r="K67" s="8">
        <v>1</v>
      </c>
      <c r="L67" s="8">
        <v>3</v>
      </c>
      <c r="M67" s="8">
        <v>2</v>
      </c>
      <c r="N67" s="8">
        <v>3</v>
      </c>
      <c r="O67" s="8">
        <v>1</v>
      </c>
      <c r="P67" s="8">
        <v>3</v>
      </c>
      <c r="Q67" s="8">
        <v>1</v>
      </c>
      <c r="R67" s="8">
        <v>4</v>
      </c>
      <c r="S67" s="8">
        <v>2</v>
      </c>
      <c r="T67" s="8">
        <v>1</v>
      </c>
      <c r="U67" s="8">
        <v>4</v>
      </c>
      <c r="V67" s="8">
        <v>2</v>
      </c>
      <c r="W67" s="8">
        <v>4</v>
      </c>
      <c r="X67" s="8">
        <v>3</v>
      </c>
      <c r="Y67" s="8">
        <v>1</v>
      </c>
      <c r="Z67" s="8">
        <v>3</v>
      </c>
      <c r="AA67" s="8">
        <v>4</v>
      </c>
      <c r="AB67" s="8">
        <v>2</v>
      </c>
      <c r="AC67" s="8">
        <v>2</v>
      </c>
      <c r="AD67" s="8">
        <v>3</v>
      </c>
      <c r="AE67" s="8">
        <v>2</v>
      </c>
      <c r="AF67" s="8">
        <v>4</v>
      </c>
      <c r="AG67" s="8">
        <v>1</v>
      </c>
      <c r="AH67" s="8">
        <v>2</v>
      </c>
      <c r="AI67" s="8">
        <v>0</v>
      </c>
      <c r="AJ67" s="8">
        <v>0</v>
      </c>
      <c r="AL67" s="8">
        <v>0</v>
      </c>
      <c r="AM67" s="8">
        <v>1</v>
      </c>
      <c r="AP67" s="8">
        <f>IF(G67=VLOOKUP(VALUE(G$1),Questions!$A:$E,5,FALSE),1,0)</f>
        <v>1</v>
      </c>
      <c r="AQ67" s="8">
        <f>IF(H67=VLOOKUP(VALUE(H$1),Questions!$A:$E,5,FALSE),1,0)</f>
        <v>1</v>
      </c>
      <c r="AR67" s="8">
        <f>IF(I67=VLOOKUP(VALUE(I$1),Questions!$A:$E,5,FALSE),1,0)</f>
        <v>1</v>
      </c>
      <c r="AS67" s="8">
        <f>IF(J67=VLOOKUP(VALUE(J$1),Questions!$A:$E,5,FALSE),1,0)</f>
        <v>1</v>
      </c>
      <c r="AT67" s="8">
        <f>IF(K67=VLOOKUP(VALUE(K$1),Questions!$A:$E,5,FALSE),1,0)</f>
        <v>1</v>
      </c>
      <c r="AU67" s="8">
        <f>IF(L67=VLOOKUP(VALUE(L$1),Questions!$A:$E,5,FALSE),1,0)</f>
        <v>1</v>
      </c>
      <c r="AV67" s="8">
        <f>IF(M67=VLOOKUP(VALUE(M$1),Questions!$A:$E,5,FALSE),1,0)</f>
        <v>1</v>
      </c>
      <c r="AW67" s="8">
        <f>IF(N67=VLOOKUP(VALUE(N$1),Questions!$A:$E,5,FALSE),1,0)</f>
        <v>1</v>
      </c>
      <c r="AX67" s="8">
        <f>IF(O67=VLOOKUP(VALUE(O$1),Questions!$A:$E,5,FALSE),1,0)</f>
        <v>1</v>
      </c>
      <c r="AY67" s="8">
        <f>IF(P67=VLOOKUP(VALUE(P$1),Questions!$A:$E,5,FALSE),1,0)</f>
        <v>1</v>
      </c>
      <c r="AZ67" s="8">
        <f>IF(Q67=VLOOKUP(VALUE(Q$1),Questions!$A:$E,5,FALSE),1,0)</f>
        <v>1</v>
      </c>
      <c r="BA67" s="8">
        <f>IF(R67=VLOOKUP(VALUE(R$1),Questions!$A:$E,5,FALSE),1,0)</f>
        <v>1</v>
      </c>
      <c r="BB67" s="8">
        <f>IF(S67=VLOOKUP(VALUE(S$1),Questions!$A:$E,5,FALSE),1,0)</f>
        <v>1</v>
      </c>
      <c r="BC67" s="8">
        <f>IF(T67=VLOOKUP(VALUE(T$1),Questions!$A:$E,5,FALSE),1,0)</f>
        <v>0</v>
      </c>
      <c r="BD67" s="8">
        <f>IF(U67=VLOOKUP(VALUE(U$1),Questions!$A:$E,5,FALSE),1,0)</f>
        <v>1</v>
      </c>
      <c r="BE67" s="8">
        <f>IF(V67=VLOOKUP(VALUE(V$1),Questions!$A:$E,5,FALSE),1,0)</f>
        <v>0</v>
      </c>
      <c r="BF67" s="8">
        <f>IF(W67=VLOOKUP(VALUE(W$1),Questions!$A:$E,5,FALSE),1,0)</f>
        <v>1</v>
      </c>
      <c r="BG67" s="8">
        <f>IF(X67=VLOOKUP(VALUE(X$1),Questions!$A:$E,5,FALSE),1,0)</f>
        <v>1</v>
      </c>
      <c r="BH67" s="8">
        <f>IF(Y67=VLOOKUP(VALUE(Y$1),Questions!$A:$E,5,FALSE),1,0)</f>
        <v>1</v>
      </c>
      <c r="BI67" s="8">
        <f>IF(Z67=VLOOKUP(VALUE(Z$1),Questions!$A:$E,5,FALSE),1,0)</f>
        <v>1</v>
      </c>
      <c r="BJ67" s="8">
        <f>IF(AA67=VLOOKUP(VALUE(AA$1),Questions!$A:$E,5,FALSE),1,0)</f>
        <v>1</v>
      </c>
      <c r="BK67" s="8">
        <f>IF(AB67=VLOOKUP(VALUE(AB$1),Questions!$A:$E,5,FALSE),1,0)</f>
        <v>1</v>
      </c>
      <c r="BL67" s="8">
        <f>IF(AC67=VLOOKUP(VALUE(AC$1),Questions!$A:$E,5,FALSE),1,0)</f>
        <v>1</v>
      </c>
      <c r="BM67" s="8">
        <f>IF(AD67=VLOOKUP(VALUE(AD$1),Questions!$A:$E,5,FALSE),1,0)</f>
        <v>1</v>
      </c>
      <c r="BN67" s="8">
        <f>IF(AE67=VLOOKUP(VALUE(AE$1),Questions!$A:$E,5,FALSE),1,0)</f>
        <v>1</v>
      </c>
      <c r="BO67" s="8">
        <f>IF(AF67=VLOOKUP(VALUE(AF$1),Questions!$A:$E,5,FALSE),1,0)</f>
        <v>1</v>
      </c>
      <c r="BP67" s="8">
        <f>IF(AG67=VLOOKUP(VALUE(AG$1),Questions!$A:$E,5,FALSE),1,0)</f>
        <v>1</v>
      </c>
      <c r="BQ67" s="8">
        <f>IF(AH67=VLOOKUP(VALUE(AH$1),Questions!$A:$E,5,FALSE),1,0)</f>
        <v>1</v>
      </c>
    </row>
    <row r="68" spans="1:69" ht="13" customHeight="1" x14ac:dyDescent="0.15">
      <c r="A68" t="s">
        <v>35</v>
      </c>
      <c r="B68" s="7">
        <v>10</v>
      </c>
      <c r="C68" s="7">
        <v>8</v>
      </c>
      <c r="D68">
        <v>67</v>
      </c>
      <c r="F68" s="8" t="s">
        <v>783</v>
      </c>
      <c r="G68" s="8">
        <v>3</v>
      </c>
      <c r="H68" s="8">
        <v>3</v>
      </c>
      <c r="I68" s="8">
        <v>3</v>
      </c>
      <c r="J68" s="8">
        <v>2</v>
      </c>
      <c r="K68" s="8">
        <v>1</v>
      </c>
      <c r="L68" s="8">
        <v>3</v>
      </c>
      <c r="M68" s="8">
        <v>3</v>
      </c>
      <c r="N68" s="8">
        <v>1</v>
      </c>
      <c r="O68" s="8">
        <v>3</v>
      </c>
      <c r="P68" s="8">
        <v>3</v>
      </c>
      <c r="Q68" s="8">
        <v>4</v>
      </c>
      <c r="R68" s="8">
        <v>4</v>
      </c>
      <c r="S68" s="8">
        <v>2</v>
      </c>
      <c r="T68" s="8">
        <v>2</v>
      </c>
      <c r="U68" s="8">
        <v>3</v>
      </c>
      <c r="V68" s="8">
        <v>4</v>
      </c>
      <c r="W68" s="8">
        <v>4</v>
      </c>
      <c r="X68" s="8">
        <v>4</v>
      </c>
      <c r="Y68" s="8">
        <v>1</v>
      </c>
      <c r="Z68" s="8">
        <v>3</v>
      </c>
      <c r="AA68" s="8">
        <v>4</v>
      </c>
      <c r="AB68" s="8">
        <v>2</v>
      </c>
      <c r="AC68" s="8">
        <v>2</v>
      </c>
      <c r="AD68" s="8">
        <v>2</v>
      </c>
      <c r="AE68" s="8">
        <v>1</v>
      </c>
      <c r="AF68" s="8">
        <v>4</v>
      </c>
      <c r="AG68" s="8">
        <v>3</v>
      </c>
      <c r="AH68" s="8">
        <v>3</v>
      </c>
      <c r="AI68" s="8">
        <v>0</v>
      </c>
      <c r="AJ68" s="8">
        <v>0</v>
      </c>
      <c r="AK68" s="8">
        <v>0</v>
      </c>
      <c r="AL68" s="8">
        <v>1</v>
      </c>
      <c r="AM68" s="8">
        <v>0</v>
      </c>
      <c r="AN68" s="8">
        <v>0</v>
      </c>
      <c r="AO68" s="8">
        <v>0</v>
      </c>
      <c r="AP68" s="8">
        <f>IF(G68=VLOOKUP(VALUE(G$1),Questions!$A:$E,5,FALSE),1,0)</f>
        <v>0</v>
      </c>
      <c r="AQ68" s="8">
        <f>IF(H68=VLOOKUP(VALUE(H$1),Questions!$A:$E,5,FALSE),1,0)</f>
        <v>0</v>
      </c>
      <c r="AR68" s="8">
        <f>IF(I68=VLOOKUP(VALUE(I$1),Questions!$A:$E,5,FALSE),1,0)</f>
        <v>1</v>
      </c>
      <c r="AS68" s="8">
        <f>IF(J68=VLOOKUP(VALUE(J$1),Questions!$A:$E,5,FALSE),1,0)</f>
        <v>1</v>
      </c>
      <c r="AT68" s="8">
        <f>IF(K68=VLOOKUP(VALUE(K$1),Questions!$A:$E,5,FALSE),1,0)</f>
        <v>1</v>
      </c>
      <c r="AU68" s="8">
        <f>IF(L68=VLOOKUP(VALUE(L$1),Questions!$A:$E,5,FALSE),1,0)</f>
        <v>1</v>
      </c>
      <c r="AV68" s="8">
        <f>IF(M68=VLOOKUP(VALUE(M$1),Questions!$A:$E,5,FALSE),1,0)</f>
        <v>0</v>
      </c>
      <c r="AW68" s="8">
        <f>IF(N68=VLOOKUP(VALUE(N$1),Questions!$A:$E,5,FALSE),1,0)</f>
        <v>0</v>
      </c>
      <c r="AX68" s="8">
        <f>IF(O68=VLOOKUP(VALUE(O$1),Questions!$A:$E,5,FALSE),1,0)</f>
        <v>0</v>
      </c>
      <c r="AY68" s="8">
        <f>IF(P68=VLOOKUP(VALUE(P$1),Questions!$A:$E,5,FALSE),1,0)</f>
        <v>1</v>
      </c>
      <c r="AZ68" s="8">
        <f>IF(Q68=VLOOKUP(VALUE(Q$1),Questions!$A:$E,5,FALSE),1,0)</f>
        <v>0</v>
      </c>
      <c r="BA68" s="8">
        <f>IF(R68=VLOOKUP(VALUE(R$1),Questions!$A:$E,5,FALSE),1,0)</f>
        <v>1</v>
      </c>
      <c r="BB68" s="8">
        <f>IF(S68=VLOOKUP(VALUE(S$1),Questions!$A:$E,5,FALSE),1,0)</f>
        <v>1</v>
      </c>
      <c r="BC68" s="8">
        <f>IF(T68=VLOOKUP(VALUE(T$1),Questions!$A:$E,5,FALSE),1,0)</f>
        <v>1</v>
      </c>
      <c r="BD68" s="8">
        <f>IF(U68=VLOOKUP(VALUE(U$1),Questions!$A:$E,5,FALSE),1,0)</f>
        <v>0</v>
      </c>
      <c r="BE68" s="8">
        <f>IF(V68=VLOOKUP(VALUE(V$1),Questions!$A:$E,5,FALSE),1,0)</f>
        <v>0</v>
      </c>
      <c r="BF68" s="8">
        <f>IF(W68=VLOOKUP(VALUE(W$1),Questions!$A:$E,5,FALSE),1,0)</f>
        <v>1</v>
      </c>
      <c r="BG68" s="8">
        <f>IF(X68=VLOOKUP(VALUE(X$1),Questions!$A:$E,5,FALSE),1,0)</f>
        <v>0</v>
      </c>
      <c r="BH68" s="8">
        <f>IF(Y68=VLOOKUP(VALUE(Y$1),Questions!$A:$E,5,FALSE),1,0)</f>
        <v>1</v>
      </c>
      <c r="BI68" s="8">
        <f>IF(Z68=VLOOKUP(VALUE(Z$1),Questions!$A:$E,5,FALSE),1,0)</f>
        <v>1</v>
      </c>
      <c r="BJ68" s="8">
        <f>IF(AA68=VLOOKUP(VALUE(AA$1),Questions!$A:$E,5,FALSE),1,0)</f>
        <v>1</v>
      </c>
      <c r="BK68" s="8">
        <f>IF(AB68=VLOOKUP(VALUE(AB$1),Questions!$A:$E,5,FALSE),1,0)</f>
        <v>1</v>
      </c>
      <c r="BL68" s="8">
        <f>IF(AC68=VLOOKUP(VALUE(AC$1),Questions!$A:$E,5,FALSE),1,0)</f>
        <v>1</v>
      </c>
      <c r="BM68" s="8">
        <f>IF(AD68=VLOOKUP(VALUE(AD$1),Questions!$A:$E,5,FALSE),1,0)</f>
        <v>0</v>
      </c>
      <c r="BN68" s="8">
        <f>IF(AE68=VLOOKUP(VALUE(AE$1),Questions!$A:$E,5,FALSE),1,0)</f>
        <v>0</v>
      </c>
      <c r="BO68" s="8">
        <f>IF(AF68=VLOOKUP(VALUE(AF$1),Questions!$A:$E,5,FALSE),1,0)</f>
        <v>1</v>
      </c>
      <c r="BP68" s="8">
        <f>IF(AG68=VLOOKUP(VALUE(AG$1),Questions!$A:$E,5,FALSE),1,0)</f>
        <v>0</v>
      </c>
      <c r="BQ68" s="8">
        <f>IF(AH68=VLOOKUP(VALUE(AH$1),Questions!$A:$E,5,FALSE),1,0)</f>
        <v>0</v>
      </c>
    </row>
    <row r="69" spans="1:69" ht="13" customHeight="1" x14ac:dyDescent="0.15">
      <c r="A69" t="s">
        <v>35</v>
      </c>
      <c r="B69" s="7">
        <v>10</v>
      </c>
      <c r="C69" s="7">
        <v>8</v>
      </c>
      <c r="D69">
        <v>68</v>
      </c>
      <c r="G69" s="8">
        <v>2</v>
      </c>
      <c r="H69" s="8">
        <v>1</v>
      </c>
      <c r="I69" s="8">
        <v>3</v>
      </c>
      <c r="J69" s="8">
        <v>2</v>
      </c>
      <c r="K69" s="8">
        <v>4</v>
      </c>
      <c r="L69" s="8">
        <v>3</v>
      </c>
      <c r="M69" s="8">
        <v>2</v>
      </c>
      <c r="N69" s="8">
        <v>3</v>
      </c>
      <c r="O69" s="8">
        <v>2</v>
      </c>
      <c r="P69" s="8">
        <v>4</v>
      </c>
      <c r="Q69" s="8">
        <v>1</v>
      </c>
      <c r="R69" s="8">
        <v>4</v>
      </c>
      <c r="S69" s="8">
        <v>2</v>
      </c>
      <c r="T69" s="8">
        <v>4</v>
      </c>
      <c r="U69" s="8">
        <v>4</v>
      </c>
      <c r="V69" s="8">
        <v>1</v>
      </c>
      <c r="W69" s="8">
        <v>4</v>
      </c>
      <c r="X69" s="8">
        <v>3</v>
      </c>
      <c r="Y69" s="8">
        <v>1</v>
      </c>
      <c r="Z69" s="8">
        <v>3</v>
      </c>
      <c r="AA69" s="8">
        <v>4</v>
      </c>
      <c r="AB69" s="8">
        <v>2</v>
      </c>
      <c r="AC69" s="8">
        <v>4</v>
      </c>
      <c r="AD69" s="8">
        <v>1</v>
      </c>
      <c r="AE69" s="8">
        <v>3</v>
      </c>
      <c r="AF69" s="8">
        <v>4</v>
      </c>
      <c r="AG69" s="8">
        <v>3</v>
      </c>
      <c r="AH69" s="8">
        <v>2</v>
      </c>
      <c r="AI69" s="8">
        <v>0</v>
      </c>
      <c r="AJ69" s="8">
        <v>1</v>
      </c>
      <c r="AK69" s="8">
        <v>1</v>
      </c>
      <c r="AL69" s="8">
        <v>0</v>
      </c>
      <c r="AM69" s="8">
        <v>1</v>
      </c>
      <c r="AN69" s="8">
        <v>0</v>
      </c>
      <c r="AO69" s="8">
        <v>1</v>
      </c>
      <c r="AP69" s="8">
        <f>IF(G69=VLOOKUP(VALUE(G$1),Questions!$A:$E,5,FALSE),1,0)</f>
        <v>0</v>
      </c>
      <c r="AQ69" s="8">
        <f>IF(H69=VLOOKUP(VALUE(H$1),Questions!$A:$E,5,FALSE),1,0)</f>
        <v>1</v>
      </c>
      <c r="AR69" s="8">
        <f>IF(I69=VLOOKUP(VALUE(I$1),Questions!$A:$E,5,FALSE),1,0)</f>
        <v>1</v>
      </c>
      <c r="AS69" s="8">
        <f>IF(J69=VLOOKUP(VALUE(J$1),Questions!$A:$E,5,FALSE),1,0)</f>
        <v>1</v>
      </c>
      <c r="AT69" s="8">
        <f>IF(K69=VLOOKUP(VALUE(K$1),Questions!$A:$E,5,FALSE),1,0)</f>
        <v>0</v>
      </c>
      <c r="AU69" s="8">
        <f>IF(L69=VLOOKUP(VALUE(L$1),Questions!$A:$E,5,FALSE),1,0)</f>
        <v>1</v>
      </c>
      <c r="AV69" s="8">
        <f>IF(M69=VLOOKUP(VALUE(M$1),Questions!$A:$E,5,FALSE),1,0)</f>
        <v>1</v>
      </c>
      <c r="AW69" s="8">
        <f>IF(N69=VLOOKUP(VALUE(N$1),Questions!$A:$E,5,FALSE),1,0)</f>
        <v>1</v>
      </c>
      <c r="AX69" s="8">
        <f>IF(O69=VLOOKUP(VALUE(O$1),Questions!$A:$E,5,FALSE),1,0)</f>
        <v>0</v>
      </c>
      <c r="AY69" s="8">
        <f>IF(P69=VLOOKUP(VALUE(P$1),Questions!$A:$E,5,FALSE),1,0)</f>
        <v>0</v>
      </c>
      <c r="AZ69" s="8">
        <f>IF(Q69=VLOOKUP(VALUE(Q$1),Questions!$A:$E,5,FALSE),1,0)</f>
        <v>1</v>
      </c>
      <c r="BA69" s="8">
        <f>IF(R69=VLOOKUP(VALUE(R$1),Questions!$A:$E,5,FALSE),1,0)</f>
        <v>1</v>
      </c>
      <c r="BB69" s="8">
        <f>IF(S69=VLOOKUP(VALUE(S$1),Questions!$A:$E,5,FALSE),1,0)</f>
        <v>1</v>
      </c>
      <c r="BC69" s="8">
        <f>IF(T69=VLOOKUP(VALUE(T$1),Questions!$A:$E,5,FALSE),1,0)</f>
        <v>0</v>
      </c>
      <c r="BD69" s="8">
        <f>IF(U69=VLOOKUP(VALUE(U$1),Questions!$A:$E,5,FALSE),1,0)</f>
        <v>1</v>
      </c>
      <c r="BE69" s="8">
        <f>IF(V69=VLOOKUP(VALUE(V$1),Questions!$A:$E,5,FALSE),1,0)</f>
        <v>0</v>
      </c>
      <c r="BF69" s="8">
        <f>IF(W69=VLOOKUP(VALUE(W$1),Questions!$A:$E,5,FALSE),1,0)</f>
        <v>1</v>
      </c>
      <c r="BG69" s="8">
        <f>IF(X69=VLOOKUP(VALUE(X$1),Questions!$A:$E,5,FALSE),1,0)</f>
        <v>1</v>
      </c>
      <c r="BH69" s="8">
        <f>IF(Y69=VLOOKUP(VALUE(Y$1),Questions!$A:$E,5,FALSE),1,0)</f>
        <v>1</v>
      </c>
      <c r="BI69" s="8">
        <f>IF(Z69=VLOOKUP(VALUE(Z$1),Questions!$A:$E,5,FALSE),1,0)</f>
        <v>1</v>
      </c>
      <c r="BJ69" s="8">
        <f>IF(AA69=VLOOKUP(VALUE(AA$1),Questions!$A:$E,5,FALSE),1,0)</f>
        <v>1</v>
      </c>
      <c r="BK69" s="8">
        <f>IF(AB69=VLOOKUP(VALUE(AB$1),Questions!$A:$E,5,FALSE),1,0)</f>
        <v>1</v>
      </c>
      <c r="BL69" s="8">
        <f>IF(AC69=VLOOKUP(VALUE(AC$1),Questions!$A:$E,5,FALSE),1,0)</f>
        <v>0</v>
      </c>
      <c r="BM69" s="8">
        <f>IF(AD69=VLOOKUP(VALUE(AD$1),Questions!$A:$E,5,FALSE),1,0)</f>
        <v>0</v>
      </c>
      <c r="BN69" s="8">
        <f>IF(AE69=VLOOKUP(VALUE(AE$1),Questions!$A:$E,5,FALSE),1,0)</f>
        <v>0</v>
      </c>
      <c r="BO69" s="8">
        <f>IF(AF69=VLOOKUP(VALUE(AF$1),Questions!$A:$E,5,FALSE),1,0)</f>
        <v>1</v>
      </c>
      <c r="BP69" s="8">
        <f>IF(AG69=VLOOKUP(VALUE(AG$1),Questions!$A:$E,5,FALSE),1,0)</f>
        <v>0</v>
      </c>
      <c r="BQ69" s="8">
        <f>IF(AH69=VLOOKUP(VALUE(AH$1),Questions!$A:$E,5,FALSE),1,0)</f>
        <v>1</v>
      </c>
    </row>
    <row r="70" spans="1:69" ht="13" customHeight="1" x14ac:dyDescent="0.15">
      <c r="A70" t="s">
        <v>35</v>
      </c>
      <c r="B70" s="7">
        <v>10</v>
      </c>
      <c r="C70" s="7">
        <v>8</v>
      </c>
      <c r="D70">
        <v>69</v>
      </c>
      <c r="F70" s="8" t="s">
        <v>783</v>
      </c>
      <c r="G70" s="8">
        <v>4</v>
      </c>
      <c r="H70" s="8">
        <v>1</v>
      </c>
      <c r="I70" s="8">
        <v>3</v>
      </c>
      <c r="J70" s="8">
        <v>2</v>
      </c>
      <c r="K70" s="8">
        <v>1</v>
      </c>
      <c r="L70" s="8">
        <v>3</v>
      </c>
      <c r="M70" s="8">
        <v>2</v>
      </c>
      <c r="N70" s="8">
        <v>3</v>
      </c>
      <c r="O70" s="8">
        <v>1</v>
      </c>
      <c r="P70" s="8">
        <v>3</v>
      </c>
      <c r="Q70" s="8">
        <v>1</v>
      </c>
      <c r="R70" s="8">
        <v>4</v>
      </c>
      <c r="S70" s="8">
        <v>2</v>
      </c>
      <c r="T70" s="8">
        <v>2</v>
      </c>
      <c r="U70" s="8">
        <v>4</v>
      </c>
      <c r="V70" s="8">
        <v>3</v>
      </c>
      <c r="W70" s="8">
        <v>4</v>
      </c>
      <c r="X70" s="8">
        <v>3</v>
      </c>
      <c r="Y70" s="8">
        <v>1</v>
      </c>
      <c r="Z70" s="8">
        <v>3</v>
      </c>
      <c r="AA70" s="8">
        <v>4</v>
      </c>
      <c r="AB70" s="8">
        <v>2</v>
      </c>
      <c r="AC70" s="8">
        <v>2</v>
      </c>
      <c r="AD70" s="8">
        <v>3</v>
      </c>
      <c r="AE70" s="8">
        <v>2</v>
      </c>
      <c r="AF70" s="8">
        <v>4</v>
      </c>
      <c r="AG70" s="8">
        <v>1</v>
      </c>
      <c r="AH70" s="8">
        <v>2</v>
      </c>
      <c r="AI70" s="8">
        <v>1</v>
      </c>
      <c r="AJ70" s="8">
        <v>1</v>
      </c>
      <c r="AK70" s="8">
        <v>1</v>
      </c>
      <c r="AL70" s="8">
        <v>1</v>
      </c>
      <c r="AM70" s="8">
        <v>1</v>
      </c>
      <c r="AN70" s="8">
        <v>0</v>
      </c>
      <c r="AO70" s="8">
        <v>1</v>
      </c>
      <c r="AP70" s="8">
        <f>IF(G70=VLOOKUP(VALUE(G$1),Questions!$A:$E,5,FALSE),1,0)</f>
        <v>1</v>
      </c>
      <c r="AQ70" s="8">
        <f>IF(H70=VLOOKUP(VALUE(H$1),Questions!$A:$E,5,FALSE),1,0)</f>
        <v>1</v>
      </c>
      <c r="AR70" s="8">
        <f>IF(I70=VLOOKUP(VALUE(I$1),Questions!$A:$E,5,FALSE),1,0)</f>
        <v>1</v>
      </c>
      <c r="AS70" s="8">
        <f>IF(J70=VLOOKUP(VALUE(J$1),Questions!$A:$E,5,FALSE),1,0)</f>
        <v>1</v>
      </c>
      <c r="AT70" s="8">
        <f>IF(K70=VLOOKUP(VALUE(K$1),Questions!$A:$E,5,FALSE),1,0)</f>
        <v>1</v>
      </c>
      <c r="AU70" s="8">
        <f>IF(L70=VLOOKUP(VALUE(L$1),Questions!$A:$E,5,FALSE),1,0)</f>
        <v>1</v>
      </c>
      <c r="AV70" s="8">
        <f>IF(M70=VLOOKUP(VALUE(M$1),Questions!$A:$E,5,FALSE),1,0)</f>
        <v>1</v>
      </c>
      <c r="AW70" s="8">
        <f>IF(N70=VLOOKUP(VALUE(N$1),Questions!$A:$E,5,FALSE),1,0)</f>
        <v>1</v>
      </c>
      <c r="AX70" s="8">
        <f>IF(O70=VLOOKUP(VALUE(O$1),Questions!$A:$E,5,FALSE),1,0)</f>
        <v>1</v>
      </c>
      <c r="AY70" s="8">
        <f>IF(P70=VLOOKUP(VALUE(P$1),Questions!$A:$E,5,FALSE),1,0)</f>
        <v>1</v>
      </c>
      <c r="AZ70" s="8">
        <f>IF(Q70=VLOOKUP(VALUE(Q$1),Questions!$A:$E,5,FALSE),1,0)</f>
        <v>1</v>
      </c>
      <c r="BA70" s="8">
        <f>IF(R70=VLOOKUP(VALUE(R$1),Questions!$A:$E,5,FALSE),1,0)</f>
        <v>1</v>
      </c>
      <c r="BB70" s="8">
        <f>IF(S70=VLOOKUP(VALUE(S$1),Questions!$A:$E,5,FALSE),1,0)</f>
        <v>1</v>
      </c>
      <c r="BC70" s="8">
        <f>IF(T70=VLOOKUP(VALUE(T$1),Questions!$A:$E,5,FALSE),1,0)</f>
        <v>1</v>
      </c>
      <c r="BD70" s="8">
        <f>IF(U70=VLOOKUP(VALUE(U$1),Questions!$A:$E,5,FALSE),1,0)</f>
        <v>1</v>
      </c>
      <c r="BE70" s="8">
        <f>IF(V70=VLOOKUP(VALUE(V$1),Questions!$A:$E,5,FALSE),1,0)</f>
        <v>1</v>
      </c>
      <c r="BF70" s="8">
        <f>IF(W70=VLOOKUP(VALUE(W$1),Questions!$A:$E,5,FALSE),1,0)</f>
        <v>1</v>
      </c>
      <c r="BG70" s="8">
        <f>IF(X70=VLOOKUP(VALUE(X$1),Questions!$A:$E,5,FALSE),1,0)</f>
        <v>1</v>
      </c>
      <c r="BH70" s="8">
        <f>IF(Y70=VLOOKUP(VALUE(Y$1),Questions!$A:$E,5,FALSE),1,0)</f>
        <v>1</v>
      </c>
      <c r="BI70" s="8">
        <f>IF(Z70=VLOOKUP(VALUE(Z$1),Questions!$A:$E,5,FALSE),1,0)</f>
        <v>1</v>
      </c>
      <c r="BJ70" s="8">
        <f>IF(AA70=VLOOKUP(VALUE(AA$1),Questions!$A:$E,5,FALSE),1,0)</f>
        <v>1</v>
      </c>
      <c r="BK70" s="8">
        <f>IF(AB70=VLOOKUP(VALUE(AB$1),Questions!$A:$E,5,FALSE),1,0)</f>
        <v>1</v>
      </c>
      <c r="BL70" s="8">
        <f>IF(AC70=VLOOKUP(VALUE(AC$1),Questions!$A:$E,5,FALSE),1,0)</f>
        <v>1</v>
      </c>
      <c r="BM70" s="8">
        <f>IF(AD70=VLOOKUP(VALUE(AD$1),Questions!$A:$E,5,FALSE),1,0)</f>
        <v>1</v>
      </c>
      <c r="BN70" s="8">
        <f>IF(AE70=VLOOKUP(VALUE(AE$1),Questions!$A:$E,5,FALSE),1,0)</f>
        <v>1</v>
      </c>
      <c r="BO70" s="8">
        <f>IF(AF70=VLOOKUP(VALUE(AF$1),Questions!$A:$E,5,FALSE),1,0)</f>
        <v>1</v>
      </c>
      <c r="BP70" s="8">
        <f>IF(AG70=VLOOKUP(VALUE(AG$1),Questions!$A:$E,5,FALSE),1,0)</f>
        <v>1</v>
      </c>
      <c r="BQ70" s="8">
        <f>IF(AH70=VLOOKUP(VALUE(AH$1),Questions!$A:$E,5,FALSE),1,0)</f>
        <v>1</v>
      </c>
    </row>
    <row r="71" spans="1:69" ht="13" customHeight="1" x14ac:dyDescent="0.15">
      <c r="A71" t="s">
        <v>35</v>
      </c>
      <c r="B71" s="7">
        <v>10</v>
      </c>
      <c r="C71" s="7">
        <v>8</v>
      </c>
      <c r="D71">
        <v>70</v>
      </c>
      <c r="G71" s="8">
        <v>4</v>
      </c>
      <c r="H71" s="8">
        <v>1</v>
      </c>
      <c r="I71" s="8">
        <v>3</v>
      </c>
      <c r="J71" s="8">
        <v>2</v>
      </c>
      <c r="K71" s="8">
        <v>1</v>
      </c>
      <c r="L71" s="8">
        <v>3</v>
      </c>
      <c r="M71" s="8">
        <v>2</v>
      </c>
      <c r="N71" s="8">
        <v>3</v>
      </c>
      <c r="O71" s="8">
        <v>1</v>
      </c>
      <c r="P71" s="8">
        <v>3</v>
      </c>
      <c r="Q71" s="8">
        <v>1</v>
      </c>
      <c r="R71" s="8">
        <v>4</v>
      </c>
      <c r="S71" s="8">
        <v>2</v>
      </c>
      <c r="T71" s="8">
        <v>1</v>
      </c>
      <c r="U71" s="8">
        <v>4</v>
      </c>
      <c r="V71" s="8">
        <v>2</v>
      </c>
      <c r="W71" s="8">
        <v>4</v>
      </c>
      <c r="X71" s="8">
        <v>3</v>
      </c>
      <c r="Y71" s="8">
        <v>3</v>
      </c>
      <c r="Z71" s="8">
        <v>3</v>
      </c>
      <c r="AA71" s="8">
        <v>4</v>
      </c>
      <c r="AB71" s="8">
        <v>2</v>
      </c>
      <c r="AC71" s="8">
        <v>2</v>
      </c>
      <c r="AD71" s="8">
        <v>3</v>
      </c>
      <c r="AE71" s="8">
        <v>4</v>
      </c>
      <c r="AF71" s="8">
        <v>4</v>
      </c>
      <c r="AG71" s="8">
        <v>1</v>
      </c>
      <c r="AH71" s="8">
        <v>2</v>
      </c>
      <c r="AI71" s="8">
        <v>0</v>
      </c>
      <c r="AP71" s="8">
        <f>IF(G71=VLOOKUP(VALUE(G$1),Questions!$A:$E,5,FALSE),1,0)</f>
        <v>1</v>
      </c>
      <c r="AQ71" s="8">
        <f>IF(H71=VLOOKUP(VALUE(H$1),Questions!$A:$E,5,FALSE),1,0)</f>
        <v>1</v>
      </c>
      <c r="AR71" s="8">
        <f>IF(I71=VLOOKUP(VALUE(I$1),Questions!$A:$E,5,FALSE),1,0)</f>
        <v>1</v>
      </c>
      <c r="AS71" s="8">
        <f>IF(J71=VLOOKUP(VALUE(J$1),Questions!$A:$E,5,FALSE),1,0)</f>
        <v>1</v>
      </c>
      <c r="AT71" s="8">
        <f>IF(K71=VLOOKUP(VALUE(K$1),Questions!$A:$E,5,FALSE),1,0)</f>
        <v>1</v>
      </c>
      <c r="AU71" s="8">
        <f>IF(L71=VLOOKUP(VALUE(L$1),Questions!$A:$E,5,FALSE),1,0)</f>
        <v>1</v>
      </c>
      <c r="AV71" s="8">
        <f>IF(M71=VLOOKUP(VALUE(M$1),Questions!$A:$E,5,FALSE),1,0)</f>
        <v>1</v>
      </c>
      <c r="AW71" s="8">
        <f>IF(N71=VLOOKUP(VALUE(N$1),Questions!$A:$E,5,FALSE),1,0)</f>
        <v>1</v>
      </c>
      <c r="AX71" s="8">
        <f>IF(O71=VLOOKUP(VALUE(O$1),Questions!$A:$E,5,FALSE),1,0)</f>
        <v>1</v>
      </c>
      <c r="AY71" s="8">
        <f>IF(P71=VLOOKUP(VALUE(P$1),Questions!$A:$E,5,FALSE),1,0)</f>
        <v>1</v>
      </c>
      <c r="AZ71" s="8">
        <f>IF(Q71=VLOOKUP(VALUE(Q$1),Questions!$A:$E,5,FALSE),1,0)</f>
        <v>1</v>
      </c>
      <c r="BA71" s="8">
        <f>IF(R71=VLOOKUP(VALUE(R$1),Questions!$A:$E,5,FALSE),1,0)</f>
        <v>1</v>
      </c>
      <c r="BB71" s="8">
        <f>IF(S71=VLOOKUP(VALUE(S$1),Questions!$A:$E,5,FALSE),1,0)</f>
        <v>1</v>
      </c>
      <c r="BC71" s="8">
        <f>IF(T71=VLOOKUP(VALUE(T$1),Questions!$A:$E,5,FALSE),1,0)</f>
        <v>0</v>
      </c>
      <c r="BD71" s="8">
        <f>IF(U71=VLOOKUP(VALUE(U$1),Questions!$A:$E,5,FALSE),1,0)</f>
        <v>1</v>
      </c>
      <c r="BE71" s="8">
        <f>IF(V71=VLOOKUP(VALUE(V$1),Questions!$A:$E,5,FALSE),1,0)</f>
        <v>0</v>
      </c>
      <c r="BF71" s="8">
        <f>IF(W71=VLOOKUP(VALUE(W$1),Questions!$A:$E,5,FALSE),1,0)</f>
        <v>1</v>
      </c>
      <c r="BG71" s="8">
        <f>IF(X71=VLOOKUP(VALUE(X$1),Questions!$A:$E,5,FALSE),1,0)</f>
        <v>1</v>
      </c>
      <c r="BH71" s="8">
        <f>IF(Y71=VLOOKUP(VALUE(Y$1),Questions!$A:$E,5,FALSE),1,0)</f>
        <v>0</v>
      </c>
      <c r="BI71" s="8">
        <f>IF(Z71=VLOOKUP(VALUE(Z$1),Questions!$A:$E,5,FALSE),1,0)</f>
        <v>1</v>
      </c>
      <c r="BJ71" s="8">
        <f>IF(AA71=VLOOKUP(VALUE(AA$1),Questions!$A:$E,5,FALSE),1,0)</f>
        <v>1</v>
      </c>
      <c r="BK71" s="8">
        <f>IF(AB71=VLOOKUP(VALUE(AB$1),Questions!$A:$E,5,FALSE),1,0)</f>
        <v>1</v>
      </c>
      <c r="BL71" s="8">
        <f>IF(AC71=VLOOKUP(VALUE(AC$1),Questions!$A:$E,5,FALSE),1,0)</f>
        <v>1</v>
      </c>
      <c r="BM71" s="8">
        <f>IF(AD71=VLOOKUP(VALUE(AD$1),Questions!$A:$E,5,FALSE),1,0)</f>
        <v>1</v>
      </c>
      <c r="BN71" s="8">
        <f>IF(AE71=VLOOKUP(VALUE(AE$1),Questions!$A:$E,5,FALSE),1,0)</f>
        <v>0</v>
      </c>
      <c r="BO71" s="8">
        <f>IF(AF71=VLOOKUP(VALUE(AF$1),Questions!$A:$E,5,FALSE),1,0)</f>
        <v>1</v>
      </c>
      <c r="BP71" s="8">
        <f>IF(AG71=VLOOKUP(VALUE(AG$1),Questions!$A:$E,5,FALSE),1,0)</f>
        <v>1</v>
      </c>
      <c r="BQ71" s="8">
        <f>IF(AH71=VLOOKUP(VALUE(AH$1),Questions!$A:$E,5,FALSE),1,0)</f>
        <v>1</v>
      </c>
    </row>
    <row r="72" spans="1:69" ht="13" customHeight="1" x14ac:dyDescent="0.15">
      <c r="A72" t="s">
        <v>35</v>
      </c>
      <c r="B72" s="7">
        <v>10</v>
      </c>
      <c r="C72" s="7">
        <v>8</v>
      </c>
      <c r="D72">
        <v>71</v>
      </c>
      <c r="F72" s="8" t="s">
        <v>783</v>
      </c>
      <c r="G72" s="8">
        <v>2</v>
      </c>
      <c r="H72" s="8">
        <v>3</v>
      </c>
      <c r="I72" s="8">
        <v>3</v>
      </c>
      <c r="J72" s="8">
        <v>2</v>
      </c>
      <c r="K72" s="8">
        <v>1</v>
      </c>
      <c r="L72" s="8">
        <v>3</v>
      </c>
      <c r="M72" s="8">
        <v>2</v>
      </c>
      <c r="N72" s="8">
        <v>3</v>
      </c>
      <c r="O72" s="8">
        <v>1</v>
      </c>
      <c r="P72" s="8">
        <v>4</v>
      </c>
      <c r="Q72" s="8">
        <v>1</v>
      </c>
      <c r="R72" s="8">
        <v>2</v>
      </c>
      <c r="S72" s="8">
        <v>2</v>
      </c>
      <c r="T72" s="8">
        <v>2</v>
      </c>
      <c r="U72" s="8">
        <v>4</v>
      </c>
      <c r="V72" s="8">
        <v>3</v>
      </c>
      <c r="W72" s="8">
        <v>4</v>
      </c>
      <c r="X72" s="8">
        <v>3</v>
      </c>
      <c r="Y72" s="8">
        <v>1</v>
      </c>
      <c r="Z72" s="8">
        <v>2</v>
      </c>
      <c r="AA72" s="8">
        <v>4</v>
      </c>
      <c r="AB72" s="8">
        <v>2</v>
      </c>
      <c r="AC72" s="8">
        <v>3</v>
      </c>
      <c r="AD72" s="8">
        <v>3</v>
      </c>
      <c r="AE72" s="8">
        <v>1</v>
      </c>
      <c r="AF72" s="8">
        <v>4</v>
      </c>
      <c r="AG72" s="8">
        <v>2</v>
      </c>
      <c r="AH72" s="8">
        <v>1</v>
      </c>
      <c r="AI72" s="8">
        <v>0</v>
      </c>
      <c r="AJ72" s="8">
        <v>1</v>
      </c>
      <c r="AK72" s="8">
        <v>0</v>
      </c>
      <c r="AL72" s="8">
        <v>0</v>
      </c>
      <c r="AM72" s="8">
        <v>1</v>
      </c>
      <c r="AN72" s="8">
        <v>0</v>
      </c>
      <c r="AO72" s="8">
        <v>0</v>
      </c>
      <c r="AP72" s="8">
        <f>IF(G72=VLOOKUP(VALUE(G$1),Questions!$A:$E,5,FALSE),1,0)</f>
        <v>0</v>
      </c>
      <c r="AQ72" s="8">
        <f>IF(H72=VLOOKUP(VALUE(H$1),Questions!$A:$E,5,FALSE),1,0)</f>
        <v>0</v>
      </c>
      <c r="AR72" s="8">
        <f>IF(I72=VLOOKUP(VALUE(I$1),Questions!$A:$E,5,FALSE),1,0)</f>
        <v>1</v>
      </c>
      <c r="AS72" s="8">
        <f>IF(J72=VLOOKUP(VALUE(J$1),Questions!$A:$E,5,FALSE),1,0)</f>
        <v>1</v>
      </c>
      <c r="AT72" s="8">
        <f>IF(K72=VLOOKUP(VALUE(K$1),Questions!$A:$E,5,FALSE),1,0)</f>
        <v>1</v>
      </c>
      <c r="AU72" s="8">
        <f>IF(L72=VLOOKUP(VALUE(L$1),Questions!$A:$E,5,FALSE),1,0)</f>
        <v>1</v>
      </c>
      <c r="AV72" s="8">
        <f>IF(M72=VLOOKUP(VALUE(M$1),Questions!$A:$E,5,FALSE),1,0)</f>
        <v>1</v>
      </c>
      <c r="AW72" s="8">
        <f>IF(N72=VLOOKUP(VALUE(N$1),Questions!$A:$E,5,FALSE),1,0)</f>
        <v>1</v>
      </c>
      <c r="AX72" s="8">
        <f>IF(O72=VLOOKUP(VALUE(O$1),Questions!$A:$E,5,FALSE),1,0)</f>
        <v>1</v>
      </c>
      <c r="AY72" s="8">
        <f>IF(P72=VLOOKUP(VALUE(P$1),Questions!$A:$E,5,FALSE),1,0)</f>
        <v>0</v>
      </c>
      <c r="AZ72" s="8">
        <f>IF(Q72=VLOOKUP(VALUE(Q$1),Questions!$A:$E,5,FALSE),1,0)</f>
        <v>1</v>
      </c>
      <c r="BA72" s="8">
        <f>IF(R72=VLOOKUP(VALUE(R$1),Questions!$A:$E,5,FALSE),1,0)</f>
        <v>0</v>
      </c>
      <c r="BB72" s="8">
        <f>IF(S72=VLOOKUP(VALUE(S$1),Questions!$A:$E,5,FALSE),1,0)</f>
        <v>1</v>
      </c>
      <c r="BC72" s="8">
        <f>IF(T72=VLOOKUP(VALUE(T$1),Questions!$A:$E,5,FALSE),1,0)</f>
        <v>1</v>
      </c>
      <c r="BD72" s="8">
        <f>IF(U72=VLOOKUP(VALUE(U$1),Questions!$A:$E,5,FALSE),1,0)</f>
        <v>1</v>
      </c>
      <c r="BE72" s="8">
        <f>IF(V72=VLOOKUP(VALUE(V$1),Questions!$A:$E,5,FALSE),1,0)</f>
        <v>1</v>
      </c>
      <c r="BF72" s="8">
        <f>IF(W72=VLOOKUP(VALUE(W$1),Questions!$A:$E,5,FALSE),1,0)</f>
        <v>1</v>
      </c>
      <c r="BG72" s="8">
        <f>IF(X72=VLOOKUP(VALUE(X$1),Questions!$A:$E,5,FALSE),1,0)</f>
        <v>1</v>
      </c>
      <c r="BH72" s="8">
        <f>IF(Y72=VLOOKUP(VALUE(Y$1),Questions!$A:$E,5,FALSE),1,0)</f>
        <v>1</v>
      </c>
      <c r="BI72" s="8">
        <f>IF(Z72=VLOOKUP(VALUE(Z$1),Questions!$A:$E,5,FALSE),1,0)</f>
        <v>0</v>
      </c>
      <c r="BJ72" s="8">
        <f>IF(AA72=VLOOKUP(VALUE(AA$1),Questions!$A:$E,5,FALSE),1,0)</f>
        <v>1</v>
      </c>
      <c r="BK72" s="8">
        <f>IF(AB72=VLOOKUP(VALUE(AB$1),Questions!$A:$E,5,FALSE),1,0)</f>
        <v>1</v>
      </c>
      <c r="BL72" s="8">
        <f>IF(AC72=VLOOKUP(VALUE(AC$1),Questions!$A:$E,5,FALSE),1,0)</f>
        <v>0</v>
      </c>
      <c r="BM72" s="8">
        <f>IF(AD72=VLOOKUP(VALUE(AD$1),Questions!$A:$E,5,FALSE),1,0)</f>
        <v>1</v>
      </c>
      <c r="BN72" s="8">
        <f>IF(AE72=VLOOKUP(VALUE(AE$1),Questions!$A:$E,5,FALSE),1,0)</f>
        <v>0</v>
      </c>
      <c r="BO72" s="8">
        <f>IF(AF72=VLOOKUP(VALUE(AF$1),Questions!$A:$E,5,FALSE),1,0)</f>
        <v>1</v>
      </c>
      <c r="BP72" s="8">
        <f>IF(AG72=VLOOKUP(VALUE(AG$1),Questions!$A:$E,5,FALSE),1,0)</f>
        <v>0</v>
      </c>
      <c r="BQ72" s="8">
        <f>IF(AH72=VLOOKUP(VALUE(AH$1),Questions!$A:$E,5,FALSE),1,0)</f>
        <v>0</v>
      </c>
    </row>
    <row r="73" spans="1:69" ht="13" customHeight="1" x14ac:dyDescent="0.15">
      <c r="A73" t="s">
        <v>35</v>
      </c>
      <c r="B73" s="7">
        <v>10</v>
      </c>
      <c r="C73" s="7">
        <v>8</v>
      </c>
      <c r="D73">
        <v>72</v>
      </c>
      <c r="F73" s="8" t="s">
        <v>783</v>
      </c>
      <c r="G73" s="8">
        <v>4</v>
      </c>
      <c r="H73" s="8">
        <v>1</v>
      </c>
      <c r="I73" s="8">
        <v>2</v>
      </c>
      <c r="J73" s="8">
        <v>2</v>
      </c>
      <c r="K73" s="8">
        <v>4</v>
      </c>
      <c r="L73" s="8">
        <v>4</v>
      </c>
      <c r="M73" s="8">
        <v>2</v>
      </c>
      <c r="N73" s="8">
        <v>3</v>
      </c>
      <c r="O73" s="8">
        <v>1</v>
      </c>
      <c r="P73" s="8">
        <v>4</v>
      </c>
      <c r="Q73" s="8">
        <v>1</v>
      </c>
      <c r="R73" s="8">
        <v>4</v>
      </c>
      <c r="S73" s="8">
        <v>3</v>
      </c>
      <c r="T73" s="8">
        <v>2</v>
      </c>
      <c r="U73" s="8">
        <v>3</v>
      </c>
      <c r="V73" s="8">
        <v>3</v>
      </c>
      <c r="W73" s="8">
        <v>4</v>
      </c>
      <c r="X73" s="8">
        <v>4</v>
      </c>
      <c r="Y73" s="8">
        <v>1</v>
      </c>
      <c r="Z73" s="8">
        <v>2</v>
      </c>
      <c r="AA73" s="8">
        <v>1</v>
      </c>
      <c r="AB73" s="8">
        <v>3</v>
      </c>
      <c r="AC73" s="8">
        <v>3</v>
      </c>
      <c r="AD73" s="8">
        <v>1</v>
      </c>
      <c r="AE73" s="8">
        <v>1</v>
      </c>
      <c r="AG73" s="8">
        <v>2</v>
      </c>
      <c r="AH73" s="8">
        <v>1</v>
      </c>
      <c r="AI73" s="8">
        <v>1</v>
      </c>
      <c r="AL73" s="8">
        <v>1</v>
      </c>
      <c r="AP73" s="8">
        <f>IF(G73=VLOOKUP(VALUE(G$1),Questions!$A:$E,5,FALSE),1,0)</f>
        <v>1</v>
      </c>
      <c r="AQ73" s="8">
        <f>IF(H73=VLOOKUP(VALUE(H$1),Questions!$A:$E,5,FALSE),1,0)</f>
        <v>1</v>
      </c>
      <c r="AR73" s="8">
        <f>IF(I73=VLOOKUP(VALUE(I$1),Questions!$A:$E,5,FALSE),1,0)</f>
        <v>0</v>
      </c>
      <c r="AS73" s="8">
        <f>IF(J73=VLOOKUP(VALUE(J$1),Questions!$A:$E,5,FALSE),1,0)</f>
        <v>1</v>
      </c>
      <c r="AT73" s="8">
        <f>IF(K73=VLOOKUP(VALUE(K$1),Questions!$A:$E,5,FALSE),1,0)</f>
        <v>0</v>
      </c>
      <c r="AU73" s="8">
        <f>IF(L73=VLOOKUP(VALUE(L$1),Questions!$A:$E,5,FALSE),1,0)</f>
        <v>0</v>
      </c>
      <c r="AV73" s="8">
        <f>IF(M73=VLOOKUP(VALUE(M$1),Questions!$A:$E,5,FALSE),1,0)</f>
        <v>1</v>
      </c>
      <c r="AW73" s="8">
        <f>IF(N73=VLOOKUP(VALUE(N$1),Questions!$A:$E,5,FALSE),1,0)</f>
        <v>1</v>
      </c>
      <c r="AX73" s="8">
        <f>IF(O73=VLOOKUP(VALUE(O$1),Questions!$A:$E,5,FALSE),1,0)</f>
        <v>1</v>
      </c>
      <c r="AY73" s="8">
        <f>IF(P73=VLOOKUP(VALUE(P$1),Questions!$A:$E,5,FALSE),1,0)</f>
        <v>0</v>
      </c>
      <c r="AZ73" s="8">
        <f>IF(Q73=VLOOKUP(VALUE(Q$1),Questions!$A:$E,5,FALSE),1,0)</f>
        <v>1</v>
      </c>
      <c r="BA73" s="8">
        <f>IF(R73=VLOOKUP(VALUE(R$1),Questions!$A:$E,5,FALSE),1,0)</f>
        <v>1</v>
      </c>
      <c r="BB73" s="8">
        <f>IF(S73=VLOOKUP(VALUE(S$1),Questions!$A:$E,5,FALSE),1,0)</f>
        <v>0</v>
      </c>
      <c r="BC73" s="8">
        <f>IF(T73=VLOOKUP(VALUE(T$1),Questions!$A:$E,5,FALSE),1,0)</f>
        <v>1</v>
      </c>
      <c r="BD73" s="8">
        <f>IF(U73=VLOOKUP(VALUE(U$1),Questions!$A:$E,5,FALSE),1,0)</f>
        <v>0</v>
      </c>
      <c r="BE73" s="8">
        <f>IF(V73=VLOOKUP(VALUE(V$1),Questions!$A:$E,5,FALSE),1,0)</f>
        <v>1</v>
      </c>
      <c r="BF73" s="8">
        <f>IF(W73=VLOOKUP(VALUE(W$1),Questions!$A:$E,5,FALSE),1,0)</f>
        <v>1</v>
      </c>
      <c r="BG73" s="8">
        <f>IF(X73=VLOOKUP(VALUE(X$1),Questions!$A:$E,5,FALSE),1,0)</f>
        <v>0</v>
      </c>
      <c r="BH73" s="8">
        <f>IF(Y73=VLOOKUP(VALUE(Y$1),Questions!$A:$E,5,FALSE),1,0)</f>
        <v>1</v>
      </c>
      <c r="BI73" s="8">
        <f>IF(Z73=VLOOKUP(VALUE(Z$1),Questions!$A:$E,5,FALSE),1,0)</f>
        <v>0</v>
      </c>
      <c r="BJ73" s="8">
        <f>IF(AA73=VLOOKUP(VALUE(AA$1),Questions!$A:$E,5,FALSE),1,0)</f>
        <v>0</v>
      </c>
      <c r="BK73" s="8">
        <f>IF(AB73=VLOOKUP(VALUE(AB$1),Questions!$A:$E,5,FALSE),1,0)</f>
        <v>0</v>
      </c>
      <c r="BL73" s="8">
        <f>IF(AC73=VLOOKUP(VALUE(AC$1),Questions!$A:$E,5,FALSE),1,0)</f>
        <v>0</v>
      </c>
      <c r="BM73" s="8">
        <f>IF(AD73=VLOOKUP(VALUE(AD$1),Questions!$A:$E,5,FALSE),1,0)</f>
        <v>0</v>
      </c>
      <c r="BN73" s="8">
        <f>IF(AE73=VLOOKUP(VALUE(AE$1),Questions!$A:$E,5,FALSE),1,0)</f>
        <v>0</v>
      </c>
      <c r="BO73" s="8">
        <f>IF(AF73=VLOOKUP(VALUE(AF$1),Questions!$A:$E,5,FALSE),1,0)</f>
        <v>0</v>
      </c>
      <c r="BP73" s="8">
        <f>IF(AG73=VLOOKUP(VALUE(AG$1),Questions!$A:$E,5,FALSE),1,0)</f>
        <v>0</v>
      </c>
      <c r="BQ73" s="8">
        <f>IF(AH73=VLOOKUP(VALUE(AH$1),Questions!$A:$E,5,FALSE),1,0)</f>
        <v>0</v>
      </c>
    </row>
    <row r="74" spans="1:69" ht="13" customHeight="1" x14ac:dyDescent="0.15">
      <c r="A74" t="s">
        <v>35</v>
      </c>
      <c r="B74" s="7">
        <v>10</v>
      </c>
      <c r="C74" s="7">
        <v>8</v>
      </c>
      <c r="D74">
        <v>73</v>
      </c>
      <c r="G74" s="8">
        <v>4</v>
      </c>
      <c r="H74" s="8">
        <v>1</v>
      </c>
      <c r="I74" s="8">
        <v>3</v>
      </c>
      <c r="J74" s="8">
        <v>2</v>
      </c>
      <c r="K74" s="8">
        <v>1</v>
      </c>
      <c r="L74" s="8">
        <v>3</v>
      </c>
      <c r="M74" s="8">
        <v>2</v>
      </c>
      <c r="N74" s="8">
        <v>3</v>
      </c>
      <c r="O74" s="8">
        <v>1</v>
      </c>
      <c r="P74" s="8">
        <v>3</v>
      </c>
      <c r="Q74" s="8">
        <v>1</v>
      </c>
      <c r="R74" s="8">
        <v>1</v>
      </c>
      <c r="S74" s="8">
        <v>2</v>
      </c>
      <c r="T74" s="8">
        <v>4</v>
      </c>
      <c r="U74" s="8">
        <v>4</v>
      </c>
      <c r="V74" s="8">
        <v>3</v>
      </c>
      <c r="W74" s="8">
        <v>4</v>
      </c>
      <c r="X74" s="8">
        <v>3</v>
      </c>
      <c r="Y74" s="8">
        <v>1</v>
      </c>
      <c r="Z74" s="8">
        <v>3</v>
      </c>
      <c r="AA74" s="8">
        <v>4</v>
      </c>
      <c r="AB74" s="8">
        <v>2</v>
      </c>
      <c r="AC74" s="8">
        <v>2</v>
      </c>
      <c r="AD74" s="8">
        <v>3</v>
      </c>
      <c r="AE74" s="8">
        <v>2</v>
      </c>
      <c r="AF74" s="8">
        <v>4</v>
      </c>
      <c r="AG74" s="8">
        <v>1</v>
      </c>
      <c r="AH74" s="8">
        <v>2</v>
      </c>
      <c r="AI74" s="8">
        <v>0</v>
      </c>
      <c r="AJ74" s="8">
        <v>0</v>
      </c>
      <c r="AK74" s="8">
        <v>1</v>
      </c>
      <c r="AL74" s="8">
        <v>0</v>
      </c>
      <c r="AM74" s="8">
        <v>1</v>
      </c>
      <c r="AN74" s="8">
        <v>1</v>
      </c>
      <c r="AO74" s="8">
        <v>1</v>
      </c>
      <c r="AP74" s="8">
        <f>IF(G74=VLOOKUP(VALUE(G$1),Questions!$A:$E,5,FALSE),1,0)</f>
        <v>1</v>
      </c>
      <c r="AQ74" s="8">
        <f>IF(H74=VLOOKUP(VALUE(H$1),Questions!$A:$E,5,FALSE),1,0)</f>
        <v>1</v>
      </c>
      <c r="AR74" s="8">
        <f>IF(I74=VLOOKUP(VALUE(I$1),Questions!$A:$E,5,FALSE),1,0)</f>
        <v>1</v>
      </c>
      <c r="AS74" s="8">
        <f>IF(J74=VLOOKUP(VALUE(J$1),Questions!$A:$E,5,FALSE),1,0)</f>
        <v>1</v>
      </c>
      <c r="AT74" s="8">
        <f>IF(K74=VLOOKUP(VALUE(K$1),Questions!$A:$E,5,FALSE),1,0)</f>
        <v>1</v>
      </c>
      <c r="AU74" s="8">
        <f>IF(L74=VLOOKUP(VALUE(L$1),Questions!$A:$E,5,FALSE),1,0)</f>
        <v>1</v>
      </c>
      <c r="AV74" s="8">
        <f>IF(M74=VLOOKUP(VALUE(M$1),Questions!$A:$E,5,FALSE),1,0)</f>
        <v>1</v>
      </c>
      <c r="AW74" s="8">
        <f>IF(N74=VLOOKUP(VALUE(N$1),Questions!$A:$E,5,FALSE),1,0)</f>
        <v>1</v>
      </c>
      <c r="AX74" s="8">
        <f>IF(O74=VLOOKUP(VALUE(O$1),Questions!$A:$E,5,FALSE),1,0)</f>
        <v>1</v>
      </c>
      <c r="AY74" s="8">
        <f>IF(P74=VLOOKUP(VALUE(P$1),Questions!$A:$E,5,FALSE),1,0)</f>
        <v>1</v>
      </c>
      <c r="AZ74" s="8">
        <f>IF(Q74=VLOOKUP(VALUE(Q$1),Questions!$A:$E,5,FALSE),1,0)</f>
        <v>1</v>
      </c>
      <c r="BA74" s="8">
        <f>IF(R74=VLOOKUP(VALUE(R$1),Questions!$A:$E,5,FALSE),1,0)</f>
        <v>0</v>
      </c>
      <c r="BB74" s="8">
        <f>IF(S74=VLOOKUP(VALUE(S$1),Questions!$A:$E,5,FALSE),1,0)</f>
        <v>1</v>
      </c>
      <c r="BC74" s="8">
        <f>IF(T74=VLOOKUP(VALUE(T$1),Questions!$A:$E,5,FALSE),1,0)</f>
        <v>0</v>
      </c>
      <c r="BD74" s="8">
        <f>IF(U74=VLOOKUP(VALUE(U$1),Questions!$A:$E,5,FALSE),1,0)</f>
        <v>1</v>
      </c>
      <c r="BE74" s="8">
        <f>IF(V74=VLOOKUP(VALUE(V$1),Questions!$A:$E,5,FALSE),1,0)</f>
        <v>1</v>
      </c>
      <c r="BF74" s="8">
        <f>IF(W74=VLOOKUP(VALUE(W$1),Questions!$A:$E,5,FALSE),1,0)</f>
        <v>1</v>
      </c>
      <c r="BG74" s="8">
        <f>IF(X74=VLOOKUP(VALUE(X$1),Questions!$A:$E,5,FALSE),1,0)</f>
        <v>1</v>
      </c>
      <c r="BH74" s="8">
        <f>IF(Y74=VLOOKUP(VALUE(Y$1),Questions!$A:$E,5,FALSE),1,0)</f>
        <v>1</v>
      </c>
      <c r="BI74" s="8">
        <f>IF(Z74=VLOOKUP(VALUE(Z$1),Questions!$A:$E,5,FALSE),1,0)</f>
        <v>1</v>
      </c>
      <c r="BJ74" s="8">
        <f>IF(AA74=VLOOKUP(VALUE(AA$1),Questions!$A:$E,5,FALSE),1,0)</f>
        <v>1</v>
      </c>
      <c r="BK74" s="8">
        <f>IF(AB74=VLOOKUP(VALUE(AB$1),Questions!$A:$E,5,FALSE),1,0)</f>
        <v>1</v>
      </c>
      <c r="BL74" s="8">
        <f>IF(AC74=VLOOKUP(VALUE(AC$1),Questions!$A:$E,5,FALSE),1,0)</f>
        <v>1</v>
      </c>
      <c r="BM74" s="8">
        <f>IF(AD74=VLOOKUP(VALUE(AD$1),Questions!$A:$E,5,FALSE),1,0)</f>
        <v>1</v>
      </c>
      <c r="BN74" s="8">
        <f>IF(AE74=VLOOKUP(VALUE(AE$1),Questions!$A:$E,5,FALSE),1,0)</f>
        <v>1</v>
      </c>
      <c r="BO74" s="8">
        <f>IF(AF74=VLOOKUP(VALUE(AF$1),Questions!$A:$E,5,FALSE),1,0)</f>
        <v>1</v>
      </c>
      <c r="BP74" s="8">
        <f>IF(AG74=VLOOKUP(VALUE(AG$1),Questions!$A:$E,5,FALSE),1,0)</f>
        <v>1</v>
      </c>
      <c r="BQ74" s="8">
        <f>IF(AH74=VLOOKUP(VALUE(AH$1),Questions!$A:$E,5,FALSE),1,0)</f>
        <v>1</v>
      </c>
    </row>
    <row r="75" spans="1:69" ht="13" customHeight="1" x14ac:dyDescent="0.15">
      <c r="A75" t="s">
        <v>35</v>
      </c>
      <c r="B75" s="7">
        <v>10</v>
      </c>
      <c r="C75" s="7">
        <v>8</v>
      </c>
      <c r="D75">
        <v>74</v>
      </c>
      <c r="G75" s="8">
        <v>3</v>
      </c>
      <c r="H75" s="8">
        <v>1</v>
      </c>
      <c r="I75" s="8">
        <v>3</v>
      </c>
      <c r="J75" s="8">
        <v>4</v>
      </c>
      <c r="K75" s="8">
        <v>1</v>
      </c>
      <c r="L75" s="8">
        <v>3</v>
      </c>
      <c r="M75" s="8">
        <v>2</v>
      </c>
      <c r="N75" s="8">
        <v>3</v>
      </c>
      <c r="O75" s="8">
        <v>1</v>
      </c>
      <c r="P75" s="8">
        <v>3</v>
      </c>
      <c r="Q75" s="8">
        <v>1</v>
      </c>
      <c r="R75" s="8">
        <v>4</v>
      </c>
      <c r="S75" s="8">
        <v>2</v>
      </c>
      <c r="T75" s="8">
        <v>4</v>
      </c>
      <c r="U75" s="8">
        <v>3</v>
      </c>
      <c r="V75" s="8">
        <v>1</v>
      </c>
      <c r="W75" s="8">
        <v>1</v>
      </c>
      <c r="X75" s="8">
        <v>4</v>
      </c>
      <c r="Y75" s="8">
        <v>1</v>
      </c>
      <c r="Z75" s="8">
        <v>2</v>
      </c>
      <c r="AA75" s="8">
        <v>4</v>
      </c>
      <c r="AB75" s="8">
        <v>2</v>
      </c>
      <c r="AC75" s="8">
        <v>2</v>
      </c>
      <c r="AD75" s="8">
        <v>3</v>
      </c>
      <c r="AE75" s="8">
        <v>2</v>
      </c>
      <c r="AF75" s="8">
        <v>4</v>
      </c>
      <c r="AG75" s="8">
        <v>2</v>
      </c>
      <c r="AH75" s="8">
        <v>3</v>
      </c>
      <c r="AI75" s="8">
        <v>0</v>
      </c>
      <c r="AJ75" s="8">
        <v>1</v>
      </c>
      <c r="AK75" s="8">
        <v>0</v>
      </c>
      <c r="AL75" s="8">
        <v>1</v>
      </c>
      <c r="AM75" s="8">
        <v>1</v>
      </c>
      <c r="AP75" s="8">
        <f>IF(G75=VLOOKUP(VALUE(G$1),Questions!$A:$E,5,FALSE),1,0)</f>
        <v>0</v>
      </c>
      <c r="AQ75" s="8">
        <f>IF(H75=VLOOKUP(VALUE(H$1),Questions!$A:$E,5,FALSE),1,0)</f>
        <v>1</v>
      </c>
      <c r="AR75" s="8">
        <f>IF(I75=VLOOKUP(VALUE(I$1),Questions!$A:$E,5,FALSE),1,0)</f>
        <v>1</v>
      </c>
      <c r="AS75" s="8">
        <f>IF(J75=VLOOKUP(VALUE(J$1),Questions!$A:$E,5,FALSE),1,0)</f>
        <v>0</v>
      </c>
      <c r="AT75" s="8">
        <f>IF(K75=VLOOKUP(VALUE(K$1),Questions!$A:$E,5,FALSE),1,0)</f>
        <v>1</v>
      </c>
      <c r="AU75" s="8">
        <f>IF(L75=VLOOKUP(VALUE(L$1),Questions!$A:$E,5,FALSE),1,0)</f>
        <v>1</v>
      </c>
      <c r="AV75" s="8">
        <f>IF(M75=VLOOKUP(VALUE(M$1),Questions!$A:$E,5,FALSE),1,0)</f>
        <v>1</v>
      </c>
      <c r="AW75" s="8">
        <f>IF(N75=VLOOKUP(VALUE(N$1),Questions!$A:$E,5,FALSE),1,0)</f>
        <v>1</v>
      </c>
      <c r="AX75" s="8">
        <f>IF(O75=VLOOKUP(VALUE(O$1),Questions!$A:$E,5,FALSE),1,0)</f>
        <v>1</v>
      </c>
      <c r="AY75" s="8">
        <f>IF(P75=VLOOKUP(VALUE(P$1),Questions!$A:$E,5,FALSE),1,0)</f>
        <v>1</v>
      </c>
      <c r="AZ75" s="8">
        <f>IF(Q75=VLOOKUP(VALUE(Q$1),Questions!$A:$E,5,FALSE),1,0)</f>
        <v>1</v>
      </c>
      <c r="BA75" s="8">
        <f>IF(R75=VLOOKUP(VALUE(R$1),Questions!$A:$E,5,FALSE),1,0)</f>
        <v>1</v>
      </c>
      <c r="BB75" s="8">
        <f>IF(S75=VLOOKUP(VALUE(S$1),Questions!$A:$E,5,FALSE),1,0)</f>
        <v>1</v>
      </c>
      <c r="BC75" s="8">
        <f>IF(T75=VLOOKUP(VALUE(T$1),Questions!$A:$E,5,FALSE),1,0)</f>
        <v>0</v>
      </c>
      <c r="BD75" s="8">
        <f>IF(U75=VLOOKUP(VALUE(U$1),Questions!$A:$E,5,FALSE),1,0)</f>
        <v>0</v>
      </c>
      <c r="BE75" s="8">
        <f>IF(V75=VLOOKUP(VALUE(V$1),Questions!$A:$E,5,FALSE),1,0)</f>
        <v>0</v>
      </c>
      <c r="BF75" s="8">
        <f>IF(W75=VLOOKUP(VALUE(W$1),Questions!$A:$E,5,FALSE),1,0)</f>
        <v>0</v>
      </c>
      <c r="BG75" s="8">
        <f>IF(X75=VLOOKUP(VALUE(X$1),Questions!$A:$E,5,FALSE),1,0)</f>
        <v>0</v>
      </c>
      <c r="BH75" s="8">
        <f>IF(Y75=VLOOKUP(VALUE(Y$1),Questions!$A:$E,5,FALSE),1,0)</f>
        <v>1</v>
      </c>
      <c r="BI75" s="8">
        <f>IF(Z75=VLOOKUP(VALUE(Z$1),Questions!$A:$E,5,FALSE),1,0)</f>
        <v>0</v>
      </c>
      <c r="BJ75" s="8">
        <f>IF(AA75=VLOOKUP(VALUE(AA$1),Questions!$A:$E,5,FALSE),1,0)</f>
        <v>1</v>
      </c>
      <c r="BK75" s="8">
        <f>IF(AB75=VLOOKUP(VALUE(AB$1),Questions!$A:$E,5,FALSE),1,0)</f>
        <v>1</v>
      </c>
      <c r="BL75" s="8">
        <f>IF(AC75=VLOOKUP(VALUE(AC$1),Questions!$A:$E,5,FALSE),1,0)</f>
        <v>1</v>
      </c>
      <c r="BM75" s="8">
        <f>IF(AD75=VLOOKUP(VALUE(AD$1),Questions!$A:$E,5,FALSE),1,0)</f>
        <v>1</v>
      </c>
      <c r="BN75" s="8">
        <f>IF(AE75=VLOOKUP(VALUE(AE$1),Questions!$A:$E,5,FALSE),1,0)</f>
        <v>1</v>
      </c>
      <c r="BO75" s="8">
        <f>IF(AF75=VLOOKUP(VALUE(AF$1),Questions!$A:$E,5,FALSE),1,0)</f>
        <v>1</v>
      </c>
      <c r="BP75" s="8">
        <f>IF(AG75=VLOOKUP(VALUE(AG$1),Questions!$A:$E,5,FALSE),1,0)</f>
        <v>0</v>
      </c>
      <c r="BQ75" s="8">
        <f>IF(AH75=VLOOKUP(VALUE(AH$1),Questions!$A:$E,5,FALSE),1,0)</f>
        <v>0</v>
      </c>
    </row>
    <row r="76" spans="1:69" ht="13" customHeight="1" x14ac:dyDescent="0.15">
      <c r="A76" t="s">
        <v>35</v>
      </c>
      <c r="B76" s="7">
        <v>10</v>
      </c>
      <c r="C76" s="7">
        <v>8</v>
      </c>
      <c r="D76">
        <v>75</v>
      </c>
      <c r="F76" s="8" t="s">
        <v>783</v>
      </c>
      <c r="G76" s="8">
        <v>4</v>
      </c>
      <c r="H76" s="8">
        <v>1</v>
      </c>
      <c r="I76" s="8">
        <v>3</v>
      </c>
      <c r="J76" s="8">
        <v>2</v>
      </c>
      <c r="K76" s="8">
        <v>1</v>
      </c>
      <c r="L76" s="8">
        <v>3</v>
      </c>
      <c r="M76" s="8">
        <v>2</v>
      </c>
      <c r="N76" s="8">
        <v>3</v>
      </c>
      <c r="O76" s="8">
        <v>1</v>
      </c>
      <c r="P76" s="8">
        <v>3</v>
      </c>
      <c r="Q76" s="8">
        <v>1</v>
      </c>
      <c r="R76" s="8">
        <v>4</v>
      </c>
      <c r="S76" s="8">
        <v>2</v>
      </c>
      <c r="T76" s="8">
        <v>2</v>
      </c>
      <c r="U76" s="8">
        <v>4</v>
      </c>
      <c r="V76" s="8">
        <v>3</v>
      </c>
      <c r="W76" s="8">
        <v>4</v>
      </c>
      <c r="X76" s="8">
        <v>3</v>
      </c>
      <c r="Y76" s="8">
        <v>1</v>
      </c>
      <c r="Z76" s="8">
        <v>3</v>
      </c>
      <c r="AA76" s="8">
        <v>4</v>
      </c>
      <c r="AB76" s="8">
        <v>2</v>
      </c>
      <c r="AC76" s="8">
        <v>3</v>
      </c>
      <c r="AD76" s="8">
        <v>3</v>
      </c>
      <c r="AE76" s="8">
        <v>2</v>
      </c>
      <c r="AF76" s="8">
        <v>4</v>
      </c>
      <c r="AG76" s="8">
        <v>1</v>
      </c>
      <c r="AH76" s="8">
        <v>2</v>
      </c>
      <c r="AI76" s="8">
        <v>1</v>
      </c>
      <c r="AJ76" s="8">
        <v>0</v>
      </c>
      <c r="AK76" s="8">
        <v>0</v>
      </c>
      <c r="AL76" s="8">
        <v>1</v>
      </c>
      <c r="AM76" s="8">
        <v>0</v>
      </c>
      <c r="AN76" s="8">
        <v>0</v>
      </c>
      <c r="AO76" s="8">
        <v>0</v>
      </c>
      <c r="AP76" s="8">
        <f>IF(G76=VLOOKUP(VALUE(G$1),Questions!$A:$E,5,FALSE),1,0)</f>
        <v>1</v>
      </c>
      <c r="AQ76" s="8">
        <f>IF(H76=VLOOKUP(VALUE(H$1),Questions!$A:$E,5,FALSE),1,0)</f>
        <v>1</v>
      </c>
      <c r="AR76" s="8">
        <f>IF(I76=VLOOKUP(VALUE(I$1),Questions!$A:$E,5,FALSE),1,0)</f>
        <v>1</v>
      </c>
      <c r="AS76" s="8">
        <f>IF(J76=VLOOKUP(VALUE(J$1),Questions!$A:$E,5,FALSE),1,0)</f>
        <v>1</v>
      </c>
      <c r="AT76" s="8">
        <f>IF(K76=VLOOKUP(VALUE(K$1),Questions!$A:$E,5,FALSE),1,0)</f>
        <v>1</v>
      </c>
      <c r="AU76" s="8">
        <f>IF(L76=VLOOKUP(VALUE(L$1),Questions!$A:$E,5,FALSE),1,0)</f>
        <v>1</v>
      </c>
      <c r="AV76" s="8">
        <f>IF(M76=VLOOKUP(VALUE(M$1),Questions!$A:$E,5,FALSE),1,0)</f>
        <v>1</v>
      </c>
      <c r="AW76" s="8">
        <f>IF(N76=VLOOKUP(VALUE(N$1),Questions!$A:$E,5,FALSE),1,0)</f>
        <v>1</v>
      </c>
      <c r="AX76" s="8">
        <f>IF(O76=VLOOKUP(VALUE(O$1),Questions!$A:$E,5,FALSE),1,0)</f>
        <v>1</v>
      </c>
      <c r="AY76" s="8">
        <f>IF(P76=VLOOKUP(VALUE(P$1),Questions!$A:$E,5,FALSE),1,0)</f>
        <v>1</v>
      </c>
      <c r="AZ76" s="8">
        <f>IF(Q76=VLOOKUP(VALUE(Q$1),Questions!$A:$E,5,FALSE),1,0)</f>
        <v>1</v>
      </c>
      <c r="BA76" s="8">
        <f>IF(R76=VLOOKUP(VALUE(R$1),Questions!$A:$E,5,FALSE),1,0)</f>
        <v>1</v>
      </c>
      <c r="BB76" s="8">
        <f>IF(S76=VLOOKUP(VALUE(S$1),Questions!$A:$E,5,FALSE),1,0)</f>
        <v>1</v>
      </c>
      <c r="BC76" s="8">
        <f>IF(T76=VLOOKUP(VALUE(T$1),Questions!$A:$E,5,FALSE),1,0)</f>
        <v>1</v>
      </c>
      <c r="BD76" s="8">
        <f>IF(U76=VLOOKUP(VALUE(U$1),Questions!$A:$E,5,FALSE),1,0)</f>
        <v>1</v>
      </c>
      <c r="BE76" s="8">
        <f>IF(V76=VLOOKUP(VALUE(V$1),Questions!$A:$E,5,FALSE),1,0)</f>
        <v>1</v>
      </c>
      <c r="BF76" s="8">
        <f>IF(W76=VLOOKUP(VALUE(W$1),Questions!$A:$E,5,FALSE),1,0)</f>
        <v>1</v>
      </c>
      <c r="BG76" s="8">
        <f>IF(X76=VLOOKUP(VALUE(X$1),Questions!$A:$E,5,FALSE),1,0)</f>
        <v>1</v>
      </c>
      <c r="BH76" s="8">
        <f>IF(Y76=VLOOKUP(VALUE(Y$1),Questions!$A:$E,5,FALSE),1,0)</f>
        <v>1</v>
      </c>
      <c r="BI76" s="8">
        <f>IF(Z76=VLOOKUP(VALUE(Z$1),Questions!$A:$E,5,FALSE),1,0)</f>
        <v>1</v>
      </c>
      <c r="BJ76" s="8">
        <f>IF(AA76=VLOOKUP(VALUE(AA$1),Questions!$A:$E,5,FALSE),1,0)</f>
        <v>1</v>
      </c>
      <c r="BK76" s="8">
        <f>IF(AB76=VLOOKUP(VALUE(AB$1),Questions!$A:$E,5,FALSE),1,0)</f>
        <v>1</v>
      </c>
      <c r="BL76" s="8">
        <f>IF(AC76=VLOOKUP(VALUE(AC$1),Questions!$A:$E,5,FALSE),1,0)</f>
        <v>0</v>
      </c>
      <c r="BM76" s="8">
        <f>IF(AD76=VLOOKUP(VALUE(AD$1),Questions!$A:$E,5,FALSE),1,0)</f>
        <v>1</v>
      </c>
      <c r="BN76" s="8">
        <f>IF(AE76=VLOOKUP(VALUE(AE$1),Questions!$A:$E,5,FALSE),1,0)</f>
        <v>1</v>
      </c>
      <c r="BO76" s="8">
        <f>IF(AF76=VLOOKUP(VALUE(AF$1),Questions!$A:$E,5,FALSE),1,0)</f>
        <v>1</v>
      </c>
      <c r="BP76" s="8">
        <f>IF(AG76=VLOOKUP(VALUE(AG$1),Questions!$A:$E,5,FALSE),1,0)</f>
        <v>1</v>
      </c>
      <c r="BQ76" s="8">
        <f>IF(AH76=VLOOKUP(VALUE(AH$1),Questions!$A:$E,5,FALSE),1,0)</f>
        <v>1</v>
      </c>
    </row>
    <row r="77" spans="1:69" ht="13" customHeight="1" x14ac:dyDescent="0.15">
      <c r="A77" t="s">
        <v>35</v>
      </c>
      <c r="B77" s="7">
        <v>10</v>
      </c>
      <c r="C77" s="7">
        <v>8</v>
      </c>
      <c r="D77">
        <v>76</v>
      </c>
      <c r="F77" s="8" t="s">
        <v>783</v>
      </c>
      <c r="G77" s="8">
        <v>4</v>
      </c>
      <c r="H77" s="8">
        <v>1</v>
      </c>
      <c r="I77" s="8">
        <v>3</v>
      </c>
      <c r="J77" s="8">
        <v>2</v>
      </c>
      <c r="K77" s="8">
        <v>4</v>
      </c>
      <c r="L77" s="8">
        <v>1</v>
      </c>
      <c r="M77" s="8">
        <v>2</v>
      </c>
      <c r="N77" s="8">
        <v>2</v>
      </c>
      <c r="O77" s="8">
        <v>1</v>
      </c>
      <c r="P77" s="8">
        <v>2</v>
      </c>
      <c r="Q77" s="8">
        <v>1</v>
      </c>
      <c r="R77" s="8">
        <v>3</v>
      </c>
      <c r="S77" s="8">
        <v>1</v>
      </c>
      <c r="T77" s="8">
        <v>2</v>
      </c>
      <c r="U77" s="8">
        <v>3</v>
      </c>
      <c r="V77" s="8">
        <v>1</v>
      </c>
      <c r="W77" s="8">
        <v>3</v>
      </c>
      <c r="X77" s="8">
        <v>1</v>
      </c>
      <c r="Y77" s="8">
        <v>4</v>
      </c>
      <c r="Z77" s="8">
        <v>1</v>
      </c>
      <c r="AA77" s="8">
        <v>3</v>
      </c>
      <c r="AB77" s="8">
        <v>2</v>
      </c>
      <c r="AC77" s="8">
        <v>2</v>
      </c>
      <c r="AD77" s="8">
        <v>3</v>
      </c>
      <c r="AE77" s="8">
        <v>2</v>
      </c>
      <c r="AF77" s="8">
        <v>3</v>
      </c>
      <c r="AG77" s="8">
        <v>2</v>
      </c>
      <c r="AH77" s="8">
        <v>2</v>
      </c>
      <c r="AI77" s="8">
        <v>0</v>
      </c>
      <c r="AJ77" s="8">
        <v>0</v>
      </c>
      <c r="AK77" s="8">
        <v>0</v>
      </c>
      <c r="AL77" s="8">
        <v>1</v>
      </c>
      <c r="AM77" s="8">
        <v>0</v>
      </c>
      <c r="AN77" s="8">
        <v>1</v>
      </c>
      <c r="AO77" s="8">
        <v>0</v>
      </c>
      <c r="AP77" s="8">
        <f>IF(G77=VLOOKUP(VALUE(G$1),Questions!$A:$E,5,FALSE),1,0)</f>
        <v>1</v>
      </c>
      <c r="AQ77" s="8">
        <f>IF(H77=VLOOKUP(VALUE(H$1),Questions!$A:$E,5,FALSE),1,0)</f>
        <v>1</v>
      </c>
      <c r="AR77" s="8">
        <f>IF(I77=VLOOKUP(VALUE(I$1),Questions!$A:$E,5,FALSE),1,0)</f>
        <v>1</v>
      </c>
      <c r="AS77" s="8">
        <f>IF(J77=VLOOKUP(VALUE(J$1),Questions!$A:$E,5,FALSE),1,0)</f>
        <v>1</v>
      </c>
      <c r="AT77" s="8">
        <f>IF(K77=VLOOKUP(VALUE(K$1),Questions!$A:$E,5,FALSE),1,0)</f>
        <v>0</v>
      </c>
      <c r="AU77" s="8">
        <f>IF(L77=VLOOKUP(VALUE(L$1),Questions!$A:$E,5,FALSE),1,0)</f>
        <v>0</v>
      </c>
      <c r="AV77" s="8">
        <f>IF(M77=VLOOKUP(VALUE(M$1),Questions!$A:$E,5,FALSE),1,0)</f>
        <v>1</v>
      </c>
      <c r="AW77" s="8">
        <f>IF(N77=VLOOKUP(VALUE(N$1),Questions!$A:$E,5,FALSE),1,0)</f>
        <v>0</v>
      </c>
      <c r="AX77" s="8">
        <f>IF(O77=VLOOKUP(VALUE(O$1),Questions!$A:$E,5,FALSE),1,0)</f>
        <v>1</v>
      </c>
      <c r="AY77" s="8">
        <f>IF(P77=VLOOKUP(VALUE(P$1),Questions!$A:$E,5,FALSE),1,0)</f>
        <v>0</v>
      </c>
      <c r="AZ77" s="8">
        <f>IF(Q77=VLOOKUP(VALUE(Q$1),Questions!$A:$E,5,FALSE),1,0)</f>
        <v>1</v>
      </c>
      <c r="BA77" s="8">
        <f>IF(R77=VLOOKUP(VALUE(R$1),Questions!$A:$E,5,FALSE),1,0)</f>
        <v>0</v>
      </c>
      <c r="BB77" s="8">
        <f>IF(S77=VLOOKUP(VALUE(S$1),Questions!$A:$E,5,FALSE),1,0)</f>
        <v>0</v>
      </c>
      <c r="BC77" s="8">
        <f>IF(T77=VLOOKUP(VALUE(T$1),Questions!$A:$E,5,FALSE),1,0)</f>
        <v>1</v>
      </c>
      <c r="BD77" s="8">
        <f>IF(U77=VLOOKUP(VALUE(U$1),Questions!$A:$E,5,FALSE),1,0)</f>
        <v>0</v>
      </c>
      <c r="BE77" s="8">
        <f>IF(V77=VLOOKUP(VALUE(V$1),Questions!$A:$E,5,FALSE),1,0)</f>
        <v>0</v>
      </c>
      <c r="BF77" s="8">
        <f>IF(W77=VLOOKUP(VALUE(W$1),Questions!$A:$E,5,FALSE),1,0)</f>
        <v>0</v>
      </c>
      <c r="BG77" s="8">
        <f>IF(X77=VLOOKUP(VALUE(X$1),Questions!$A:$E,5,FALSE),1,0)</f>
        <v>0</v>
      </c>
      <c r="BH77" s="8">
        <f>IF(Y77=VLOOKUP(VALUE(Y$1),Questions!$A:$E,5,FALSE),1,0)</f>
        <v>0</v>
      </c>
      <c r="BI77" s="8">
        <f>IF(Z77=VLOOKUP(VALUE(Z$1),Questions!$A:$E,5,FALSE),1,0)</f>
        <v>0</v>
      </c>
      <c r="BJ77" s="8">
        <f>IF(AA77=VLOOKUP(VALUE(AA$1),Questions!$A:$E,5,FALSE),1,0)</f>
        <v>0</v>
      </c>
      <c r="BK77" s="8">
        <f>IF(AB77=VLOOKUP(VALUE(AB$1),Questions!$A:$E,5,FALSE),1,0)</f>
        <v>1</v>
      </c>
      <c r="BL77" s="8">
        <f>IF(AC77=VLOOKUP(VALUE(AC$1),Questions!$A:$E,5,FALSE),1,0)</f>
        <v>1</v>
      </c>
      <c r="BM77" s="8">
        <f>IF(AD77=VLOOKUP(VALUE(AD$1),Questions!$A:$E,5,FALSE),1,0)</f>
        <v>1</v>
      </c>
      <c r="BN77" s="8">
        <f>IF(AE77=VLOOKUP(VALUE(AE$1),Questions!$A:$E,5,FALSE),1,0)</f>
        <v>1</v>
      </c>
      <c r="BO77" s="8">
        <f>IF(AF77=VLOOKUP(VALUE(AF$1),Questions!$A:$E,5,FALSE),1,0)</f>
        <v>0</v>
      </c>
      <c r="BP77" s="8">
        <f>IF(AG77=VLOOKUP(VALUE(AG$1),Questions!$A:$E,5,FALSE),1,0)</f>
        <v>0</v>
      </c>
      <c r="BQ77" s="8">
        <f>IF(AH77=VLOOKUP(VALUE(AH$1),Questions!$A:$E,5,FALSE),1,0)</f>
        <v>1</v>
      </c>
    </row>
    <row r="78" spans="1:69" ht="13" customHeight="1" x14ac:dyDescent="0.15">
      <c r="A78" t="s">
        <v>35</v>
      </c>
      <c r="B78" s="7">
        <v>10</v>
      </c>
      <c r="C78" s="7">
        <v>8</v>
      </c>
      <c r="D78">
        <v>77</v>
      </c>
      <c r="G78" s="8">
        <v>4</v>
      </c>
      <c r="H78" s="8">
        <v>1</v>
      </c>
      <c r="I78" s="8">
        <v>3</v>
      </c>
      <c r="J78" s="8">
        <v>2</v>
      </c>
      <c r="K78" s="8">
        <v>1</v>
      </c>
      <c r="L78" s="8">
        <v>1</v>
      </c>
      <c r="M78" s="8">
        <v>4</v>
      </c>
      <c r="N78" s="8">
        <v>3</v>
      </c>
      <c r="O78" s="8">
        <v>1</v>
      </c>
      <c r="P78" s="8">
        <v>4</v>
      </c>
      <c r="Q78" s="8">
        <v>1</v>
      </c>
      <c r="R78" s="8">
        <v>3</v>
      </c>
      <c r="S78" s="8">
        <v>3</v>
      </c>
      <c r="T78" s="8">
        <v>1</v>
      </c>
      <c r="U78" s="8">
        <v>4</v>
      </c>
      <c r="V78" s="8">
        <v>3</v>
      </c>
      <c r="W78" s="8">
        <v>4</v>
      </c>
      <c r="X78" s="8">
        <v>3</v>
      </c>
      <c r="Y78" s="8">
        <v>1</v>
      </c>
      <c r="Z78" s="8">
        <v>3</v>
      </c>
      <c r="AA78" s="8">
        <v>4</v>
      </c>
      <c r="AB78" s="8">
        <v>2</v>
      </c>
      <c r="AC78" s="8">
        <v>2</v>
      </c>
      <c r="AD78" s="8">
        <v>3</v>
      </c>
      <c r="AE78" s="8">
        <v>2</v>
      </c>
      <c r="AF78" s="8">
        <v>4</v>
      </c>
      <c r="AG78" s="8">
        <v>1</v>
      </c>
      <c r="AH78" s="8">
        <v>2</v>
      </c>
      <c r="AI78" s="8">
        <v>0</v>
      </c>
      <c r="AJ78" s="8">
        <v>1</v>
      </c>
      <c r="AK78" s="8">
        <v>0</v>
      </c>
      <c r="AL78" s="8">
        <v>1</v>
      </c>
      <c r="AM78" s="8">
        <v>1</v>
      </c>
      <c r="AN78" s="8">
        <v>1</v>
      </c>
      <c r="AO78" s="8">
        <v>1</v>
      </c>
      <c r="AP78" s="8">
        <f>IF(G78=VLOOKUP(VALUE(G$1),Questions!$A:$E,5,FALSE),1,0)</f>
        <v>1</v>
      </c>
      <c r="AQ78" s="8">
        <f>IF(H78=VLOOKUP(VALUE(H$1),Questions!$A:$E,5,FALSE),1,0)</f>
        <v>1</v>
      </c>
      <c r="AR78" s="8">
        <f>IF(I78=VLOOKUP(VALUE(I$1),Questions!$A:$E,5,FALSE),1,0)</f>
        <v>1</v>
      </c>
      <c r="AS78" s="8">
        <f>IF(J78=VLOOKUP(VALUE(J$1),Questions!$A:$E,5,FALSE),1,0)</f>
        <v>1</v>
      </c>
      <c r="AT78" s="8">
        <f>IF(K78=VLOOKUP(VALUE(K$1),Questions!$A:$E,5,FALSE),1,0)</f>
        <v>1</v>
      </c>
      <c r="AU78" s="8">
        <f>IF(L78=VLOOKUP(VALUE(L$1),Questions!$A:$E,5,FALSE),1,0)</f>
        <v>0</v>
      </c>
      <c r="AV78" s="8">
        <f>IF(M78=VLOOKUP(VALUE(M$1),Questions!$A:$E,5,FALSE),1,0)</f>
        <v>0</v>
      </c>
      <c r="AW78" s="8">
        <f>IF(N78=VLOOKUP(VALUE(N$1),Questions!$A:$E,5,FALSE),1,0)</f>
        <v>1</v>
      </c>
      <c r="AX78" s="8">
        <f>IF(O78=VLOOKUP(VALUE(O$1),Questions!$A:$E,5,FALSE),1,0)</f>
        <v>1</v>
      </c>
      <c r="AY78" s="8">
        <f>IF(P78=VLOOKUP(VALUE(P$1),Questions!$A:$E,5,FALSE),1,0)</f>
        <v>0</v>
      </c>
      <c r="AZ78" s="8">
        <f>IF(Q78=VLOOKUP(VALUE(Q$1),Questions!$A:$E,5,FALSE),1,0)</f>
        <v>1</v>
      </c>
      <c r="BA78" s="8">
        <f>IF(R78=VLOOKUP(VALUE(R$1),Questions!$A:$E,5,FALSE),1,0)</f>
        <v>0</v>
      </c>
      <c r="BB78" s="8">
        <f>IF(S78=VLOOKUP(VALUE(S$1),Questions!$A:$E,5,FALSE),1,0)</f>
        <v>0</v>
      </c>
      <c r="BC78" s="8">
        <f>IF(T78=VLOOKUP(VALUE(T$1),Questions!$A:$E,5,FALSE),1,0)</f>
        <v>0</v>
      </c>
      <c r="BD78" s="8">
        <f>IF(U78=VLOOKUP(VALUE(U$1),Questions!$A:$E,5,FALSE),1,0)</f>
        <v>1</v>
      </c>
      <c r="BE78" s="8">
        <f>IF(V78=VLOOKUP(VALUE(V$1),Questions!$A:$E,5,FALSE),1,0)</f>
        <v>1</v>
      </c>
      <c r="BF78" s="8">
        <f>IF(W78=VLOOKUP(VALUE(W$1),Questions!$A:$E,5,FALSE),1,0)</f>
        <v>1</v>
      </c>
      <c r="BG78" s="8">
        <f>IF(X78=VLOOKUP(VALUE(X$1),Questions!$A:$E,5,FALSE),1,0)</f>
        <v>1</v>
      </c>
      <c r="BH78" s="8">
        <f>IF(Y78=VLOOKUP(VALUE(Y$1),Questions!$A:$E,5,FALSE),1,0)</f>
        <v>1</v>
      </c>
      <c r="BI78" s="8">
        <f>IF(Z78=VLOOKUP(VALUE(Z$1),Questions!$A:$E,5,FALSE),1,0)</f>
        <v>1</v>
      </c>
      <c r="BJ78" s="8">
        <f>IF(AA78=VLOOKUP(VALUE(AA$1),Questions!$A:$E,5,FALSE),1,0)</f>
        <v>1</v>
      </c>
      <c r="BK78" s="8">
        <f>IF(AB78=VLOOKUP(VALUE(AB$1),Questions!$A:$E,5,FALSE),1,0)</f>
        <v>1</v>
      </c>
      <c r="BL78" s="8">
        <f>IF(AC78=VLOOKUP(VALUE(AC$1),Questions!$A:$E,5,FALSE),1,0)</f>
        <v>1</v>
      </c>
      <c r="BM78" s="8">
        <f>IF(AD78=VLOOKUP(VALUE(AD$1),Questions!$A:$E,5,FALSE),1,0)</f>
        <v>1</v>
      </c>
      <c r="BN78" s="8">
        <f>IF(AE78=VLOOKUP(VALUE(AE$1),Questions!$A:$E,5,FALSE),1,0)</f>
        <v>1</v>
      </c>
      <c r="BO78" s="8">
        <f>IF(AF78=VLOOKUP(VALUE(AF$1),Questions!$A:$E,5,FALSE),1,0)</f>
        <v>1</v>
      </c>
      <c r="BP78" s="8">
        <f>IF(AG78=VLOOKUP(VALUE(AG$1),Questions!$A:$E,5,FALSE),1,0)</f>
        <v>1</v>
      </c>
      <c r="BQ78" s="8">
        <f>IF(AH78=VLOOKUP(VALUE(AH$1),Questions!$A:$E,5,FALSE),1,0)</f>
        <v>1</v>
      </c>
    </row>
    <row r="79" spans="1:69" ht="13" customHeight="1" x14ac:dyDescent="0.15">
      <c r="A79" t="s">
        <v>36</v>
      </c>
      <c r="B79" s="7">
        <v>10</v>
      </c>
      <c r="C79" s="7">
        <v>6</v>
      </c>
      <c r="D79">
        <v>78</v>
      </c>
      <c r="G79" s="8">
        <v>4</v>
      </c>
      <c r="H79" s="8">
        <v>1</v>
      </c>
      <c r="I79" s="8">
        <v>1</v>
      </c>
      <c r="J79" s="8">
        <v>2</v>
      </c>
      <c r="K79" s="8">
        <v>1</v>
      </c>
      <c r="L79" s="8">
        <v>3</v>
      </c>
      <c r="M79" s="8">
        <v>2</v>
      </c>
      <c r="N79" s="8">
        <v>3</v>
      </c>
      <c r="O79" s="8">
        <v>1</v>
      </c>
      <c r="P79" s="8">
        <v>3</v>
      </c>
      <c r="Q79" s="8">
        <v>1</v>
      </c>
      <c r="R79" s="8">
        <v>4</v>
      </c>
      <c r="S79" s="8">
        <v>1</v>
      </c>
      <c r="T79" s="8">
        <v>2</v>
      </c>
      <c r="U79" s="8">
        <v>4</v>
      </c>
      <c r="V79" s="8">
        <v>3</v>
      </c>
      <c r="W79" s="8">
        <v>4</v>
      </c>
      <c r="X79" s="8">
        <v>3</v>
      </c>
      <c r="Y79" s="8">
        <v>1</v>
      </c>
      <c r="Z79" s="8">
        <v>3</v>
      </c>
      <c r="AA79" s="8">
        <v>4</v>
      </c>
      <c r="AB79" s="8">
        <v>2</v>
      </c>
      <c r="AC79" s="8">
        <v>2</v>
      </c>
      <c r="AD79" s="8">
        <v>3</v>
      </c>
      <c r="AE79" s="8">
        <v>2</v>
      </c>
      <c r="AF79" s="8">
        <v>4</v>
      </c>
      <c r="AG79" s="8">
        <v>1</v>
      </c>
      <c r="AH79" s="8">
        <v>2</v>
      </c>
      <c r="AI79" s="8">
        <v>1</v>
      </c>
      <c r="AL79" s="8">
        <v>1</v>
      </c>
      <c r="AM79" s="8">
        <v>1</v>
      </c>
      <c r="AP79" s="8">
        <f>IF(G79=VLOOKUP(VALUE(G$1),Questions!$A:$E,5,FALSE),1,0)</f>
        <v>1</v>
      </c>
      <c r="AQ79" s="8">
        <f>IF(H79=VLOOKUP(VALUE(H$1),Questions!$A:$E,5,FALSE),1,0)</f>
        <v>1</v>
      </c>
      <c r="AR79" s="8">
        <f>IF(I79=VLOOKUP(VALUE(I$1),Questions!$A:$E,5,FALSE),1,0)</f>
        <v>0</v>
      </c>
      <c r="AS79" s="8">
        <f>IF(J79=VLOOKUP(VALUE(J$1),Questions!$A:$E,5,FALSE),1,0)</f>
        <v>1</v>
      </c>
      <c r="AT79" s="8">
        <f>IF(K79=VLOOKUP(VALUE(K$1),Questions!$A:$E,5,FALSE),1,0)</f>
        <v>1</v>
      </c>
      <c r="AU79" s="8">
        <f>IF(L79=VLOOKUP(VALUE(L$1),Questions!$A:$E,5,FALSE),1,0)</f>
        <v>1</v>
      </c>
      <c r="AV79" s="8">
        <f>IF(M79=VLOOKUP(VALUE(M$1),Questions!$A:$E,5,FALSE),1,0)</f>
        <v>1</v>
      </c>
      <c r="AW79" s="8">
        <f>IF(N79=VLOOKUP(VALUE(N$1),Questions!$A:$E,5,FALSE),1,0)</f>
        <v>1</v>
      </c>
      <c r="AX79" s="8">
        <f>IF(O79=VLOOKUP(VALUE(O$1),Questions!$A:$E,5,FALSE),1,0)</f>
        <v>1</v>
      </c>
      <c r="AY79" s="8">
        <f>IF(P79=VLOOKUP(VALUE(P$1),Questions!$A:$E,5,FALSE),1,0)</f>
        <v>1</v>
      </c>
      <c r="AZ79" s="8">
        <f>IF(Q79=VLOOKUP(VALUE(Q$1),Questions!$A:$E,5,FALSE),1,0)</f>
        <v>1</v>
      </c>
      <c r="BA79" s="8">
        <f>IF(R79=VLOOKUP(VALUE(R$1),Questions!$A:$E,5,FALSE),1,0)</f>
        <v>1</v>
      </c>
      <c r="BB79" s="8">
        <f>IF(S79=VLOOKUP(VALUE(S$1),Questions!$A:$E,5,FALSE),1,0)</f>
        <v>0</v>
      </c>
      <c r="BC79" s="8">
        <f>IF(T79=VLOOKUP(VALUE(T$1),Questions!$A:$E,5,FALSE),1,0)</f>
        <v>1</v>
      </c>
      <c r="BD79" s="8">
        <f>IF(U79=VLOOKUP(VALUE(U$1),Questions!$A:$E,5,FALSE),1,0)</f>
        <v>1</v>
      </c>
      <c r="BE79" s="8">
        <f>IF(V79=VLOOKUP(VALUE(V$1),Questions!$A:$E,5,FALSE),1,0)</f>
        <v>1</v>
      </c>
      <c r="BF79" s="8">
        <f>IF(W79=VLOOKUP(VALUE(W$1),Questions!$A:$E,5,FALSE),1,0)</f>
        <v>1</v>
      </c>
      <c r="BG79" s="8">
        <f>IF(X79=VLOOKUP(VALUE(X$1),Questions!$A:$E,5,FALSE),1,0)</f>
        <v>1</v>
      </c>
      <c r="BH79" s="8">
        <f>IF(Y79=VLOOKUP(VALUE(Y$1),Questions!$A:$E,5,FALSE),1,0)</f>
        <v>1</v>
      </c>
      <c r="BI79" s="8">
        <f>IF(Z79=VLOOKUP(VALUE(Z$1),Questions!$A:$E,5,FALSE),1,0)</f>
        <v>1</v>
      </c>
      <c r="BJ79" s="8">
        <f>IF(AA79=VLOOKUP(VALUE(AA$1),Questions!$A:$E,5,FALSE),1,0)</f>
        <v>1</v>
      </c>
      <c r="BK79" s="8">
        <f>IF(AB79=VLOOKUP(VALUE(AB$1),Questions!$A:$E,5,FALSE),1,0)</f>
        <v>1</v>
      </c>
      <c r="BL79" s="8">
        <f>IF(AC79=VLOOKUP(VALUE(AC$1),Questions!$A:$E,5,FALSE),1,0)</f>
        <v>1</v>
      </c>
      <c r="BM79" s="8">
        <f>IF(AD79=VLOOKUP(VALUE(AD$1),Questions!$A:$E,5,FALSE),1,0)</f>
        <v>1</v>
      </c>
      <c r="BN79" s="8">
        <f>IF(AE79=VLOOKUP(VALUE(AE$1),Questions!$A:$E,5,FALSE),1,0)</f>
        <v>1</v>
      </c>
      <c r="BO79" s="8">
        <f>IF(AF79=VLOOKUP(VALUE(AF$1),Questions!$A:$E,5,FALSE),1,0)</f>
        <v>1</v>
      </c>
      <c r="BP79" s="8">
        <f>IF(AG79=VLOOKUP(VALUE(AG$1),Questions!$A:$E,5,FALSE),1,0)</f>
        <v>1</v>
      </c>
      <c r="BQ79" s="8">
        <f>IF(AH79=VLOOKUP(VALUE(AH$1),Questions!$A:$E,5,FALSE),1,0)</f>
        <v>1</v>
      </c>
    </row>
    <row r="80" spans="1:69" ht="13" customHeight="1" x14ac:dyDescent="0.15">
      <c r="A80" t="s">
        <v>36</v>
      </c>
      <c r="B80" s="7">
        <v>10</v>
      </c>
      <c r="C80" s="7">
        <v>6</v>
      </c>
      <c r="D80">
        <v>79</v>
      </c>
      <c r="G80" s="8">
        <v>3</v>
      </c>
      <c r="H80" s="8">
        <v>2</v>
      </c>
      <c r="I80" s="8">
        <v>3</v>
      </c>
      <c r="J80" s="8">
        <v>2</v>
      </c>
      <c r="K80" s="8">
        <v>4</v>
      </c>
      <c r="L80" s="8">
        <v>3</v>
      </c>
      <c r="M80" s="8">
        <v>4</v>
      </c>
      <c r="N80" s="8">
        <v>1</v>
      </c>
      <c r="O80" s="8">
        <v>3</v>
      </c>
      <c r="P80" s="8">
        <v>4</v>
      </c>
      <c r="Q80" s="8">
        <v>1</v>
      </c>
      <c r="R80" s="8">
        <v>4</v>
      </c>
      <c r="S80" s="8">
        <v>2</v>
      </c>
      <c r="T80" s="8">
        <v>2</v>
      </c>
      <c r="U80" s="8">
        <v>4</v>
      </c>
      <c r="V80" s="8">
        <v>3</v>
      </c>
      <c r="W80" s="8">
        <v>4</v>
      </c>
      <c r="X80" s="8">
        <v>3</v>
      </c>
      <c r="Y80" s="8">
        <v>1</v>
      </c>
      <c r="Z80" s="8">
        <v>3</v>
      </c>
      <c r="AA80" s="8">
        <v>4</v>
      </c>
      <c r="AB80" s="8">
        <v>2</v>
      </c>
      <c r="AC80" s="8">
        <v>2</v>
      </c>
      <c r="AD80" s="8">
        <v>3</v>
      </c>
      <c r="AE80" s="8">
        <v>2</v>
      </c>
      <c r="AF80" s="8">
        <v>4</v>
      </c>
      <c r="AG80" s="8">
        <v>1</v>
      </c>
      <c r="AH80" s="8">
        <v>2</v>
      </c>
      <c r="AP80" s="8">
        <f>IF(G80=VLOOKUP(VALUE(G$1),Questions!$A:$E,5,FALSE),1,0)</f>
        <v>0</v>
      </c>
      <c r="AQ80" s="8">
        <f>IF(H80=VLOOKUP(VALUE(H$1),Questions!$A:$E,5,FALSE),1,0)</f>
        <v>0</v>
      </c>
      <c r="AR80" s="8">
        <f>IF(I80=VLOOKUP(VALUE(I$1),Questions!$A:$E,5,FALSE),1,0)</f>
        <v>1</v>
      </c>
      <c r="AS80" s="8">
        <f>IF(J80=VLOOKUP(VALUE(J$1),Questions!$A:$E,5,FALSE),1,0)</f>
        <v>1</v>
      </c>
      <c r="AT80" s="8">
        <f>IF(K80=VLOOKUP(VALUE(K$1),Questions!$A:$E,5,FALSE),1,0)</f>
        <v>0</v>
      </c>
      <c r="AU80" s="8">
        <f>IF(L80=VLOOKUP(VALUE(L$1),Questions!$A:$E,5,FALSE),1,0)</f>
        <v>1</v>
      </c>
      <c r="AV80" s="8">
        <f>IF(M80=VLOOKUP(VALUE(M$1),Questions!$A:$E,5,FALSE),1,0)</f>
        <v>0</v>
      </c>
      <c r="AW80" s="8">
        <f>IF(N80=VLOOKUP(VALUE(N$1),Questions!$A:$E,5,FALSE),1,0)</f>
        <v>0</v>
      </c>
      <c r="AX80" s="8">
        <f>IF(O80=VLOOKUP(VALUE(O$1),Questions!$A:$E,5,FALSE),1,0)</f>
        <v>0</v>
      </c>
      <c r="AY80" s="8">
        <f>IF(P80=VLOOKUP(VALUE(P$1),Questions!$A:$E,5,FALSE),1,0)</f>
        <v>0</v>
      </c>
      <c r="AZ80" s="8">
        <f>IF(Q80=VLOOKUP(VALUE(Q$1),Questions!$A:$E,5,FALSE),1,0)</f>
        <v>1</v>
      </c>
      <c r="BA80" s="8">
        <f>IF(R80=VLOOKUP(VALUE(R$1),Questions!$A:$E,5,FALSE),1,0)</f>
        <v>1</v>
      </c>
      <c r="BB80" s="8">
        <f>IF(S80=VLOOKUP(VALUE(S$1),Questions!$A:$E,5,FALSE),1,0)</f>
        <v>1</v>
      </c>
      <c r="BC80" s="8">
        <f>IF(T80=VLOOKUP(VALUE(T$1),Questions!$A:$E,5,FALSE),1,0)</f>
        <v>1</v>
      </c>
      <c r="BD80" s="8">
        <f>IF(U80=VLOOKUP(VALUE(U$1),Questions!$A:$E,5,FALSE),1,0)</f>
        <v>1</v>
      </c>
      <c r="BE80" s="8">
        <f>IF(V80=VLOOKUP(VALUE(V$1),Questions!$A:$E,5,FALSE),1,0)</f>
        <v>1</v>
      </c>
      <c r="BF80" s="8">
        <f>IF(W80=VLOOKUP(VALUE(W$1),Questions!$A:$E,5,FALSE),1,0)</f>
        <v>1</v>
      </c>
      <c r="BG80" s="8">
        <f>IF(X80=VLOOKUP(VALUE(X$1),Questions!$A:$E,5,FALSE),1,0)</f>
        <v>1</v>
      </c>
      <c r="BH80" s="8">
        <f>IF(Y80=VLOOKUP(VALUE(Y$1),Questions!$A:$E,5,FALSE),1,0)</f>
        <v>1</v>
      </c>
      <c r="BI80" s="8">
        <f>IF(Z80=VLOOKUP(VALUE(Z$1),Questions!$A:$E,5,FALSE),1,0)</f>
        <v>1</v>
      </c>
      <c r="BJ80" s="8">
        <f>IF(AA80=VLOOKUP(VALUE(AA$1),Questions!$A:$E,5,FALSE),1,0)</f>
        <v>1</v>
      </c>
      <c r="BK80" s="8">
        <f>IF(AB80=VLOOKUP(VALUE(AB$1),Questions!$A:$E,5,FALSE),1,0)</f>
        <v>1</v>
      </c>
      <c r="BL80" s="8">
        <f>IF(AC80=VLOOKUP(VALUE(AC$1),Questions!$A:$E,5,FALSE),1,0)</f>
        <v>1</v>
      </c>
      <c r="BM80" s="8">
        <f>IF(AD80=VLOOKUP(VALUE(AD$1),Questions!$A:$E,5,FALSE),1,0)</f>
        <v>1</v>
      </c>
      <c r="BN80" s="8">
        <f>IF(AE80=VLOOKUP(VALUE(AE$1),Questions!$A:$E,5,FALSE),1,0)</f>
        <v>1</v>
      </c>
      <c r="BO80" s="8">
        <f>IF(AF80=VLOOKUP(VALUE(AF$1),Questions!$A:$E,5,FALSE),1,0)</f>
        <v>1</v>
      </c>
      <c r="BP80" s="8">
        <f>IF(AG80=VLOOKUP(VALUE(AG$1),Questions!$A:$E,5,FALSE),1,0)</f>
        <v>1</v>
      </c>
      <c r="BQ80" s="8">
        <f>IF(AH80=VLOOKUP(VALUE(AH$1),Questions!$A:$E,5,FALSE),1,0)</f>
        <v>1</v>
      </c>
    </row>
    <row r="81" spans="1:69" ht="13" customHeight="1" x14ac:dyDescent="0.15">
      <c r="A81" t="s">
        <v>36</v>
      </c>
      <c r="B81" s="7">
        <v>10</v>
      </c>
      <c r="C81" s="7">
        <v>6</v>
      </c>
      <c r="D81">
        <v>80</v>
      </c>
      <c r="G81" s="8">
        <v>4</v>
      </c>
      <c r="H81" s="8">
        <v>1</v>
      </c>
      <c r="I81" s="8">
        <v>3</v>
      </c>
      <c r="J81" s="8">
        <v>2</v>
      </c>
      <c r="K81" s="8">
        <v>1</v>
      </c>
      <c r="L81" s="8">
        <v>3</v>
      </c>
      <c r="M81" s="8">
        <v>2</v>
      </c>
      <c r="N81" s="8">
        <v>3</v>
      </c>
      <c r="O81" s="8">
        <v>1</v>
      </c>
      <c r="P81" s="8">
        <v>3</v>
      </c>
      <c r="Q81" s="8">
        <v>1</v>
      </c>
      <c r="R81" s="8">
        <v>4</v>
      </c>
      <c r="S81" s="8">
        <v>2</v>
      </c>
      <c r="T81" s="8">
        <v>2</v>
      </c>
      <c r="U81" s="8">
        <v>4</v>
      </c>
      <c r="V81" s="8">
        <v>3</v>
      </c>
      <c r="W81" s="8">
        <v>4</v>
      </c>
      <c r="X81" s="8">
        <v>3</v>
      </c>
      <c r="Y81" s="8">
        <v>1</v>
      </c>
      <c r="Z81" s="8">
        <v>3</v>
      </c>
      <c r="AA81" s="8">
        <v>4</v>
      </c>
      <c r="AB81" s="8">
        <v>2</v>
      </c>
      <c r="AC81" s="8">
        <v>2</v>
      </c>
      <c r="AD81" s="8">
        <v>3</v>
      </c>
      <c r="AE81" s="8">
        <v>2</v>
      </c>
      <c r="AF81" s="8">
        <v>4</v>
      </c>
      <c r="AG81" s="8">
        <v>1</v>
      </c>
      <c r="AH81" s="8">
        <v>2</v>
      </c>
      <c r="AI81" s="8">
        <v>0</v>
      </c>
      <c r="AJ81" s="8">
        <v>1</v>
      </c>
      <c r="AK81" s="8">
        <v>0</v>
      </c>
      <c r="AL81" s="8">
        <v>1</v>
      </c>
      <c r="AM81" s="8">
        <v>1</v>
      </c>
      <c r="AN81" s="8">
        <v>1</v>
      </c>
      <c r="AO81" s="8">
        <v>1</v>
      </c>
      <c r="AP81" s="8">
        <f>IF(G81=VLOOKUP(VALUE(G$1),Questions!$A:$E,5,FALSE),1,0)</f>
        <v>1</v>
      </c>
      <c r="AQ81" s="8">
        <f>IF(H81=VLOOKUP(VALUE(H$1),Questions!$A:$E,5,FALSE),1,0)</f>
        <v>1</v>
      </c>
      <c r="AR81" s="8">
        <f>IF(I81=VLOOKUP(VALUE(I$1),Questions!$A:$E,5,FALSE),1,0)</f>
        <v>1</v>
      </c>
      <c r="AS81" s="8">
        <f>IF(J81=VLOOKUP(VALUE(J$1),Questions!$A:$E,5,FALSE),1,0)</f>
        <v>1</v>
      </c>
      <c r="AT81" s="8">
        <f>IF(K81=VLOOKUP(VALUE(K$1),Questions!$A:$E,5,FALSE),1,0)</f>
        <v>1</v>
      </c>
      <c r="AU81" s="8">
        <f>IF(L81=VLOOKUP(VALUE(L$1),Questions!$A:$E,5,FALSE),1,0)</f>
        <v>1</v>
      </c>
      <c r="AV81" s="8">
        <f>IF(M81=VLOOKUP(VALUE(M$1),Questions!$A:$E,5,FALSE),1,0)</f>
        <v>1</v>
      </c>
      <c r="AW81" s="8">
        <f>IF(N81=VLOOKUP(VALUE(N$1),Questions!$A:$E,5,FALSE),1,0)</f>
        <v>1</v>
      </c>
      <c r="AX81" s="8">
        <f>IF(O81=VLOOKUP(VALUE(O$1),Questions!$A:$E,5,FALSE),1,0)</f>
        <v>1</v>
      </c>
      <c r="AY81" s="8">
        <f>IF(P81=VLOOKUP(VALUE(P$1),Questions!$A:$E,5,FALSE),1,0)</f>
        <v>1</v>
      </c>
      <c r="AZ81" s="8">
        <f>IF(Q81=VLOOKUP(VALUE(Q$1),Questions!$A:$E,5,FALSE),1,0)</f>
        <v>1</v>
      </c>
      <c r="BA81" s="8">
        <f>IF(R81=VLOOKUP(VALUE(R$1),Questions!$A:$E,5,FALSE),1,0)</f>
        <v>1</v>
      </c>
      <c r="BB81" s="8">
        <f>IF(S81=VLOOKUP(VALUE(S$1),Questions!$A:$E,5,FALSE),1,0)</f>
        <v>1</v>
      </c>
      <c r="BC81" s="8">
        <f>IF(T81=VLOOKUP(VALUE(T$1),Questions!$A:$E,5,FALSE),1,0)</f>
        <v>1</v>
      </c>
      <c r="BD81" s="8">
        <f>IF(U81=VLOOKUP(VALUE(U$1),Questions!$A:$E,5,FALSE),1,0)</f>
        <v>1</v>
      </c>
      <c r="BE81" s="8">
        <f>IF(V81=VLOOKUP(VALUE(V$1),Questions!$A:$E,5,FALSE),1,0)</f>
        <v>1</v>
      </c>
      <c r="BF81" s="8">
        <f>IF(W81=VLOOKUP(VALUE(W$1),Questions!$A:$E,5,FALSE),1,0)</f>
        <v>1</v>
      </c>
      <c r="BG81" s="8">
        <f>IF(X81=VLOOKUP(VALUE(X$1),Questions!$A:$E,5,FALSE),1,0)</f>
        <v>1</v>
      </c>
      <c r="BH81" s="8">
        <f>IF(Y81=VLOOKUP(VALUE(Y$1),Questions!$A:$E,5,FALSE),1,0)</f>
        <v>1</v>
      </c>
      <c r="BI81" s="8">
        <f>IF(Z81=VLOOKUP(VALUE(Z$1),Questions!$A:$E,5,FALSE),1,0)</f>
        <v>1</v>
      </c>
      <c r="BJ81" s="8">
        <f>IF(AA81=VLOOKUP(VALUE(AA$1),Questions!$A:$E,5,FALSE),1,0)</f>
        <v>1</v>
      </c>
      <c r="BK81" s="8">
        <f>IF(AB81=VLOOKUP(VALUE(AB$1),Questions!$A:$E,5,FALSE),1,0)</f>
        <v>1</v>
      </c>
      <c r="BL81" s="8">
        <f>IF(AC81=VLOOKUP(VALUE(AC$1),Questions!$A:$E,5,FALSE),1,0)</f>
        <v>1</v>
      </c>
      <c r="BM81" s="8">
        <f>IF(AD81=VLOOKUP(VALUE(AD$1),Questions!$A:$E,5,FALSE),1,0)</f>
        <v>1</v>
      </c>
      <c r="BN81" s="8">
        <f>IF(AE81=VLOOKUP(VALUE(AE$1),Questions!$A:$E,5,FALSE),1,0)</f>
        <v>1</v>
      </c>
      <c r="BO81" s="8">
        <f>IF(AF81=VLOOKUP(VALUE(AF$1),Questions!$A:$E,5,FALSE),1,0)</f>
        <v>1</v>
      </c>
      <c r="BP81" s="8">
        <f>IF(AG81=VLOOKUP(VALUE(AG$1),Questions!$A:$E,5,FALSE),1,0)</f>
        <v>1</v>
      </c>
      <c r="BQ81" s="8">
        <f>IF(AH81=VLOOKUP(VALUE(AH$1),Questions!$A:$E,5,FALSE),1,0)</f>
        <v>1</v>
      </c>
    </row>
    <row r="82" spans="1:69" ht="13" customHeight="1" x14ac:dyDescent="0.15">
      <c r="A82" t="s">
        <v>36</v>
      </c>
      <c r="B82" s="7">
        <v>10</v>
      </c>
      <c r="C82" s="7">
        <v>6</v>
      </c>
      <c r="D82">
        <v>81</v>
      </c>
      <c r="G82" s="8">
        <v>4</v>
      </c>
      <c r="H82" s="8">
        <v>3</v>
      </c>
      <c r="I82" s="8">
        <v>3</v>
      </c>
      <c r="J82" s="8">
        <v>2</v>
      </c>
      <c r="K82" s="8">
        <v>4</v>
      </c>
      <c r="L82" s="8">
        <v>2</v>
      </c>
      <c r="M82" s="8">
        <v>2</v>
      </c>
      <c r="N82" s="8">
        <v>4</v>
      </c>
      <c r="O82" s="8">
        <v>3</v>
      </c>
      <c r="P82" s="8">
        <v>4</v>
      </c>
      <c r="Q82" s="8">
        <v>1</v>
      </c>
      <c r="R82" s="8">
        <v>4</v>
      </c>
      <c r="S82" s="8">
        <v>3</v>
      </c>
      <c r="T82" s="8">
        <v>1</v>
      </c>
      <c r="U82" s="8">
        <v>4</v>
      </c>
      <c r="V82" s="8">
        <v>3</v>
      </c>
      <c r="W82" s="8">
        <v>4</v>
      </c>
      <c r="X82" s="8">
        <v>3</v>
      </c>
      <c r="Y82" s="8">
        <v>1</v>
      </c>
      <c r="Z82" s="8">
        <v>3</v>
      </c>
      <c r="AA82" s="8">
        <v>2</v>
      </c>
      <c r="AB82" s="8">
        <v>2</v>
      </c>
      <c r="AC82" s="8">
        <v>3</v>
      </c>
      <c r="AD82" s="8">
        <v>3</v>
      </c>
      <c r="AE82" s="8">
        <v>1</v>
      </c>
      <c r="AF82" s="8">
        <v>4</v>
      </c>
      <c r="AG82" s="8">
        <v>1</v>
      </c>
      <c r="AH82" s="8">
        <v>4</v>
      </c>
      <c r="AP82" s="8">
        <f>IF(G82=VLOOKUP(VALUE(G$1),Questions!$A:$E,5,FALSE),1,0)</f>
        <v>1</v>
      </c>
      <c r="AQ82" s="8">
        <f>IF(H82=VLOOKUP(VALUE(H$1),Questions!$A:$E,5,FALSE),1,0)</f>
        <v>0</v>
      </c>
      <c r="AR82" s="8">
        <f>IF(I82=VLOOKUP(VALUE(I$1),Questions!$A:$E,5,FALSE),1,0)</f>
        <v>1</v>
      </c>
      <c r="AS82" s="8">
        <f>IF(J82=VLOOKUP(VALUE(J$1),Questions!$A:$E,5,FALSE),1,0)</f>
        <v>1</v>
      </c>
      <c r="AT82" s="8">
        <f>IF(K82=VLOOKUP(VALUE(K$1),Questions!$A:$E,5,FALSE),1,0)</f>
        <v>0</v>
      </c>
      <c r="AU82" s="8">
        <f>IF(L82=VLOOKUP(VALUE(L$1),Questions!$A:$E,5,FALSE),1,0)</f>
        <v>0</v>
      </c>
      <c r="AV82" s="8">
        <f>IF(M82=VLOOKUP(VALUE(M$1),Questions!$A:$E,5,FALSE),1,0)</f>
        <v>1</v>
      </c>
      <c r="AW82" s="8">
        <f>IF(N82=VLOOKUP(VALUE(N$1),Questions!$A:$E,5,FALSE),1,0)</f>
        <v>0</v>
      </c>
      <c r="AX82" s="8">
        <f>IF(O82=VLOOKUP(VALUE(O$1),Questions!$A:$E,5,FALSE),1,0)</f>
        <v>0</v>
      </c>
      <c r="AY82" s="8">
        <f>IF(P82=VLOOKUP(VALUE(P$1),Questions!$A:$E,5,FALSE),1,0)</f>
        <v>0</v>
      </c>
      <c r="AZ82" s="8">
        <f>IF(Q82=VLOOKUP(VALUE(Q$1),Questions!$A:$E,5,FALSE),1,0)</f>
        <v>1</v>
      </c>
      <c r="BA82" s="8">
        <f>IF(R82=VLOOKUP(VALUE(R$1),Questions!$A:$E,5,FALSE),1,0)</f>
        <v>1</v>
      </c>
      <c r="BB82" s="8">
        <f>IF(S82=VLOOKUP(VALUE(S$1),Questions!$A:$E,5,FALSE),1,0)</f>
        <v>0</v>
      </c>
      <c r="BC82" s="8">
        <f>IF(T82=VLOOKUP(VALUE(T$1),Questions!$A:$E,5,FALSE),1,0)</f>
        <v>0</v>
      </c>
      <c r="BD82" s="8">
        <f>IF(U82=VLOOKUP(VALUE(U$1),Questions!$A:$E,5,FALSE),1,0)</f>
        <v>1</v>
      </c>
      <c r="BE82" s="8">
        <f>IF(V82=VLOOKUP(VALUE(V$1),Questions!$A:$E,5,FALSE),1,0)</f>
        <v>1</v>
      </c>
      <c r="BF82" s="8">
        <f>IF(W82=VLOOKUP(VALUE(W$1),Questions!$A:$E,5,FALSE),1,0)</f>
        <v>1</v>
      </c>
      <c r="BG82" s="8">
        <f>IF(X82=VLOOKUP(VALUE(X$1),Questions!$A:$E,5,FALSE),1,0)</f>
        <v>1</v>
      </c>
      <c r="BH82" s="8">
        <f>IF(Y82=VLOOKUP(VALUE(Y$1),Questions!$A:$E,5,FALSE),1,0)</f>
        <v>1</v>
      </c>
      <c r="BI82" s="8">
        <f>IF(Z82=VLOOKUP(VALUE(Z$1),Questions!$A:$E,5,FALSE),1,0)</f>
        <v>1</v>
      </c>
      <c r="BJ82" s="8">
        <f>IF(AA82=VLOOKUP(VALUE(AA$1),Questions!$A:$E,5,FALSE),1,0)</f>
        <v>0</v>
      </c>
      <c r="BK82" s="8">
        <f>IF(AB82=VLOOKUP(VALUE(AB$1),Questions!$A:$E,5,FALSE),1,0)</f>
        <v>1</v>
      </c>
      <c r="BL82" s="8">
        <f>IF(AC82=VLOOKUP(VALUE(AC$1),Questions!$A:$E,5,FALSE),1,0)</f>
        <v>0</v>
      </c>
      <c r="BM82" s="8">
        <f>IF(AD82=VLOOKUP(VALUE(AD$1),Questions!$A:$E,5,FALSE),1,0)</f>
        <v>1</v>
      </c>
      <c r="BN82" s="8">
        <f>IF(AE82=VLOOKUP(VALUE(AE$1),Questions!$A:$E,5,FALSE),1,0)</f>
        <v>0</v>
      </c>
      <c r="BO82" s="8">
        <f>IF(AF82=VLOOKUP(VALUE(AF$1),Questions!$A:$E,5,FALSE),1,0)</f>
        <v>1</v>
      </c>
      <c r="BP82" s="8">
        <f>IF(AG82=VLOOKUP(VALUE(AG$1),Questions!$A:$E,5,FALSE),1,0)</f>
        <v>1</v>
      </c>
      <c r="BQ82" s="8">
        <f>IF(AH82=VLOOKUP(VALUE(AH$1),Questions!$A:$E,5,FALSE),1,0)</f>
        <v>0</v>
      </c>
    </row>
    <row r="83" spans="1:69" ht="13" customHeight="1" x14ac:dyDescent="0.15">
      <c r="A83" t="s">
        <v>36</v>
      </c>
      <c r="B83" s="7">
        <v>10</v>
      </c>
      <c r="C83" s="7">
        <v>6</v>
      </c>
      <c r="D83">
        <v>82</v>
      </c>
      <c r="G83" s="8">
        <v>4</v>
      </c>
      <c r="H83" s="8">
        <v>2</v>
      </c>
      <c r="I83" s="8">
        <v>3</v>
      </c>
      <c r="J83" s="8">
        <v>2</v>
      </c>
      <c r="K83" s="8">
        <v>1</v>
      </c>
      <c r="L83" s="8">
        <v>1</v>
      </c>
      <c r="M83" s="8">
        <v>4</v>
      </c>
      <c r="N83" s="8">
        <v>3</v>
      </c>
      <c r="O83" s="8">
        <v>1</v>
      </c>
      <c r="P83" s="8">
        <v>4</v>
      </c>
      <c r="Q83" s="8">
        <v>1</v>
      </c>
      <c r="R83" s="8">
        <v>4</v>
      </c>
      <c r="S83" s="8">
        <v>2</v>
      </c>
      <c r="T83" s="8">
        <v>4</v>
      </c>
      <c r="U83" s="8">
        <v>4</v>
      </c>
      <c r="V83" s="8">
        <v>3</v>
      </c>
      <c r="W83" s="8">
        <v>4</v>
      </c>
      <c r="X83" s="8">
        <v>1</v>
      </c>
      <c r="Y83" s="8">
        <v>1</v>
      </c>
      <c r="Z83" s="8">
        <v>2</v>
      </c>
      <c r="AA83" s="8">
        <v>4</v>
      </c>
      <c r="AB83" s="8">
        <v>2</v>
      </c>
      <c r="AC83" s="8">
        <v>2</v>
      </c>
      <c r="AD83" s="8">
        <v>3</v>
      </c>
      <c r="AE83" s="8">
        <v>2</v>
      </c>
      <c r="AF83" s="8">
        <v>4</v>
      </c>
      <c r="AG83" s="8">
        <v>1</v>
      </c>
      <c r="AH83" s="8">
        <v>2</v>
      </c>
      <c r="AI83" s="8">
        <v>1</v>
      </c>
      <c r="AJ83" s="8">
        <v>0</v>
      </c>
      <c r="AK83" s="8">
        <v>1</v>
      </c>
      <c r="AL83" s="8">
        <v>0</v>
      </c>
      <c r="AM83" s="8">
        <v>1</v>
      </c>
      <c r="AN83" s="8">
        <v>1</v>
      </c>
      <c r="AO83" s="8">
        <v>1</v>
      </c>
      <c r="AP83" s="8">
        <f>IF(G83=VLOOKUP(VALUE(G$1),Questions!$A:$E,5,FALSE),1,0)</f>
        <v>1</v>
      </c>
      <c r="AQ83" s="8">
        <f>IF(H83=VLOOKUP(VALUE(H$1),Questions!$A:$E,5,FALSE),1,0)</f>
        <v>0</v>
      </c>
      <c r="AR83" s="8">
        <f>IF(I83=VLOOKUP(VALUE(I$1),Questions!$A:$E,5,FALSE),1,0)</f>
        <v>1</v>
      </c>
      <c r="AS83" s="8">
        <f>IF(J83=VLOOKUP(VALUE(J$1),Questions!$A:$E,5,FALSE),1,0)</f>
        <v>1</v>
      </c>
      <c r="AT83" s="8">
        <f>IF(K83=VLOOKUP(VALUE(K$1),Questions!$A:$E,5,FALSE),1,0)</f>
        <v>1</v>
      </c>
      <c r="AU83" s="8">
        <f>IF(L83=VLOOKUP(VALUE(L$1),Questions!$A:$E,5,FALSE),1,0)</f>
        <v>0</v>
      </c>
      <c r="AV83" s="8">
        <f>IF(M83=VLOOKUP(VALUE(M$1),Questions!$A:$E,5,FALSE),1,0)</f>
        <v>0</v>
      </c>
      <c r="AW83" s="8">
        <f>IF(N83=VLOOKUP(VALUE(N$1),Questions!$A:$E,5,FALSE),1,0)</f>
        <v>1</v>
      </c>
      <c r="AX83" s="8">
        <f>IF(O83=VLOOKUP(VALUE(O$1),Questions!$A:$E,5,FALSE),1,0)</f>
        <v>1</v>
      </c>
      <c r="AY83" s="8">
        <f>IF(P83=VLOOKUP(VALUE(P$1),Questions!$A:$E,5,FALSE),1,0)</f>
        <v>0</v>
      </c>
      <c r="AZ83" s="8">
        <f>IF(Q83=VLOOKUP(VALUE(Q$1),Questions!$A:$E,5,FALSE),1,0)</f>
        <v>1</v>
      </c>
      <c r="BA83" s="8">
        <f>IF(R83=VLOOKUP(VALUE(R$1),Questions!$A:$E,5,FALSE),1,0)</f>
        <v>1</v>
      </c>
      <c r="BB83" s="8">
        <f>IF(S83=VLOOKUP(VALUE(S$1),Questions!$A:$E,5,FALSE),1,0)</f>
        <v>1</v>
      </c>
      <c r="BC83" s="8">
        <f>IF(T83=VLOOKUP(VALUE(T$1),Questions!$A:$E,5,FALSE),1,0)</f>
        <v>0</v>
      </c>
      <c r="BD83" s="8">
        <f>IF(U83=VLOOKUP(VALUE(U$1),Questions!$A:$E,5,FALSE),1,0)</f>
        <v>1</v>
      </c>
      <c r="BE83" s="8">
        <f>IF(V83=VLOOKUP(VALUE(V$1),Questions!$A:$E,5,FALSE),1,0)</f>
        <v>1</v>
      </c>
      <c r="BF83" s="8">
        <f>IF(W83=VLOOKUP(VALUE(W$1),Questions!$A:$E,5,FALSE),1,0)</f>
        <v>1</v>
      </c>
      <c r="BG83" s="8">
        <f>IF(X83=VLOOKUP(VALUE(X$1),Questions!$A:$E,5,FALSE),1,0)</f>
        <v>0</v>
      </c>
      <c r="BH83" s="8">
        <f>IF(Y83=VLOOKUP(VALUE(Y$1),Questions!$A:$E,5,FALSE),1,0)</f>
        <v>1</v>
      </c>
      <c r="BI83" s="8">
        <f>IF(Z83=VLOOKUP(VALUE(Z$1),Questions!$A:$E,5,FALSE),1,0)</f>
        <v>0</v>
      </c>
      <c r="BJ83" s="8">
        <f>IF(AA83=VLOOKUP(VALUE(AA$1),Questions!$A:$E,5,FALSE),1,0)</f>
        <v>1</v>
      </c>
      <c r="BK83" s="8">
        <f>IF(AB83=VLOOKUP(VALUE(AB$1),Questions!$A:$E,5,FALSE),1,0)</f>
        <v>1</v>
      </c>
      <c r="BL83" s="8">
        <f>IF(AC83=VLOOKUP(VALUE(AC$1),Questions!$A:$E,5,FALSE),1,0)</f>
        <v>1</v>
      </c>
      <c r="BM83" s="8">
        <f>IF(AD83=VLOOKUP(VALUE(AD$1),Questions!$A:$E,5,FALSE),1,0)</f>
        <v>1</v>
      </c>
      <c r="BN83" s="8">
        <f>IF(AE83=VLOOKUP(VALUE(AE$1),Questions!$A:$E,5,FALSE),1,0)</f>
        <v>1</v>
      </c>
      <c r="BO83" s="8">
        <f>IF(AF83=VLOOKUP(VALUE(AF$1),Questions!$A:$E,5,FALSE),1,0)</f>
        <v>1</v>
      </c>
      <c r="BP83" s="8">
        <f>IF(AG83=VLOOKUP(VALUE(AG$1),Questions!$A:$E,5,FALSE),1,0)</f>
        <v>1</v>
      </c>
      <c r="BQ83" s="8">
        <f>IF(AH83=VLOOKUP(VALUE(AH$1),Questions!$A:$E,5,FALSE),1,0)</f>
        <v>1</v>
      </c>
    </row>
    <row r="84" spans="1:69" ht="13" customHeight="1" x14ac:dyDescent="0.15">
      <c r="A84" t="s">
        <v>36</v>
      </c>
      <c r="B84" s="7">
        <v>10</v>
      </c>
      <c r="C84" s="7">
        <v>6</v>
      </c>
      <c r="D84">
        <v>83</v>
      </c>
      <c r="G84" s="8">
        <v>4</v>
      </c>
      <c r="H84" s="8">
        <v>1</v>
      </c>
      <c r="I84" s="8">
        <v>3</v>
      </c>
      <c r="J84" s="8">
        <v>2</v>
      </c>
      <c r="K84" s="8">
        <v>1</v>
      </c>
      <c r="L84" s="8">
        <v>3</v>
      </c>
      <c r="M84" s="8">
        <v>2</v>
      </c>
      <c r="N84" s="8">
        <v>3</v>
      </c>
      <c r="O84" s="8">
        <v>1</v>
      </c>
      <c r="P84" s="8">
        <v>4</v>
      </c>
      <c r="Q84" s="8">
        <v>1</v>
      </c>
      <c r="R84" s="8">
        <v>4</v>
      </c>
      <c r="T84" s="8">
        <v>2</v>
      </c>
      <c r="U84" s="8">
        <v>4</v>
      </c>
      <c r="V84" s="8">
        <v>3</v>
      </c>
      <c r="W84" s="8">
        <v>4</v>
      </c>
      <c r="X84" s="8">
        <v>1</v>
      </c>
      <c r="Y84" s="8">
        <v>1</v>
      </c>
      <c r="Z84" s="8">
        <v>3</v>
      </c>
      <c r="AA84" s="8">
        <v>4</v>
      </c>
      <c r="AB84" s="8">
        <v>2</v>
      </c>
      <c r="AC84" s="8">
        <v>2</v>
      </c>
      <c r="AD84" s="8">
        <v>3</v>
      </c>
      <c r="AE84" s="8">
        <v>2</v>
      </c>
      <c r="AF84" s="8">
        <v>4</v>
      </c>
      <c r="AG84" s="8">
        <v>1</v>
      </c>
      <c r="AH84" s="8">
        <v>2</v>
      </c>
      <c r="AI84" s="8">
        <v>1</v>
      </c>
      <c r="AJ84" s="8">
        <v>1</v>
      </c>
      <c r="AK84" s="8">
        <v>1</v>
      </c>
      <c r="AL84" s="8">
        <v>1</v>
      </c>
      <c r="AM84" s="8">
        <v>1</v>
      </c>
      <c r="AN84" s="8">
        <v>1</v>
      </c>
      <c r="AO84" s="8">
        <v>1</v>
      </c>
      <c r="AP84" s="8">
        <f>IF(G84=VLOOKUP(VALUE(G$1),Questions!$A:$E,5,FALSE),1,0)</f>
        <v>1</v>
      </c>
      <c r="AQ84" s="8">
        <f>IF(H84=VLOOKUP(VALUE(H$1),Questions!$A:$E,5,FALSE),1,0)</f>
        <v>1</v>
      </c>
      <c r="AR84" s="8">
        <f>IF(I84=VLOOKUP(VALUE(I$1),Questions!$A:$E,5,FALSE),1,0)</f>
        <v>1</v>
      </c>
      <c r="AS84" s="8">
        <f>IF(J84=VLOOKUP(VALUE(J$1),Questions!$A:$E,5,FALSE),1,0)</f>
        <v>1</v>
      </c>
      <c r="AT84" s="8">
        <f>IF(K84=VLOOKUP(VALUE(K$1),Questions!$A:$E,5,FALSE),1,0)</f>
        <v>1</v>
      </c>
      <c r="AU84" s="8">
        <f>IF(L84=VLOOKUP(VALUE(L$1),Questions!$A:$E,5,FALSE),1,0)</f>
        <v>1</v>
      </c>
      <c r="AV84" s="8">
        <f>IF(M84=VLOOKUP(VALUE(M$1),Questions!$A:$E,5,FALSE),1,0)</f>
        <v>1</v>
      </c>
      <c r="AW84" s="8">
        <f>IF(N84=VLOOKUP(VALUE(N$1),Questions!$A:$E,5,FALSE),1,0)</f>
        <v>1</v>
      </c>
      <c r="AX84" s="8">
        <f>IF(O84=VLOOKUP(VALUE(O$1),Questions!$A:$E,5,FALSE),1,0)</f>
        <v>1</v>
      </c>
      <c r="AY84" s="8">
        <f>IF(P84=VLOOKUP(VALUE(P$1),Questions!$A:$E,5,FALSE),1,0)</f>
        <v>0</v>
      </c>
      <c r="AZ84" s="8">
        <f>IF(Q84=VLOOKUP(VALUE(Q$1),Questions!$A:$E,5,FALSE),1,0)</f>
        <v>1</v>
      </c>
      <c r="BA84" s="8">
        <f>IF(R84=VLOOKUP(VALUE(R$1),Questions!$A:$E,5,FALSE),1,0)</f>
        <v>1</v>
      </c>
      <c r="BB84" s="8">
        <f>IF(S84=VLOOKUP(VALUE(S$1),Questions!$A:$E,5,FALSE),1,0)</f>
        <v>0</v>
      </c>
      <c r="BC84" s="8">
        <f>IF(T84=VLOOKUP(VALUE(T$1),Questions!$A:$E,5,FALSE),1,0)</f>
        <v>1</v>
      </c>
      <c r="BD84" s="8">
        <f>IF(U84=VLOOKUP(VALUE(U$1),Questions!$A:$E,5,FALSE),1,0)</f>
        <v>1</v>
      </c>
      <c r="BE84" s="8">
        <f>IF(V84=VLOOKUP(VALUE(V$1),Questions!$A:$E,5,FALSE),1,0)</f>
        <v>1</v>
      </c>
      <c r="BF84" s="8">
        <f>IF(W84=VLOOKUP(VALUE(W$1),Questions!$A:$E,5,FALSE),1,0)</f>
        <v>1</v>
      </c>
      <c r="BG84" s="8">
        <f>IF(X84=VLOOKUP(VALUE(X$1),Questions!$A:$E,5,FALSE),1,0)</f>
        <v>0</v>
      </c>
      <c r="BH84" s="8">
        <f>IF(Y84=VLOOKUP(VALUE(Y$1),Questions!$A:$E,5,FALSE),1,0)</f>
        <v>1</v>
      </c>
      <c r="BI84" s="8">
        <f>IF(Z84=VLOOKUP(VALUE(Z$1),Questions!$A:$E,5,FALSE),1,0)</f>
        <v>1</v>
      </c>
      <c r="BJ84" s="8">
        <f>IF(AA84=VLOOKUP(VALUE(AA$1),Questions!$A:$E,5,FALSE),1,0)</f>
        <v>1</v>
      </c>
      <c r="BK84" s="8">
        <f>IF(AB84=VLOOKUP(VALUE(AB$1),Questions!$A:$E,5,FALSE),1,0)</f>
        <v>1</v>
      </c>
      <c r="BL84" s="8">
        <f>IF(AC84=VLOOKUP(VALUE(AC$1),Questions!$A:$E,5,FALSE),1,0)</f>
        <v>1</v>
      </c>
      <c r="BM84" s="8">
        <f>IF(AD84=VLOOKUP(VALUE(AD$1),Questions!$A:$E,5,FALSE),1,0)</f>
        <v>1</v>
      </c>
      <c r="BN84" s="8">
        <f>IF(AE84=VLOOKUP(VALUE(AE$1),Questions!$A:$E,5,FALSE),1,0)</f>
        <v>1</v>
      </c>
      <c r="BO84" s="8">
        <f>IF(AF84=VLOOKUP(VALUE(AF$1),Questions!$A:$E,5,FALSE),1,0)</f>
        <v>1</v>
      </c>
      <c r="BP84" s="8">
        <f>IF(AG84=VLOOKUP(VALUE(AG$1),Questions!$A:$E,5,FALSE),1,0)</f>
        <v>1</v>
      </c>
      <c r="BQ84" s="8">
        <f>IF(AH84=VLOOKUP(VALUE(AH$1),Questions!$A:$E,5,FALSE),1,0)</f>
        <v>1</v>
      </c>
    </row>
    <row r="85" spans="1:69" ht="13" customHeight="1" x14ac:dyDescent="0.15">
      <c r="A85" t="s">
        <v>36</v>
      </c>
      <c r="B85" s="7">
        <v>10</v>
      </c>
      <c r="C85" s="7">
        <v>6</v>
      </c>
      <c r="D85">
        <v>84</v>
      </c>
      <c r="G85" s="8">
        <v>4</v>
      </c>
      <c r="H85" s="8">
        <v>1</v>
      </c>
      <c r="I85" s="8">
        <v>3</v>
      </c>
      <c r="J85" s="8">
        <v>2</v>
      </c>
      <c r="K85" s="8">
        <v>1</v>
      </c>
      <c r="L85" s="8">
        <v>3</v>
      </c>
      <c r="M85" s="8">
        <v>2</v>
      </c>
      <c r="N85" s="8">
        <v>3</v>
      </c>
      <c r="O85" s="8">
        <v>1</v>
      </c>
      <c r="P85" s="8">
        <v>3</v>
      </c>
      <c r="Q85" s="8">
        <v>1</v>
      </c>
      <c r="R85" s="8">
        <v>4</v>
      </c>
      <c r="S85" s="8">
        <v>2</v>
      </c>
      <c r="T85" s="8">
        <v>3</v>
      </c>
      <c r="U85" s="8">
        <v>3</v>
      </c>
      <c r="V85" s="8">
        <v>1</v>
      </c>
      <c r="W85" s="8">
        <v>3</v>
      </c>
      <c r="X85" s="8">
        <v>1</v>
      </c>
      <c r="Y85" s="8">
        <v>1</v>
      </c>
      <c r="Z85" s="8">
        <v>3</v>
      </c>
      <c r="AA85" s="8">
        <v>4</v>
      </c>
      <c r="AB85" s="8">
        <v>2</v>
      </c>
      <c r="AC85" s="8">
        <v>4</v>
      </c>
      <c r="AD85" s="8">
        <v>3</v>
      </c>
      <c r="AE85" s="8">
        <v>1</v>
      </c>
      <c r="AF85" s="8">
        <v>4</v>
      </c>
      <c r="AG85" s="8">
        <v>3</v>
      </c>
      <c r="AH85" s="8">
        <v>2</v>
      </c>
      <c r="AI85" s="8">
        <v>1</v>
      </c>
      <c r="AJ85" s="8">
        <v>1</v>
      </c>
      <c r="AK85" s="8">
        <v>0</v>
      </c>
      <c r="AL85" s="8">
        <v>1</v>
      </c>
      <c r="AM85" s="8">
        <v>1</v>
      </c>
      <c r="AN85" s="8">
        <v>1</v>
      </c>
      <c r="AO85" s="8">
        <v>0</v>
      </c>
      <c r="AP85" s="8">
        <f>IF(G85=VLOOKUP(VALUE(G$1),Questions!$A:$E,5,FALSE),1,0)</f>
        <v>1</v>
      </c>
      <c r="AQ85" s="8">
        <f>IF(H85=VLOOKUP(VALUE(H$1),Questions!$A:$E,5,FALSE),1,0)</f>
        <v>1</v>
      </c>
      <c r="AR85" s="8">
        <f>IF(I85=VLOOKUP(VALUE(I$1),Questions!$A:$E,5,FALSE),1,0)</f>
        <v>1</v>
      </c>
      <c r="AS85" s="8">
        <f>IF(J85=VLOOKUP(VALUE(J$1),Questions!$A:$E,5,FALSE),1,0)</f>
        <v>1</v>
      </c>
      <c r="AT85" s="8">
        <f>IF(K85=VLOOKUP(VALUE(K$1),Questions!$A:$E,5,FALSE),1,0)</f>
        <v>1</v>
      </c>
      <c r="AU85" s="8">
        <f>IF(L85=VLOOKUP(VALUE(L$1),Questions!$A:$E,5,FALSE),1,0)</f>
        <v>1</v>
      </c>
      <c r="AV85" s="8">
        <f>IF(M85=VLOOKUP(VALUE(M$1),Questions!$A:$E,5,FALSE),1,0)</f>
        <v>1</v>
      </c>
      <c r="AW85" s="8">
        <f>IF(N85=VLOOKUP(VALUE(N$1),Questions!$A:$E,5,FALSE),1,0)</f>
        <v>1</v>
      </c>
      <c r="AX85" s="8">
        <f>IF(O85=VLOOKUP(VALUE(O$1),Questions!$A:$E,5,FALSE),1,0)</f>
        <v>1</v>
      </c>
      <c r="AY85" s="8">
        <f>IF(P85=VLOOKUP(VALUE(P$1),Questions!$A:$E,5,FALSE),1,0)</f>
        <v>1</v>
      </c>
      <c r="AZ85" s="8">
        <f>IF(Q85=VLOOKUP(VALUE(Q$1),Questions!$A:$E,5,FALSE),1,0)</f>
        <v>1</v>
      </c>
      <c r="BA85" s="8">
        <f>IF(R85=VLOOKUP(VALUE(R$1),Questions!$A:$E,5,FALSE),1,0)</f>
        <v>1</v>
      </c>
      <c r="BB85" s="8">
        <f>IF(S85=VLOOKUP(VALUE(S$1),Questions!$A:$E,5,FALSE),1,0)</f>
        <v>1</v>
      </c>
      <c r="BC85" s="8">
        <f>IF(T85=VLOOKUP(VALUE(T$1),Questions!$A:$E,5,FALSE),1,0)</f>
        <v>0</v>
      </c>
      <c r="BD85" s="8">
        <f>IF(U85=VLOOKUP(VALUE(U$1),Questions!$A:$E,5,FALSE),1,0)</f>
        <v>0</v>
      </c>
      <c r="BE85" s="8">
        <f>IF(V85=VLOOKUP(VALUE(V$1),Questions!$A:$E,5,FALSE),1,0)</f>
        <v>0</v>
      </c>
      <c r="BF85" s="8">
        <f>IF(W85=VLOOKUP(VALUE(W$1),Questions!$A:$E,5,FALSE),1,0)</f>
        <v>0</v>
      </c>
      <c r="BG85" s="8">
        <f>IF(X85=VLOOKUP(VALUE(X$1),Questions!$A:$E,5,FALSE),1,0)</f>
        <v>0</v>
      </c>
      <c r="BH85" s="8">
        <f>IF(Y85=VLOOKUP(VALUE(Y$1),Questions!$A:$E,5,FALSE),1,0)</f>
        <v>1</v>
      </c>
      <c r="BI85" s="8">
        <f>IF(Z85=VLOOKUP(VALUE(Z$1),Questions!$A:$E,5,FALSE),1,0)</f>
        <v>1</v>
      </c>
      <c r="BJ85" s="8">
        <f>IF(AA85=VLOOKUP(VALUE(AA$1),Questions!$A:$E,5,FALSE),1,0)</f>
        <v>1</v>
      </c>
      <c r="BK85" s="8">
        <f>IF(AB85=VLOOKUP(VALUE(AB$1),Questions!$A:$E,5,FALSE),1,0)</f>
        <v>1</v>
      </c>
      <c r="BL85" s="8">
        <f>IF(AC85=VLOOKUP(VALUE(AC$1),Questions!$A:$E,5,FALSE),1,0)</f>
        <v>0</v>
      </c>
      <c r="BM85" s="8">
        <f>IF(AD85=VLOOKUP(VALUE(AD$1),Questions!$A:$E,5,FALSE),1,0)</f>
        <v>1</v>
      </c>
      <c r="BN85" s="8">
        <f>IF(AE85=VLOOKUP(VALUE(AE$1),Questions!$A:$E,5,FALSE),1,0)</f>
        <v>0</v>
      </c>
      <c r="BO85" s="8">
        <f>IF(AF85=VLOOKUP(VALUE(AF$1),Questions!$A:$E,5,FALSE),1,0)</f>
        <v>1</v>
      </c>
      <c r="BP85" s="8">
        <f>IF(AG85=VLOOKUP(VALUE(AG$1),Questions!$A:$E,5,FALSE),1,0)</f>
        <v>0</v>
      </c>
      <c r="BQ85" s="8">
        <f>IF(AH85=VLOOKUP(VALUE(AH$1),Questions!$A:$E,5,FALSE),1,0)</f>
        <v>1</v>
      </c>
    </row>
    <row r="86" spans="1:69" ht="13" customHeight="1" x14ac:dyDescent="0.15">
      <c r="A86" t="s">
        <v>36</v>
      </c>
      <c r="B86" s="7">
        <v>10</v>
      </c>
      <c r="C86" s="7">
        <v>6</v>
      </c>
      <c r="D86">
        <v>85</v>
      </c>
      <c r="G86" s="8">
        <v>4</v>
      </c>
      <c r="H86" s="8">
        <v>1</v>
      </c>
      <c r="I86" s="8">
        <v>2</v>
      </c>
      <c r="J86" s="8">
        <v>1</v>
      </c>
      <c r="K86" s="8">
        <v>4</v>
      </c>
      <c r="L86" s="8">
        <v>3</v>
      </c>
      <c r="M86" s="8">
        <v>2</v>
      </c>
      <c r="N86" s="8">
        <v>3</v>
      </c>
      <c r="O86" s="8">
        <v>1</v>
      </c>
      <c r="P86" s="8">
        <v>3</v>
      </c>
      <c r="Q86" s="8">
        <v>1</v>
      </c>
      <c r="R86" s="8">
        <v>3</v>
      </c>
      <c r="S86" s="8">
        <v>2</v>
      </c>
      <c r="T86" s="8">
        <v>2</v>
      </c>
      <c r="U86" s="8">
        <v>4</v>
      </c>
      <c r="V86" s="8">
        <v>3</v>
      </c>
      <c r="W86" s="8">
        <v>4</v>
      </c>
      <c r="X86" s="8">
        <v>3</v>
      </c>
      <c r="Y86" s="8">
        <v>1</v>
      </c>
      <c r="Z86" s="8">
        <v>3</v>
      </c>
      <c r="AA86" s="8">
        <v>4</v>
      </c>
      <c r="AB86" s="8">
        <v>2</v>
      </c>
      <c r="AC86" s="8">
        <v>2</v>
      </c>
      <c r="AD86" s="8">
        <v>3</v>
      </c>
      <c r="AE86" s="8">
        <v>3</v>
      </c>
      <c r="AF86" s="8">
        <v>3</v>
      </c>
      <c r="AG86" s="8">
        <v>3</v>
      </c>
      <c r="AH86" s="8">
        <v>2</v>
      </c>
      <c r="AI86" s="8">
        <v>0</v>
      </c>
      <c r="AP86" s="8">
        <f>IF(G86=VLOOKUP(VALUE(G$1),Questions!$A:$E,5,FALSE),1,0)</f>
        <v>1</v>
      </c>
      <c r="AQ86" s="8">
        <f>IF(H86=VLOOKUP(VALUE(H$1),Questions!$A:$E,5,FALSE),1,0)</f>
        <v>1</v>
      </c>
      <c r="AR86" s="8">
        <f>IF(I86=VLOOKUP(VALUE(I$1),Questions!$A:$E,5,FALSE),1,0)</f>
        <v>0</v>
      </c>
      <c r="AS86" s="8">
        <f>IF(J86=VLOOKUP(VALUE(J$1),Questions!$A:$E,5,FALSE),1,0)</f>
        <v>0</v>
      </c>
      <c r="AT86" s="8">
        <f>IF(K86=VLOOKUP(VALUE(K$1),Questions!$A:$E,5,FALSE),1,0)</f>
        <v>0</v>
      </c>
      <c r="AU86" s="8">
        <f>IF(L86=VLOOKUP(VALUE(L$1),Questions!$A:$E,5,FALSE),1,0)</f>
        <v>1</v>
      </c>
      <c r="AV86" s="8">
        <f>IF(M86=VLOOKUP(VALUE(M$1),Questions!$A:$E,5,FALSE),1,0)</f>
        <v>1</v>
      </c>
      <c r="AW86" s="8">
        <f>IF(N86=VLOOKUP(VALUE(N$1),Questions!$A:$E,5,FALSE),1,0)</f>
        <v>1</v>
      </c>
      <c r="AX86" s="8">
        <f>IF(O86=VLOOKUP(VALUE(O$1),Questions!$A:$E,5,FALSE),1,0)</f>
        <v>1</v>
      </c>
      <c r="AY86" s="8">
        <f>IF(P86=VLOOKUP(VALUE(P$1),Questions!$A:$E,5,FALSE),1,0)</f>
        <v>1</v>
      </c>
      <c r="AZ86" s="8">
        <f>IF(Q86=VLOOKUP(VALUE(Q$1),Questions!$A:$E,5,FALSE),1,0)</f>
        <v>1</v>
      </c>
      <c r="BA86" s="8">
        <f>IF(R86=VLOOKUP(VALUE(R$1),Questions!$A:$E,5,FALSE),1,0)</f>
        <v>0</v>
      </c>
      <c r="BB86" s="8">
        <f>IF(S86=VLOOKUP(VALUE(S$1),Questions!$A:$E,5,FALSE),1,0)</f>
        <v>1</v>
      </c>
      <c r="BC86" s="8">
        <f>IF(T86=VLOOKUP(VALUE(T$1),Questions!$A:$E,5,FALSE),1,0)</f>
        <v>1</v>
      </c>
      <c r="BD86" s="8">
        <f>IF(U86=VLOOKUP(VALUE(U$1),Questions!$A:$E,5,FALSE),1,0)</f>
        <v>1</v>
      </c>
      <c r="BE86" s="8">
        <f>IF(V86=VLOOKUP(VALUE(V$1),Questions!$A:$E,5,FALSE),1,0)</f>
        <v>1</v>
      </c>
      <c r="BF86" s="8">
        <f>IF(W86=VLOOKUP(VALUE(W$1),Questions!$A:$E,5,FALSE),1,0)</f>
        <v>1</v>
      </c>
      <c r="BG86" s="8">
        <f>IF(X86=VLOOKUP(VALUE(X$1),Questions!$A:$E,5,FALSE),1,0)</f>
        <v>1</v>
      </c>
      <c r="BH86" s="8">
        <f>IF(Y86=VLOOKUP(VALUE(Y$1),Questions!$A:$E,5,FALSE),1,0)</f>
        <v>1</v>
      </c>
      <c r="BI86" s="8">
        <f>IF(Z86=VLOOKUP(VALUE(Z$1),Questions!$A:$E,5,FALSE),1,0)</f>
        <v>1</v>
      </c>
      <c r="BJ86" s="8">
        <f>IF(AA86=VLOOKUP(VALUE(AA$1),Questions!$A:$E,5,FALSE),1,0)</f>
        <v>1</v>
      </c>
      <c r="BK86" s="8">
        <f>IF(AB86=VLOOKUP(VALUE(AB$1),Questions!$A:$E,5,FALSE),1,0)</f>
        <v>1</v>
      </c>
      <c r="BL86" s="8">
        <f>IF(AC86=VLOOKUP(VALUE(AC$1),Questions!$A:$E,5,FALSE),1,0)</f>
        <v>1</v>
      </c>
      <c r="BM86" s="8">
        <f>IF(AD86=VLOOKUP(VALUE(AD$1),Questions!$A:$E,5,FALSE),1,0)</f>
        <v>1</v>
      </c>
      <c r="BN86" s="8">
        <f>IF(AE86=VLOOKUP(VALUE(AE$1),Questions!$A:$E,5,FALSE),1,0)</f>
        <v>0</v>
      </c>
      <c r="BO86" s="8">
        <f>IF(AF86=VLOOKUP(VALUE(AF$1),Questions!$A:$E,5,FALSE),1,0)</f>
        <v>0</v>
      </c>
      <c r="BP86" s="8">
        <f>IF(AG86=VLOOKUP(VALUE(AG$1),Questions!$A:$E,5,FALSE),1,0)</f>
        <v>0</v>
      </c>
      <c r="BQ86" s="8">
        <f>IF(AH86=VLOOKUP(VALUE(AH$1),Questions!$A:$E,5,FALSE),1,0)</f>
        <v>1</v>
      </c>
    </row>
    <row r="87" spans="1:69" ht="13" customHeight="1" x14ac:dyDescent="0.15">
      <c r="A87" t="s">
        <v>36</v>
      </c>
      <c r="B87" s="7">
        <v>10</v>
      </c>
      <c r="C87" s="7">
        <v>6</v>
      </c>
      <c r="D87">
        <v>86</v>
      </c>
      <c r="G87" s="8">
        <v>4</v>
      </c>
      <c r="H87" s="8">
        <v>1</v>
      </c>
      <c r="I87" s="8">
        <v>3</v>
      </c>
      <c r="J87" s="8">
        <v>2</v>
      </c>
      <c r="K87" s="8">
        <v>1</v>
      </c>
      <c r="L87" s="8">
        <v>3</v>
      </c>
      <c r="M87" s="8">
        <v>2</v>
      </c>
      <c r="N87" s="8">
        <v>3</v>
      </c>
      <c r="O87" s="8">
        <v>1</v>
      </c>
      <c r="P87" s="8">
        <v>3</v>
      </c>
      <c r="Q87" s="8">
        <v>1</v>
      </c>
      <c r="R87" s="8">
        <v>4</v>
      </c>
      <c r="S87" s="8">
        <v>2</v>
      </c>
      <c r="T87" s="8">
        <v>2</v>
      </c>
      <c r="U87" s="8">
        <v>4</v>
      </c>
      <c r="V87" s="8">
        <v>3</v>
      </c>
      <c r="W87" s="8">
        <v>4</v>
      </c>
      <c r="X87" s="8">
        <v>3</v>
      </c>
      <c r="Y87" s="8">
        <v>1</v>
      </c>
      <c r="Z87" s="8">
        <v>3</v>
      </c>
      <c r="AA87" s="8">
        <v>4</v>
      </c>
      <c r="AB87" s="8">
        <v>2</v>
      </c>
      <c r="AC87" s="8">
        <v>2</v>
      </c>
      <c r="AD87" s="8">
        <v>3</v>
      </c>
      <c r="AE87" s="8">
        <v>2</v>
      </c>
      <c r="AF87" s="8">
        <v>4</v>
      </c>
      <c r="AI87" s="8">
        <v>1</v>
      </c>
      <c r="AJ87" s="8">
        <v>1</v>
      </c>
      <c r="AK87" s="8">
        <v>1</v>
      </c>
      <c r="AL87" s="8">
        <v>1</v>
      </c>
      <c r="AM87" s="8">
        <v>1</v>
      </c>
      <c r="AN87" s="8">
        <v>0</v>
      </c>
      <c r="AO87" s="8">
        <v>0</v>
      </c>
      <c r="AP87" s="8">
        <f>IF(G87=VLOOKUP(VALUE(G$1),Questions!$A:$E,5,FALSE),1,0)</f>
        <v>1</v>
      </c>
      <c r="AQ87" s="8">
        <f>IF(H87=VLOOKUP(VALUE(H$1),Questions!$A:$E,5,FALSE),1,0)</f>
        <v>1</v>
      </c>
      <c r="AR87" s="8">
        <f>IF(I87=VLOOKUP(VALUE(I$1),Questions!$A:$E,5,FALSE),1,0)</f>
        <v>1</v>
      </c>
      <c r="AS87" s="8">
        <f>IF(J87=VLOOKUP(VALUE(J$1),Questions!$A:$E,5,FALSE),1,0)</f>
        <v>1</v>
      </c>
      <c r="AT87" s="8">
        <f>IF(K87=VLOOKUP(VALUE(K$1),Questions!$A:$E,5,FALSE),1,0)</f>
        <v>1</v>
      </c>
      <c r="AU87" s="8">
        <f>IF(L87=VLOOKUP(VALUE(L$1),Questions!$A:$E,5,FALSE),1,0)</f>
        <v>1</v>
      </c>
      <c r="AV87" s="8">
        <f>IF(M87=VLOOKUP(VALUE(M$1),Questions!$A:$E,5,FALSE),1,0)</f>
        <v>1</v>
      </c>
      <c r="AW87" s="8">
        <f>IF(N87=VLOOKUP(VALUE(N$1),Questions!$A:$E,5,FALSE),1,0)</f>
        <v>1</v>
      </c>
      <c r="AX87" s="8">
        <f>IF(O87=VLOOKUP(VALUE(O$1),Questions!$A:$E,5,FALSE),1,0)</f>
        <v>1</v>
      </c>
      <c r="AY87" s="8">
        <f>IF(P87=VLOOKUP(VALUE(P$1),Questions!$A:$E,5,FALSE),1,0)</f>
        <v>1</v>
      </c>
      <c r="AZ87" s="8">
        <f>IF(Q87=VLOOKUP(VALUE(Q$1),Questions!$A:$E,5,FALSE),1,0)</f>
        <v>1</v>
      </c>
      <c r="BA87" s="8">
        <f>IF(R87=VLOOKUP(VALUE(R$1),Questions!$A:$E,5,FALSE),1,0)</f>
        <v>1</v>
      </c>
      <c r="BB87" s="8">
        <f>IF(S87=VLOOKUP(VALUE(S$1),Questions!$A:$E,5,FALSE),1,0)</f>
        <v>1</v>
      </c>
      <c r="BC87" s="8">
        <f>IF(T87=VLOOKUP(VALUE(T$1),Questions!$A:$E,5,FALSE),1,0)</f>
        <v>1</v>
      </c>
      <c r="BD87" s="8">
        <f>IF(U87=VLOOKUP(VALUE(U$1),Questions!$A:$E,5,FALSE),1,0)</f>
        <v>1</v>
      </c>
      <c r="BE87" s="8">
        <f>IF(V87=VLOOKUP(VALUE(V$1),Questions!$A:$E,5,FALSE),1,0)</f>
        <v>1</v>
      </c>
      <c r="BF87" s="8">
        <f>IF(W87=VLOOKUP(VALUE(W$1),Questions!$A:$E,5,FALSE),1,0)</f>
        <v>1</v>
      </c>
      <c r="BG87" s="8">
        <f>IF(X87=VLOOKUP(VALUE(X$1),Questions!$A:$E,5,FALSE),1,0)</f>
        <v>1</v>
      </c>
      <c r="BH87" s="8">
        <f>IF(Y87=VLOOKUP(VALUE(Y$1),Questions!$A:$E,5,FALSE),1,0)</f>
        <v>1</v>
      </c>
      <c r="BI87" s="8">
        <f>IF(Z87=VLOOKUP(VALUE(Z$1),Questions!$A:$E,5,FALSE),1,0)</f>
        <v>1</v>
      </c>
      <c r="BJ87" s="8">
        <f>IF(AA87=VLOOKUP(VALUE(AA$1),Questions!$A:$E,5,FALSE),1,0)</f>
        <v>1</v>
      </c>
      <c r="BK87" s="8">
        <f>IF(AB87=VLOOKUP(VALUE(AB$1),Questions!$A:$E,5,FALSE),1,0)</f>
        <v>1</v>
      </c>
      <c r="BL87" s="8">
        <f>IF(AC87=VLOOKUP(VALUE(AC$1),Questions!$A:$E,5,FALSE),1,0)</f>
        <v>1</v>
      </c>
      <c r="BM87" s="8">
        <f>IF(AD87=VLOOKUP(VALUE(AD$1),Questions!$A:$E,5,FALSE),1,0)</f>
        <v>1</v>
      </c>
      <c r="BN87" s="8">
        <f>IF(AE87=VLOOKUP(VALUE(AE$1),Questions!$A:$E,5,FALSE),1,0)</f>
        <v>1</v>
      </c>
      <c r="BO87" s="8">
        <f>IF(AF87=VLOOKUP(VALUE(AF$1),Questions!$A:$E,5,FALSE),1,0)</f>
        <v>1</v>
      </c>
      <c r="BP87" s="8">
        <f>IF(AG87=VLOOKUP(VALUE(AG$1),Questions!$A:$E,5,FALSE),1,0)</f>
        <v>0</v>
      </c>
      <c r="BQ87" s="8">
        <f>IF(AH87=VLOOKUP(VALUE(AH$1),Questions!$A:$E,5,FALSE),1,0)</f>
        <v>0</v>
      </c>
    </row>
    <row r="88" spans="1:69" ht="13" customHeight="1" x14ac:dyDescent="0.15">
      <c r="A88" t="s">
        <v>36</v>
      </c>
      <c r="B88" s="7">
        <v>10</v>
      </c>
      <c r="C88" s="7">
        <v>6</v>
      </c>
      <c r="D88">
        <v>87</v>
      </c>
      <c r="G88" s="8">
        <v>4</v>
      </c>
      <c r="H88" s="8">
        <v>1</v>
      </c>
      <c r="I88" s="8">
        <v>3</v>
      </c>
      <c r="J88" s="8">
        <v>2</v>
      </c>
      <c r="K88" s="8">
        <v>1</v>
      </c>
      <c r="L88" s="8">
        <v>1</v>
      </c>
      <c r="M88" s="8">
        <v>3</v>
      </c>
      <c r="N88" s="8">
        <v>3</v>
      </c>
      <c r="O88" s="8">
        <v>3</v>
      </c>
      <c r="P88" s="8">
        <v>4</v>
      </c>
      <c r="Q88" s="8">
        <v>1</v>
      </c>
      <c r="R88" s="8">
        <v>4</v>
      </c>
      <c r="S88" s="8">
        <v>2</v>
      </c>
      <c r="T88" s="8">
        <v>2</v>
      </c>
      <c r="U88" s="8">
        <v>4</v>
      </c>
      <c r="V88" s="8">
        <v>3</v>
      </c>
      <c r="W88" s="8">
        <v>2</v>
      </c>
      <c r="X88" s="8">
        <v>2</v>
      </c>
      <c r="Y88" s="8">
        <v>1</v>
      </c>
      <c r="Z88" s="8">
        <v>2</v>
      </c>
      <c r="AA88" s="8">
        <v>4</v>
      </c>
      <c r="AB88" s="8">
        <v>2</v>
      </c>
      <c r="AC88" s="8">
        <v>2</v>
      </c>
      <c r="AD88" s="8">
        <v>3</v>
      </c>
      <c r="AE88" s="8">
        <v>1</v>
      </c>
      <c r="AF88" s="8">
        <v>3</v>
      </c>
      <c r="AG88" s="8">
        <v>2</v>
      </c>
      <c r="AH88" s="8">
        <v>3</v>
      </c>
      <c r="AI88" s="8">
        <v>1</v>
      </c>
      <c r="AJ88" s="8">
        <v>0</v>
      </c>
      <c r="AK88" s="8">
        <v>0</v>
      </c>
      <c r="AL88" s="8">
        <v>1</v>
      </c>
      <c r="AM88" s="8">
        <v>1</v>
      </c>
      <c r="AN88" s="8">
        <v>1</v>
      </c>
      <c r="AO88" s="8">
        <v>1</v>
      </c>
      <c r="AP88" s="8">
        <f>IF(G88=VLOOKUP(VALUE(G$1),Questions!$A:$E,5,FALSE),1,0)</f>
        <v>1</v>
      </c>
      <c r="AQ88" s="8">
        <f>IF(H88=VLOOKUP(VALUE(H$1),Questions!$A:$E,5,FALSE),1,0)</f>
        <v>1</v>
      </c>
      <c r="AR88" s="8">
        <f>IF(I88=VLOOKUP(VALUE(I$1),Questions!$A:$E,5,FALSE),1,0)</f>
        <v>1</v>
      </c>
      <c r="AS88" s="8">
        <f>IF(J88=VLOOKUP(VALUE(J$1),Questions!$A:$E,5,FALSE),1,0)</f>
        <v>1</v>
      </c>
      <c r="AT88" s="8">
        <f>IF(K88=VLOOKUP(VALUE(K$1),Questions!$A:$E,5,FALSE),1,0)</f>
        <v>1</v>
      </c>
      <c r="AU88" s="8">
        <f>IF(L88=VLOOKUP(VALUE(L$1),Questions!$A:$E,5,FALSE),1,0)</f>
        <v>0</v>
      </c>
      <c r="AV88" s="8">
        <f>IF(M88=VLOOKUP(VALUE(M$1),Questions!$A:$E,5,FALSE),1,0)</f>
        <v>0</v>
      </c>
      <c r="AW88" s="8">
        <f>IF(N88=VLOOKUP(VALUE(N$1),Questions!$A:$E,5,FALSE),1,0)</f>
        <v>1</v>
      </c>
      <c r="AX88" s="8">
        <f>IF(O88=VLOOKUP(VALUE(O$1),Questions!$A:$E,5,FALSE),1,0)</f>
        <v>0</v>
      </c>
      <c r="AY88" s="8">
        <f>IF(P88=VLOOKUP(VALUE(P$1),Questions!$A:$E,5,FALSE),1,0)</f>
        <v>0</v>
      </c>
      <c r="AZ88" s="8">
        <f>IF(Q88=VLOOKUP(VALUE(Q$1),Questions!$A:$E,5,FALSE),1,0)</f>
        <v>1</v>
      </c>
      <c r="BA88" s="8">
        <f>IF(R88=VLOOKUP(VALUE(R$1),Questions!$A:$E,5,FALSE),1,0)</f>
        <v>1</v>
      </c>
      <c r="BB88" s="8">
        <f>IF(S88=VLOOKUP(VALUE(S$1),Questions!$A:$E,5,FALSE),1,0)</f>
        <v>1</v>
      </c>
      <c r="BC88" s="8">
        <f>IF(T88=VLOOKUP(VALUE(T$1),Questions!$A:$E,5,FALSE),1,0)</f>
        <v>1</v>
      </c>
      <c r="BD88" s="8">
        <f>IF(U88=VLOOKUP(VALUE(U$1),Questions!$A:$E,5,FALSE),1,0)</f>
        <v>1</v>
      </c>
      <c r="BE88" s="8">
        <f>IF(V88=VLOOKUP(VALUE(V$1),Questions!$A:$E,5,FALSE),1,0)</f>
        <v>1</v>
      </c>
      <c r="BF88" s="8">
        <f>IF(W88=VLOOKUP(VALUE(W$1),Questions!$A:$E,5,FALSE),1,0)</f>
        <v>0</v>
      </c>
      <c r="BG88" s="8">
        <f>IF(X88=VLOOKUP(VALUE(X$1),Questions!$A:$E,5,FALSE),1,0)</f>
        <v>0</v>
      </c>
      <c r="BH88" s="8">
        <f>IF(Y88=VLOOKUP(VALUE(Y$1),Questions!$A:$E,5,FALSE),1,0)</f>
        <v>1</v>
      </c>
      <c r="BI88" s="8">
        <f>IF(Z88=VLOOKUP(VALUE(Z$1),Questions!$A:$E,5,FALSE),1,0)</f>
        <v>0</v>
      </c>
      <c r="BJ88" s="8">
        <f>IF(AA88=VLOOKUP(VALUE(AA$1),Questions!$A:$E,5,FALSE),1,0)</f>
        <v>1</v>
      </c>
      <c r="BK88" s="8">
        <f>IF(AB88=VLOOKUP(VALUE(AB$1),Questions!$A:$E,5,FALSE),1,0)</f>
        <v>1</v>
      </c>
      <c r="BL88" s="8">
        <f>IF(AC88=VLOOKUP(VALUE(AC$1),Questions!$A:$E,5,FALSE),1,0)</f>
        <v>1</v>
      </c>
      <c r="BM88" s="8">
        <f>IF(AD88=VLOOKUP(VALUE(AD$1),Questions!$A:$E,5,FALSE),1,0)</f>
        <v>1</v>
      </c>
      <c r="BN88" s="8">
        <f>IF(AE88=VLOOKUP(VALUE(AE$1),Questions!$A:$E,5,FALSE),1,0)</f>
        <v>0</v>
      </c>
      <c r="BO88" s="8">
        <f>IF(AF88=VLOOKUP(VALUE(AF$1),Questions!$A:$E,5,FALSE),1,0)</f>
        <v>0</v>
      </c>
      <c r="BP88" s="8">
        <f>IF(AG88=VLOOKUP(VALUE(AG$1),Questions!$A:$E,5,FALSE),1,0)</f>
        <v>0</v>
      </c>
      <c r="BQ88" s="8">
        <f>IF(AH88=VLOOKUP(VALUE(AH$1),Questions!$A:$E,5,FALSE),1,0)</f>
        <v>0</v>
      </c>
    </row>
    <row r="89" spans="1:69" ht="13" customHeight="1" x14ac:dyDescent="0.15">
      <c r="A89" t="s">
        <v>36</v>
      </c>
      <c r="B89" s="7">
        <v>10</v>
      </c>
      <c r="C89" s="7">
        <v>6</v>
      </c>
      <c r="D89">
        <v>88</v>
      </c>
      <c r="G89" s="8">
        <v>3</v>
      </c>
      <c r="H89" s="8">
        <v>1</v>
      </c>
      <c r="I89" s="8">
        <v>3</v>
      </c>
      <c r="J89" s="8">
        <v>2</v>
      </c>
      <c r="K89" s="8">
        <v>1</v>
      </c>
      <c r="L89" s="8">
        <v>3</v>
      </c>
      <c r="M89" s="8">
        <v>3</v>
      </c>
      <c r="N89" s="8">
        <v>2</v>
      </c>
      <c r="O89" s="8">
        <v>1</v>
      </c>
      <c r="P89" s="8">
        <v>3</v>
      </c>
      <c r="Q89" s="8">
        <v>1</v>
      </c>
      <c r="R89" s="8">
        <v>4</v>
      </c>
      <c r="S89" s="8">
        <v>1</v>
      </c>
      <c r="T89" s="8">
        <v>2</v>
      </c>
      <c r="U89" s="8">
        <v>4</v>
      </c>
      <c r="V89" s="8">
        <v>3</v>
      </c>
      <c r="W89" s="8">
        <v>4</v>
      </c>
      <c r="X89" s="8">
        <v>3</v>
      </c>
      <c r="Y89" s="8">
        <v>1</v>
      </c>
      <c r="Z89" s="8">
        <v>3</v>
      </c>
      <c r="AA89" s="8">
        <v>1</v>
      </c>
      <c r="AB89" s="8">
        <v>2</v>
      </c>
      <c r="AC89" s="8">
        <v>1</v>
      </c>
      <c r="AD89" s="8">
        <v>1</v>
      </c>
      <c r="AE89" s="8">
        <v>2</v>
      </c>
      <c r="AF89" s="8">
        <v>3</v>
      </c>
      <c r="AG89" s="8">
        <v>2</v>
      </c>
      <c r="AH89" s="8">
        <v>1</v>
      </c>
      <c r="AI89" s="8">
        <v>1</v>
      </c>
      <c r="AJ89" s="8">
        <v>0</v>
      </c>
      <c r="AL89" s="8">
        <v>1</v>
      </c>
      <c r="AM89" s="8">
        <v>1</v>
      </c>
      <c r="AP89" s="8">
        <f>IF(G89=VLOOKUP(VALUE(G$1),Questions!$A:$E,5,FALSE),1,0)</f>
        <v>0</v>
      </c>
      <c r="AQ89" s="8">
        <f>IF(H89=VLOOKUP(VALUE(H$1),Questions!$A:$E,5,FALSE),1,0)</f>
        <v>1</v>
      </c>
      <c r="AR89" s="8">
        <f>IF(I89=VLOOKUP(VALUE(I$1),Questions!$A:$E,5,FALSE),1,0)</f>
        <v>1</v>
      </c>
      <c r="AS89" s="8">
        <f>IF(J89=VLOOKUP(VALUE(J$1),Questions!$A:$E,5,FALSE),1,0)</f>
        <v>1</v>
      </c>
      <c r="AT89" s="8">
        <f>IF(K89=VLOOKUP(VALUE(K$1),Questions!$A:$E,5,FALSE),1,0)</f>
        <v>1</v>
      </c>
      <c r="AU89" s="8">
        <f>IF(L89=VLOOKUP(VALUE(L$1),Questions!$A:$E,5,FALSE),1,0)</f>
        <v>1</v>
      </c>
      <c r="AV89" s="8">
        <f>IF(M89=VLOOKUP(VALUE(M$1),Questions!$A:$E,5,FALSE),1,0)</f>
        <v>0</v>
      </c>
      <c r="AW89" s="8">
        <f>IF(N89=VLOOKUP(VALUE(N$1),Questions!$A:$E,5,FALSE),1,0)</f>
        <v>0</v>
      </c>
      <c r="AX89" s="8">
        <f>IF(O89=VLOOKUP(VALUE(O$1),Questions!$A:$E,5,FALSE),1,0)</f>
        <v>1</v>
      </c>
      <c r="AY89" s="8">
        <f>IF(P89=VLOOKUP(VALUE(P$1),Questions!$A:$E,5,FALSE),1,0)</f>
        <v>1</v>
      </c>
      <c r="AZ89" s="8">
        <f>IF(Q89=VLOOKUP(VALUE(Q$1),Questions!$A:$E,5,FALSE),1,0)</f>
        <v>1</v>
      </c>
      <c r="BA89" s="8">
        <f>IF(R89=VLOOKUP(VALUE(R$1),Questions!$A:$E,5,FALSE),1,0)</f>
        <v>1</v>
      </c>
      <c r="BB89" s="8">
        <f>IF(S89=VLOOKUP(VALUE(S$1),Questions!$A:$E,5,FALSE),1,0)</f>
        <v>0</v>
      </c>
      <c r="BC89" s="8">
        <f>IF(T89=VLOOKUP(VALUE(T$1),Questions!$A:$E,5,FALSE),1,0)</f>
        <v>1</v>
      </c>
      <c r="BD89" s="8">
        <f>IF(U89=VLOOKUP(VALUE(U$1),Questions!$A:$E,5,FALSE),1,0)</f>
        <v>1</v>
      </c>
      <c r="BE89" s="8">
        <f>IF(V89=VLOOKUP(VALUE(V$1),Questions!$A:$E,5,FALSE),1,0)</f>
        <v>1</v>
      </c>
      <c r="BF89" s="8">
        <f>IF(W89=VLOOKUP(VALUE(W$1),Questions!$A:$E,5,FALSE),1,0)</f>
        <v>1</v>
      </c>
      <c r="BG89" s="8">
        <f>IF(X89=VLOOKUP(VALUE(X$1),Questions!$A:$E,5,FALSE),1,0)</f>
        <v>1</v>
      </c>
      <c r="BH89" s="8">
        <f>IF(Y89=VLOOKUP(VALUE(Y$1),Questions!$A:$E,5,FALSE),1,0)</f>
        <v>1</v>
      </c>
      <c r="BI89" s="8">
        <f>IF(Z89=VLOOKUP(VALUE(Z$1),Questions!$A:$E,5,FALSE),1,0)</f>
        <v>1</v>
      </c>
      <c r="BJ89" s="8">
        <f>IF(AA89=VLOOKUP(VALUE(AA$1),Questions!$A:$E,5,FALSE),1,0)</f>
        <v>0</v>
      </c>
      <c r="BK89" s="8">
        <f>IF(AB89=VLOOKUP(VALUE(AB$1),Questions!$A:$E,5,FALSE),1,0)</f>
        <v>1</v>
      </c>
      <c r="BL89" s="8">
        <f>IF(AC89=VLOOKUP(VALUE(AC$1),Questions!$A:$E,5,FALSE),1,0)</f>
        <v>0</v>
      </c>
      <c r="BM89" s="8">
        <f>IF(AD89=VLOOKUP(VALUE(AD$1),Questions!$A:$E,5,FALSE),1,0)</f>
        <v>0</v>
      </c>
      <c r="BN89" s="8">
        <f>IF(AE89=VLOOKUP(VALUE(AE$1),Questions!$A:$E,5,FALSE),1,0)</f>
        <v>1</v>
      </c>
      <c r="BO89" s="8">
        <f>IF(AF89=VLOOKUP(VALUE(AF$1),Questions!$A:$E,5,FALSE),1,0)</f>
        <v>0</v>
      </c>
      <c r="BP89" s="8">
        <f>IF(AG89=VLOOKUP(VALUE(AG$1),Questions!$A:$E,5,FALSE),1,0)</f>
        <v>0</v>
      </c>
      <c r="BQ89" s="8">
        <f>IF(AH89=VLOOKUP(VALUE(AH$1),Questions!$A:$E,5,FALSE),1,0)</f>
        <v>0</v>
      </c>
    </row>
    <row r="90" spans="1:69" ht="13" customHeight="1" x14ac:dyDescent="0.15">
      <c r="A90" t="s">
        <v>36</v>
      </c>
      <c r="B90" s="7">
        <v>10</v>
      </c>
      <c r="C90" s="7">
        <v>6</v>
      </c>
      <c r="D90">
        <v>89</v>
      </c>
      <c r="G90" s="8">
        <v>4</v>
      </c>
      <c r="H90" s="8">
        <v>1</v>
      </c>
      <c r="I90" s="8">
        <v>3</v>
      </c>
      <c r="J90" s="8">
        <v>2</v>
      </c>
      <c r="K90" s="8">
        <v>3</v>
      </c>
      <c r="L90" s="8">
        <v>3</v>
      </c>
      <c r="M90" s="8">
        <v>2</v>
      </c>
      <c r="N90" s="8">
        <v>3</v>
      </c>
      <c r="O90" s="8">
        <v>1</v>
      </c>
      <c r="P90" s="8">
        <v>2</v>
      </c>
      <c r="Q90" s="8">
        <v>1</v>
      </c>
      <c r="R90" s="8">
        <v>4</v>
      </c>
      <c r="S90" s="8">
        <v>2</v>
      </c>
      <c r="T90" s="8">
        <v>2</v>
      </c>
      <c r="U90" s="8">
        <v>4</v>
      </c>
      <c r="V90" s="8">
        <v>4</v>
      </c>
      <c r="W90" s="8">
        <v>4</v>
      </c>
      <c r="X90" s="8">
        <v>2</v>
      </c>
      <c r="Y90" s="8">
        <v>1</v>
      </c>
      <c r="Z90" s="8">
        <v>3</v>
      </c>
      <c r="AA90" s="8">
        <v>4</v>
      </c>
      <c r="AB90" s="8">
        <v>2</v>
      </c>
      <c r="AC90" s="8">
        <v>2</v>
      </c>
      <c r="AD90" s="8">
        <v>3</v>
      </c>
      <c r="AE90" s="8">
        <v>4</v>
      </c>
      <c r="AF90" s="8">
        <v>4</v>
      </c>
      <c r="AG90" s="8">
        <v>1</v>
      </c>
      <c r="AH90" s="8">
        <v>2</v>
      </c>
      <c r="AI90" s="8">
        <v>1</v>
      </c>
      <c r="AJ90" s="8">
        <v>0</v>
      </c>
      <c r="AK90" s="8">
        <v>0</v>
      </c>
      <c r="AL90" s="8">
        <v>1</v>
      </c>
      <c r="AM90" s="8">
        <v>1</v>
      </c>
      <c r="AN90" s="8">
        <v>0</v>
      </c>
      <c r="AO90" s="8">
        <v>1</v>
      </c>
      <c r="AP90" s="8">
        <f>IF(G90=VLOOKUP(VALUE(G$1),Questions!$A:$E,5,FALSE),1,0)</f>
        <v>1</v>
      </c>
      <c r="AQ90" s="8">
        <f>IF(H90=VLOOKUP(VALUE(H$1),Questions!$A:$E,5,FALSE),1,0)</f>
        <v>1</v>
      </c>
      <c r="AR90" s="8">
        <f>IF(I90=VLOOKUP(VALUE(I$1),Questions!$A:$E,5,FALSE),1,0)</f>
        <v>1</v>
      </c>
      <c r="AS90" s="8">
        <f>IF(J90=VLOOKUP(VALUE(J$1),Questions!$A:$E,5,FALSE),1,0)</f>
        <v>1</v>
      </c>
      <c r="AT90" s="8">
        <f>IF(K90=VLOOKUP(VALUE(K$1),Questions!$A:$E,5,FALSE),1,0)</f>
        <v>0</v>
      </c>
      <c r="AU90" s="8">
        <f>IF(L90=VLOOKUP(VALUE(L$1),Questions!$A:$E,5,FALSE),1,0)</f>
        <v>1</v>
      </c>
      <c r="AV90" s="8">
        <f>IF(M90=VLOOKUP(VALUE(M$1),Questions!$A:$E,5,FALSE),1,0)</f>
        <v>1</v>
      </c>
      <c r="AW90" s="8">
        <f>IF(N90=VLOOKUP(VALUE(N$1),Questions!$A:$E,5,FALSE),1,0)</f>
        <v>1</v>
      </c>
      <c r="AX90" s="8">
        <f>IF(O90=VLOOKUP(VALUE(O$1),Questions!$A:$E,5,FALSE),1,0)</f>
        <v>1</v>
      </c>
      <c r="AY90" s="8">
        <f>IF(P90=VLOOKUP(VALUE(P$1),Questions!$A:$E,5,FALSE),1,0)</f>
        <v>0</v>
      </c>
      <c r="AZ90" s="8">
        <f>IF(Q90=VLOOKUP(VALUE(Q$1),Questions!$A:$E,5,FALSE),1,0)</f>
        <v>1</v>
      </c>
      <c r="BA90" s="8">
        <f>IF(R90=VLOOKUP(VALUE(R$1),Questions!$A:$E,5,FALSE),1,0)</f>
        <v>1</v>
      </c>
      <c r="BB90" s="8">
        <f>IF(S90=VLOOKUP(VALUE(S$1),Questions!$A:$E,5,FALSE),1,0)</f>
        <v>1</v>
      </c>
      <c r="BC90" s="8">
        <f>IF(T90=VLOOKUP(VALUE(T$1),Questions!$A:$E,5,FALSE),1,0)</f>
        <v>1</v>
      </c>
      <c r="BD90" s="8">
        <f>IF(U90=VLOOKUP(VALUE(U$1),Questions!$A:$E,5,FALSE),1,0)</f>
        <v>1</v>
      </c>
      <c r="BE90" s="8">
        <f>IF(V90=VLOOKUP(VALUE(V$1),Questions!$A:$E,5,FALSE),1,0)</f>
        <v>0</v>
      </c>
      <c r="BF90" s="8">
        <f>IF(W90=VLOOKUP(VALUE(W$1),Questions!$A:$E,5,FALSE),1,0)</f>
        <v>1</v>
      </c>
      <c r="BG90" s="8">
        <f>IF(X90=VLOOKUP(VALUE(X$1),Questions!$A:$E,5,FALSE),1,0)</f>
        <v>0</v>
      </c>
      <c r="BH90" s="8">
        <f>IF(Y90=VLOOKUP(VALUE(Y$1),Questions!$A:$E,5,FALSE),1,0)</f>
        <v>1</v>
      </c>
      <c r="BI90" s="8">
        <f>IF(Z90=VLOOKUP(VALUE(Z$1),Questions!$A:$E,5,FALSE),1,0)</f>
        <v>1</v>
      </c>
      <c r="BJ90" s="8">
        <f>IF(AA90=VLOOKUP(VALUE(AA$1),Questions!$A:$E,5,FALSE),1,0)</f>
        <v>1</v>
      </c>
      <c r="BK90" s="8">
        <f>IF(AB90=VLOOKUP(VALUE(AB$1),Questions!$A:$E,5,FALSE),1,0)</f>
        <v>1</v>
      </c>
      <c r="BL90" s="8">
        <f>IF(AC90=VLOOKUP(VALUE(AC$1),Questions!$A:$E,5,FALSE),1,0)</f>
        <v>1</v>
      </c>
      <c r="BM90" s="8">
        <f>IF(AD90=VLOOKUP(VALUE(AD$1),Questions!$A:$E,5,FALSE),1,0)</f>
        <v>1</v>
      </c>
      <c r="BN90" s="8">
        <f>IF(AE90=VLOOKUP(VALUE(AE$1),Questions!$A:$E,5,FALSE),1,0)</f>
        <v>0</v>
      </c>
      <c r="BO90" s="8">
        <f>IF(AF90=VLOOKUP(VALUE(AF$1),Questions!$A:$E,5,FALSE),1,0)</f>
        <v>1</v>
      </c>
      <c r="BP90" s="8">
        <f>IF(AG90=VLOOKUP(VALUE(AG$1),Questions!$A:$E,5,FALSE),1,0)</f>
        <v>1</v>
      </c>
      <c r="BQ90" s="8">
        <f>IF(AH90=VLOOKUP(VALUE(AH$1),Questions!$A:$E,5,FALSE),1,0)</f>
        <v>1</v>
      </c>
    </row>
    <row r="91" spans="1:69" ht="13" customHeight="1" x14ac:dyDescent="0.15">
      <c r="A91" t="s">
        <v>36</v>
      </c>
      <c r="B91" s="7">
        <v>10</v>
      </c>
      <c r="C91" s="7">
        <v>6</v>
      </c>
      <c r="D91">
        <v>90</v>
      </c>
      <c r="G91" s="8">
        <v>4</v>
      </c>
      <c r="H91" s="8">
        <v>1</v>
      </c>
      <c r="I91" s="8">
        <v>2</v>
      </c>
      <c r="J91" s="8">
        <v>2</v>
      </c>
      <c r="K91" s="8">
        <v>1</v>
      </c>
      <c r="L91" s="8">
        <v>2</v>
      </c>
      <c r="M91" s="8">
        <v>2</v>
      </c>
      <c r="N91" s="8">
        <v>1</v>
      </c>
      <c r="O91" s="8">
        <v>3</v>
      </c>
      <c r="P91" s="8">
        <v>4</v>
      </c>
      <c r="Q91" s="8">
        <v>1</v>
      </c>
      <c r="R91" s="8">
        <v>4</v>
      </c>
      <c r="S91" s="8">
        <v>1</v>
      </c>
      <c r="T91" s="8">
        <v>3</v>
      </c>
      <c r="U91" s="8">
        <v>3</v>
      </c>
      <c r="V91" s="8">
        <v>3</v>
      </c>
      <c r="W91" s="8">
        <v>4</v>
      </c>
      <c r="X91" s="8">
        <v>3</v>
      </c>
      <c r="Y91" s="8">
        <v>1</v>
      </c>
      <c r="Z91" s="8">
        <v>3</v>
      </c>
      <c r="AA91" s="8">
        <v>4</v>
      </c>
      <c r="AB91" s="8">
        <v>2</v>
      </c>
      <c r="AC91" s="8">
        <v>2</v>
      </c>
      <c r="AD91" s="8">
        <v>1</v>
      </c>
      <c r="AE91" s="8">
        <v>4</v>
      </c>
      <c r="AF91" s="8">
        <v>4</v>
      </c>
      <c r="AG91" s="8">
        <v>1</v>
      </c>
      <c r="AH91" s="8">
        <v>4</v>
      </c>
      <c r="AI91" s="8">
        <v>1</v>
      </c>
      <c r="AJ91" s="8">
        <v>0</v>
      </c>
      <c r="AK91" s="8">
        <v>0</v>
      </c>
      <c r="AL91" s="8">
        <v>1</v>
      </c>
      <c r="AM91" s="8">
        <v>1</v>
      </c>
      <c r="AN91" s="8">
        <v>1</v>
      </c>
      <c r="AO91" s="8">
        <v>1</v>
      </c>
      <c r="AP91" s="8">
        <f>IF(G91=VLOOKUP(VALUE(G$1),Questions!$A:$E,5,FALSE),1,0)</f>
        <v>1</v>
      </c>
      <c r="AQ91" s="8">
        <f>IF(H91=VLOOKUP(VALUE(H$1),Questions!$A:$E,5,FALSE),1,0)</f>
        <v>1</v>
      </c>
      <c r="AR91" s="8">
        <f>IF(I91=VLOOKUP(VALUE(I$1),Questions!$A:$E,5,FALSE),1,0)</f>
        <v>0</v>
      </c>
      <c r="AS91" s="8">
        <f>IF(J91=VLOOKUP(VALUE(J$1),Questions!$A:$E,5,FALSE),1,0)</f>
        <v>1</v>
      </c>
      <c r="AT91" s="8">
        <f>IF(K91=VLOOKUP(VALUE(K$1),Questions!$A:$E,5,FALSE),1,0)</f>
        <v>1</v>
      </c>
      <c r="AU91" s="8">
        <f>IF(L91=VLOOKUP(VALUE(L$1),Questions!$A:$E,5,FALSE),1,0)</f>
        <v>0</v>
      </c>
      <c r="AV91" s="8">
        <f>IF(M91=VLOOKUP(VALUE(M$1),Questions!$A:$E,5,FALSE),1,0)</f>
        <v>1</v>
      </c>
      <c r="AW91" s="8">
        <f>IF(N91=VLOOKUP(VALUE(N$1),Questions!$A:$E,5,FALSE),1,0)</f>
        <v>0</v>
      </c>
      <c r="AX91" s="8">
        <f>IF(O91=VLOOKUP(VALUE(O$1),Questions!$A:$E,5,FALSE),1,0)</f>
        <v>0</v>
      </c>
      <c r="AY91" s="8">
        <f>IF(P91=VLOOKUP(VALUE(P$1),Questions!$A:$E,5,FALSE),1,0)</f>
        <v>0</v>
      </c>
      <c r="AZ91" s="8">
        <f>IF(Q91=VLOOKUP(VALUE(Q$1),Questions!$A:$E,5,FALSE),1,0)</f>
        <v>1</v>
      </c>
      <c r="BA91" s="8">
        <f>IF(R91=VLOOKUP(VALUE(R$1),Questions!$A:$E,5,FALSE),1,0)</f>
        <v>1</v>
      </c>
      <c r="BB91" s="8">
        <f>IF(S91=VLOOKUP(VALUE(S$1),Questions!$A:$E,5,FALSE),1,0)</f>
        <v>0</v>
      </c>
      <c r="BC91" s="8">
        <f>IF(T91=VLOOKUP(VALUE(T$1),Questions!$A:$E,5,FALSE),1,0)</f>
        <v>0</v>
      </c>
      <c r="BD91" s="8">
        <f>IF(U91=VLOOKUP(VALUE(U$1),Questions!$A:$E,5,FALSE),1,0)</f>
        <v>0</v>
      </c>
      <c r="BE91" s="8">
        <f>IF(V91=VLOOKUP(VALUE(V$1),Questions!$A:$E,5,FALSE),1,0)</f>
        <v>1</v>
      </c>
      <c r="BF91" s="8">
        <f>IF(W91=VLOOKUP(VALUE(W$1),Questions!$A:$E,5,FALSE),1,0)</f>
        <v>1</v>
      </c>
      <c r="BG91" s="8">
        <f>IF(X91=VLOOKUP(VALUE(X$1),Questions!$A:$E,5,FALSE),1,0)</f>
        <v>1</v>
      </c>
      <c r="BH91" s="8">
        <f>IF(Y91=VLOOKUP(VALUE(Y$1),Questions!$A:$E,5,FALSE),1,0)</f>
        <v>1</v>
      </c>
      <c r="BI91" s="8">
        <f>IF(Z91=VLOOKUP(VALUE(Z$1),Questions!$A:$E,5,FALSE),1,0)</f>
        <v>1</v>
      </c>
      <c r="BJ91" s="8">
        <f>IF(AA91=VLOOKUP(VALUE(AA$1),Questions!$A:$E,5,FALSE),1,0)</f>
        <v>1</v>
      </c>
      <c r="BK91" s="8">
        <f>IF(AB91=VLOOKUP(VALUE(AB$1),Questions!$A:$E,5,FALSE),1,0)</f>
        <v>1</v>
      </c>
      <c r="BL91" s="8">
        <f>IF(AC91=VLOOKUP(VALUE(AC$1),Questions!$A:$E,5,FALSE),1,0)</f>
        <v>1</v>
      </c>
      <c r="BM91" s="8">
        <f>IF(AD91=VLOOKUP(VALUE(AD$1),Questions!$A:$E,5,FALSE),1,0)</f>
        <v>0</v>
      </c>
      <c r="BN91" s="8">
        <f>IF(AE91=VLOOKUP(VALUE(AE$1),Questions!$A:$E,5,FALSE),1,0)</f>
        <v>0</v>
      </c>
      <c r="BO91" s="8">
        <f>IF(AF91=VLOOKUP(VALUE(AF$1),Questions!$A:$E,5,FALSE),1,0)</f>
        <v>1</v>
      </c>
      <c r="BP91" s="8">
        <f>IF(AG91=VLOOKUP(VALUE(AG$1),Questions!$A:$E,5,FALSE),1,0)</f>
        <v>1</v>
      </c>
      <c r="BQ91" s="8">
        <f>IF(AH91=VLOOKUP(VALUE(AH$1),Questions!$A:$E,5,FALSE),1,0)</f>
        <v>0</v>
      </c>
    </row>
    <row r="92" spans="1:69" ht="13" customHeight="1" x14ac:dyDescent="0.15">
      <c r="A92" t="s">
        <v>36</v>
      </c>
      <c r="B92" s="7">
        <v>10</v>
      </c>
      <c r="C92" s="7">
        <v>6</v>
      </c>
      <c r="D92">
        <v>91</v>
      </c>
      <c r="G92" s="8">
        <v>4</v>
      </c>
      <c r="H92" s="8">
        <v>1</v>
      </c>
      <c r="I92" s="8">
        <v>3</v>
      </c>
      <c r="J92" s="8">
        <v>2</v>
      </c>
      <c r="K92" s="8">
        <v>3</v>
      </c>
      <c r="L92" s="8">
        <v>3</v>
      </c>
      <c r="M92" s="8">
        <v>2</v>
      </c>
      <c r="N92" s="8">
        <v>3</v>
      </c>
      <c r="O92" s="8">
        <v>1</v>
      </c>
      <c r="P92" s="8">
        <v>3</v>
      </c>
      <c r="Q92" s="8">
        <v>1</v>
      </c>
      <c r="R92" s="8">
        <v>4</v>
      </c>
      <c r="S92" s="8">
        <v>2</v>
      </c>
      <c r="T92" s="8">
        <v>2</v>
      </c>
      <c r="U92" s="8">
        <v>4</v>
      </c>
      <c r="V92" s="8">
        <v>3</v>
      </c>
      <c r="W92" s="8">
        <v>4</v>
      </c>
      <c r="X92" s="8">
        <v>3</v>
      </c>
      <c r="Y92" s="8">
        <v>1</v>
      </c>
      <c r="Z92" s="8">
        <v>3</v>
      </c>
      <c r="AA92" s="8">
        <v>4</v>
      </c>
      <c r="AB92" s="8">
        <v>2</v>
      </c>
      <c r="AC92" s="8">
        <v>2</v>
      </c>
      <c r="AD92" s="8">
        <v>3</v>
      </c>
      <c r="AE92" s="8">
        <v>2</v>
      </c>
      <c r="AF92" s="8">
        <v>4</v>
      </c>
      <c r="AG92" s="8">
        <v>2</v>
      </c>
      <c r="AH92" s="8">
        <v>2</v>
      </c>
      <c r="AI92" s="8">
        <v>1</v>
      </c>
      <c r="AJ92" s="8">
        <v>1</v>
      </c>
      <c r="AK92" s="8">
        <v>0</v>
      </c>
      <c r="AL92" s="8">
        <v>0</v>
      </c>
      <c r="AP92" s="8">
        <f>IF(G92=VLOOKUP(VALUE(G$1),Questions!$A:$E,5,FALSE),1,0)</f>
        <v>1</v>
      </c>
      <c r="AQ92" s="8">
        <f>IF(H92=VLOOKUP(VALUE(H$1),Questions!$A:$E,5,FALSE),1,0)</f>
        <v>1</v>
      </c>
      <c r="AR92" s="8">
        <f>IF(I92=VLOOKUP(VALUE(I$1),Questions!$A:$E,5,FALSE),1,0)</f>
        <v>1</v>
      </c>
      <c r="AS92" s="8">
        <f>IF(J92=VLOOKUP(VALUE(J$1),Questions!$A:$E,5,FALSE),1,0)</f>
        <v>1</v>
      </c>
      <c r="AT92" s="8">
        <f>IF(K92=VLOOKUP(VALUE(K$1),Questions!$A:$E,5,FALSE),1,0)</f>
        <v>0</v>
      </c>
      <c r="AU92" s="8">
        <f>IF(L92=VLOOKUP(VALUE(L$1),Questions!$A:$E,5,FALSE),1,0)</f>
        <v>1</v>
      </c>
      <c r="AV92" s="8">
        <f>IF(M92=VLOOKUP(VALUE(M$1),Questions!$A:$E,5,FALSE),1,0)</f>
        <v>1</v>
      </c>
      <c r="AW92" s="8">
        <f>IF(N92=VLOOKUP(VALUE(N$1),Questions!$A:$E,5,FALSE),1,0)</f>
        <v>1</v>
      </c>
      <c r="AX92" s="8">
        <f>IF(O92=VLOOKUP(VALUE(O$1),Questions!$A:$E,5,FALSE),1,0)</f>
        <v>1</v>
      </c>
      <c r="AY92" s="8">
        <f>IF(P92=VLOOKUP(VALUE(P$1),Questions!$A:$E,5,FALSE),1,0)</f>
        <v>1</v>
      </c>
      <c r="AZ92" s="8">
        <f>IF(Q92=VLOOKUP(VALUE(Q$1),Questions!$A:$E,5,FALSE),1,0)</f>
        <v>1</v>
      </c>
      <c r="BA92" s="8">
        <f>IF(R92=VLOOKUP(VALUE(R$1),Questions!$A:$E,5,FALSE),1,0)</f>
        <v>1</v>
      </c>
      <c r="BB92" s="8">
        <f>IF(S92=VLOOKUP(VALUE(S$1),Questions!$A:$E,5,FALSE),1,0)</f>
        <v>1</v>
      </c>
      <c r="BC92" s="8">
        <f>IF(T92=VLOOKUP(VALUE(T$1),Questions!$A:$E,5,FALSE),1,0)</f>
        <v>1</v>
      </c>
      <c r="BD92" s="8">
        <f>IF(U92=VLOOKUP(VALUE(U$1),Questions!$A:$E,5,FALSE),1,0)</f>
        <v>1</v>
      </c>
      <c r="BE92" s="8">
        <f>IF(V92=VLOOKUP(VALUE(V$1),Questions!$A:$E,5,FALSE),1,0)</f>
        <v>1</v>
      </c>
      <c r="BF92" s="8">
        <f>IF(W92=VLOOKUP(VALUE(W$1),Questions!$A:$E,5,FALSE),1,0)</f>
        <v>1</v>
      </c>
      <c r="BG92" s="8">
        <f>IF(X92=VLOOKUP(VALUE(X$1),Questions!$A:$E,5,FALSE),1,0)</f>
        <v>1</v>
      </c>
      <c r="BH92" s="8">
        <f>IF(Y92=VLOOKUP(VALUE(Y$1),Questions!$A:$E,5,FALSE),1,0)</f>
        <v>1</v>
      </c>
      <c r="BI92" s="8">
        <f>IF(Z92=VLOOKUP(VALUE(Z$1),Questions!$A:$E,5,FALSE),1,0)</f>
        <v>1</v>
      </c>
      <c r="BJ92" s="8">
        <f>IF(AA92=VLOOKUP(VALUE(AA$1),Questions!$A:$E,5,FALSE),1,0)</f>
        <v>1</v>
      </c>
      <c r="BK92" s="8">
        <f>IF(AB92=VLOOKUP(VALUE(AB$1),Questions!$A:$E,5,FALSE),1,0)</f>
        <v>1</v>
      </c>
      <c r="BL92" s="8">
        <f>IF(AC92=VLOOKUP(VALUE(AC$1),Questions!$A:$E,5,FALSE),1,0)</f>
        <v>1</v>
      </c>
      <c r="BM92" s="8">
        <f>IF(AD92=VLOOKUP(VALUE(AD$1),Questions!$A:$E,5,FALSE),1,0)</f>
        <v>1</v>
      </c>
      <c r="BN92" s="8">
        <f>IF(AE92=VLOOKUP(VALUE(AE$1),Questions!$A:$E,5,FALSE),1,0)</f>
        <v>1</v>
      </c>
      <c r="BO92" s="8">
        <f>IF(AF92=VLOOKUP(VALUE(AF$1),Questions!$A:$E,5,FALSE),1,0)</f>
        <v>1</v>
      </c>
      <c r="BP92" s="8">
        <f>IF(AG92=VLOOKUP(VALUE(AG$1),Questions!$A:$E,5,FALSE),1,0)</f>
        <v>0</v>
      </c>
      <c r="BQ92" s="8">
        <f>IF(AH92=VLOOKUP(VALUE(AH$1),Questions!$A:$E,5,FALSE),1,0)</f>
        <v>1</v>
      </c>
    </row>
    <row r="93" spans="1:69" ht="13" customHeight="1" x14ac:dyDescent="0.15">
      <c r="A93" t="s">
        <v>36</v>
      </c>
      <c r="B93" s="7">
        <v>10</v>
      </c>
      <c r="C93" s="7">
        <v>6</v>
      </c>
      <c r="D93">
        <v>92</v>
      </c>
      <c r="G93" s="8">
        <v>3</v>
      </c>
      <c r="H93" s="8">
        <v>3</v>
      </c>
      <c r="I93" s="8">
        <v>3</v>
      </c>
      <c r="J93" s="8">
        <v>2</v>
      </c>
      <c r="K93" s="8">
        <v>1</v>
      </c>
      <c r="L93" s="8">
        <v>3</v>
      </c>
      <c r="M93" s="8">
        <v>2</v>
      </c>
      <c r="N93" s="8">
        <v>3</v>
      </c>
      <c r="O93" s="8">
        <v>1</v>
      </c>
      <c r="P93" s="8">
        <v>4</v>
      </c>
      <c r="Q93" s="8">
        <v>1</v>
      </c>
      <c r="R93" s="8">
        <v>4</v>
      </c>
      <c r="S93" s="8">
        <v>3</v>
      </c>
      <c r="T93" s="8">
        <v>2</v>
      </c>
      <c r="U93" s="8">
        <v>2</v>
      </c>
      <c r="V93" s="8">
        <v>3</v>
      </c>
      <c r="W93" s="8">
        <v>4</v>
      </c>
      <c r="X93" s="8">
        <v>3</v>
      </c>
      <c r="Y93" s="8">
        <v>1</v>
      </c>
      <c r="Z93" s="8">
        <v>3</v>
      </c>
      <c r="AA93" s="8">
        <v>3</v>
      </c>
      <c r="AB93" s="8">
        <v>2</v>
      </c>
      <c r="AC93" s="8">
        <v>2</v>
      </c>
      <c r="AD93" s="8">
        <v>3</v>
      </c>
      <c r="AE93" s="8">
        <v>3</v>
      </c>
      <c r="AF93" s="8">
        <v>2</v>
      </c>
      <c r="AG93" s="8">
        <v>2</v>
      </c>
      <c r="AH93" s="8">
        <v>3</v>
      </c>
      <c r="AI93" s="8">
        <v>0</v>
      </c>
      <c r="AJ93" s="8">
        <v>1</v>
      </c>
      <c r="AK93" s="8">
        <v>1</v>
      </c>
      <c r="AL93" s="8">
        <v>0</v>
      </c>
      <c r="AM93" s="8">
        <v>1</v>
      </c>
      <c r="AN93" s="8">
        <v>1</v>
      </c>
      <c r="AO93" s="8">
        <v>1</v>
      </c>
      <c r="AP93" s="8">
        <f>IF(G93=VLOOKUP(VALUE(G$1),Questions!$A:$E,5,FALSE),1,0)</f>
        <v>0</v>
      </c>
      <c r="AQ93" s="8">
        <f>IF(H93=VLOOKUP(VALUE(H$1),Questions!$A:$E,5,FALSE),1,0)</f>
        <v>0</v>
      </c>
      <c r="AR93" s="8">
        <f>IF(I93=VLOOKUP(VALUE(I$1),Questions!$A:$E,5,FALSE),1,0)</f>
        <v>1</v>
      </c>
      <c r="AS93" s="8">
        <f>IF(J93=VLOOKUP(VALUE(J$1),Questions!$A:$E,5,FALSE),1,0)</f>
        <v>1</v>
      </c>
      <c r="AT93" s="8">
        <f>IF(K93=VLOOKUP(VALUE(K$1),Questions!$A:$E,5,FALSE),1,0)</f>
        <v>1</v>
      </c>
      <c r="AU93" s="8">
        <f>IF(L93=VLOOKUP(VALUE(L$1),Questions!$A:$E,5,FALSE),1,0)</f>
        <v>1</v>
      </c>
      <c r="AV93" s="8">
        <f>IF(M93=VLOOKUP(VALUE(M$1),Questions!$A:$E,5,FALSE),1,0)</f>
        <v>1</v>
      </c>
      <c r="AW93" s="8">
        <f>IF(N93=VLOOKUP(VALUE(N$1),Questions!$A:$E,5,FALSE),1,0)</f>
        <v>1</v>
      </c>
      <c r="AX93" s="8">
        <f>IF(O93=VLOOKUP(VALUE(O$1),Questions!$A:$E,5,FALSE),1,0)</f>
        <v>1</v>
      </c>
      <c r="AY93" s="8">
        <f>IF(P93=VLOOKUP(VALUE(P$1),Questions!$A:$E,5,FALSE),1,0)</f>
        <v>0</v>
      </c>
      <c r="AZ93" s="8">
        <f>IF(Q93=VLOOKUP(VALUE(Q$1),Questions!$A:$E,5,FALSE),1,0)</f>
        <v>1</v>
      </c>
      <c r="BA93" s="8">
        <f>IF(R93=VLOOKUP(VALUE(R$1),Questions!$A:$E,5,FALSE),1,0)</f>
        <v>1</v>
      </c>
      <c r="BB93" s="8">
        <f>IF(S93=VLOOKUP(VALUE(S$1),Questions!$A:$E,5,FALSE),1,0)</f>
        <v>0</v>
      </c>
      <c r="BC93" s="8">
        <f>IF(T93=VLOOKUP(VALUE(T$1),Questions!$A:$E,5,FALSE),1,0)</f>
        <v>1</v>
      </c>
      <c r="BD93" s="8">
        <f>IF(U93=VLOOKUP(VALUE(U$1),Questions!$A:$E,5,FALSE),1,0)</f>
        <v>0</v>
      </c>
      <c r="BE93" s="8">
        <f>IF(V93=VLOOKUP(VALUE(V$1),Questions!$A:$E,5,FALSE),1,0)</f>
        <v>1</v>
      </c>
      <c r="BF93" s="8">
        <f>IF(W93=VLOOKUP(VALUE(W$1),Questions!$A:$E,5,FALSE),1,0)</f>
        <v>1</v>
      </c>
      <c r="BG93" s="8">
        <f>IF(X93=VLOOKUP(VALUE(X$1),Questions!$A:$E,5,FALSE),1,0)</f>
        <v>1</v>
      </c>
      <c r="BH93" s="8">
        <f>IF(Y93=VLOOKUP(VALUE(Y$1),Questions!$A:$E,5,FALSE),1,0)</f>
        <v>1</v>
      </c>
      <c r="BI93" s="8">
        <f>IF(Z93=VLOOKUP(VALUE(Z$1),Questions!$A:$E,5,FALSE),1,0)</f>
        <v>1</v>
      </c>
      <c r="BJ93" s="8">
        <f>IF(AA93=VLOOKUP(VALUE(AA$1),Questions!$A:$E,5,FALSE),1,0)</f>
        <v>0</v>
      </c>
      <c r="BK93" s="8">
        <f>IF(AB93=VLOOKUP(VALUE(AB$1),Questions!$A:$E,5,FALSE),1,0)</f>
        <v>1</v>
      </c>
      <c r="BL93" s="8">
        <f>IF(AC93=VLOOKUP(VALUE(AC$1),Questions!$A:$E,5,FALSE),1,0)</f>
        <v>1</v>
      </c>
      <c r="BM93" s="8">
        <f>IF(AD93=VLOOKUP(VALUE(AD$1),Questions!$A:$E,5,FALSE),1,0)</f>
        <v>1</v>
      </c>
      <c r="BN93" s="8">
        <f>IF(AE93=VLOOKUP(VALUE(AE$1),Questions!$A:$E,5,FALSE),1,0)</f>
        <v>0</v>
      </c>
      <c r="BO93" s="8">
        <f>IF(AF93=VLOOKUP(VALUE(AF$1),Questions!$A:$E,5,FALSE),1,0)</f>
        <v>0</v>
      </c>
      <c r="BP93" s="8">
        <f>IF(AG93=VLOOKUP(VALUE(AG$1),Questions!$A:$E,5,FALSE),1,0)</f>
        <v>0</v>
      </c>
      <c r="BQ93" s="8">
        <f>IF(AH93=VLOOKUP(VALUE(AH$1),Questions!$A:$E,5,FALSE),1,0)</f>
        <v>0</v>
      </c>
    </row>
    <row r="94" spans="1:69" ht="13" customHeight="1" x14ac:dyDescent="0.15">
      <c r="A94" t="s">
        <v>36</v>
      </c>
      <c r="B94" s="7">
        <v>10</v>
      </c>
      <c r="C94" s="7">
        <v>6</v>
      </c>
      <c r="D94">
        <v>93</v>
      </c>
      <c r="G94" s="8">
        <v>4</v>
      </c>
      <c r="H94" s="8">
        <v>3</v>
      </c>
      <c r="I94" s="8">
        <v>3</v>
      </c>
      <c r="J94" s="8">
        <v>2</v>
      </c>
      <c r="K94" s="8">
        <v>1</v>
      </c>
      <c r="L94" s="8">
        <v>3</v>
      </c>
      <c r="M94" s="8">
        <v>2</v>
      </c>
      <c r="N94" s="8">
        <v>4</v>
      </c>
      <c r="O94" s="8">
        <v>2</v>
      </c>
      <c r="P94" s="8">
        <v>3</v>
      </c>
      <c r="Q94" s="8">
        <v>1</v>
      </c>
      <c r="R94" s="8">
        <v>4</v>
      </c>
      <c r="S94" s="8">
        <v>2</v>
      </c>
      <c r="T94" s="8">
        <v>3</v>
      </c>
      <c r="U94" s="8">
        <v>4</v>
      </c>
      <c r="V94" s="8">
        <v>4</v>
      </c>
      <c r="W94" s="8">
        <v>3</v>
      </c>
      <c r="X94" s="8">
        <v>3</v>
      </c>
      <c r="Y94" s="8">
        <v>1</v>
      </c>
      <c r="Z94" s="8">
        <v>3</v>
      </c>
      <c r="AA94" s="8">
        <v>4</v>
      </c>
      <c r="AB94" s="8">
        <v>2</v>
      </c>
      <c r="AC94" s="8">
        <v>2</v>
      </c>
      <c r="AD94" s="8">
        <v>3</v>
      </c>
      <c r="AE94" s="8">
        <v>2</v>
      </c>
      <c r="AF94" s="8">
        <v>4</v>
      </c>
      <c r="AG94" s="8">
        <v>3</v>
      </c>
      <c r="AH94" s="8">
        <v>1</v>
      </c>
      <c r="AI94" s="8">
        <v>1</v>
      </c>
      <c r="AJ94" s="8">
        <v>1</v>
      </c>
      <c r="AK94" s="8">
        <v>1</v>
      </c>
      <c r="AL94" s="8">
        <v>1</v>
      </c>
      <c r="AM94" s="8">
        <v>1</v>
      </c>
      <c r="AP94" s="8">
        <f>IF(G94=VLOOKUP(VALUE(G$1),Questions!$A:$E,5,FALSE),1,0)</f>
        <v>1</v>
      </c>
      <c r="AQ94" s="8">
        <f>IF(H94=VLOOKUP(VALUE(H$1),Questions!$A:$E,5,FALSE),1,0)</f>
        <v>0</v>
      </c>
      <c r="AR94" s="8">
        <f>IF(I94=VLOOKUP(VALUE(I$1),Questions!$A:$E,5,FALSE),1,0)</f>
        <v>1</v>
      </c>
      <c r="AS94" s="8">
        <f>IF(J94=VLOOKUP(VALUE(J$1),Questions!$A:$E,5,FALSE),1,0)</f>
        <v>1</v>
      </c>
      <c r="AT94" s="8">
        <f>IF(K94=VLOOKUP(VALUE(K$1),Questions!$A:$E,5,FALSE),1,0)</f>
        <v>1</v>
      </c>
      <c r="AU94" s="8">
        <f>IF(L94=VLOOKUP(VALUE(L$1),Questions!$A:$E,5,FALSE),1,0)</f>
        <v>1</v>
      </c>
      <c r="AV94" s="8">
        <f>IF(M94=VLOOKUP(VALUE(M$1),Questions!$A:$E,5,FALSE),1,0)</f>
        <v>1</v>
      </c>
      <c r="AW94" s="8">
        <f>IF(N94=VLOOKUP(VALUE(N$1),Questions!$A:$E,5,FALSE),1,0)</f>
        <v>0</v>
      </c>
      <c r="AX94" s="8">
        <f>IF(O94=VLOOKUP(VALUE(O$1),Questions!$A:$E,5,FALSE),1,0)</f>
        <v>0</v>
      </c>
      <c r="AY94" s="8">
        <f>IF(P94=VLOOKUP(VALUE(P$1),Questions!$A:$E,5,FALSE),1,0)</f>
        <v>1</v>
      </c>
      <c r="AZ94" s="8">
        <f>IF(Q94=VLOOKUP(VALUE(Q$1),Questions!$A:$E,5,FALSE),1,0)</f>
        <v>1</v>
      </c>
      <c r="BA94" s="8">
        <f>IF(R94=VLOOKUP(VALUE(R$1),Questions!$A:$E,5,FALSE),1,0)</f>
        <v>1</v>
      </c>
      <c r="BB94" s="8">
        <f>IF(S94=VLOOKUP(VALUE(S$1),Questions!$A:$E,5,FALSE),1,0)</f>
        <v>1</v>
      </c>
      <c r="BC94" s="8">
        <f>IF(T94=VLOOKUP(VALUE(T$1),Questions!$A:$E,5,FALSE),1,0)</f>
        <v>0</v>
      </c>
      <c r="BD94" s="8">
        <f>IF(U94=VLOOKUP(VALUE(U$1),Questions!$A:$E,5,FALSE),1,0)</f>
        <v>1</v>
      </c>
      <c r="BE94" s="8">
        <f>IF(V94=VLOOKUP(VALUE(V$1),Questions!$A:$E,5,FALSE),1,0)</f>
        <v>0</v>
      </c>
      <c r="BF94" s="8">
        <f>IF(W94=VLOOKUP(VALUE(W$1),Questions!$A:$E,5,FALSE),1,0)</f>
        <v>0</v>
      </c>
      <c r="BG94" s="8">
        <f>IF(X94=VLOOKUP(VALUE(X$1),Questions!$A:$E,5,FALSE),1,0)</f>
        <v>1</v>
      </c>
      <c r="BH94" s="8">
        <f>IF(Y94=VLOOKUP(VALUE(Y$1),Questions!$A:$E,5,FALSE),1,0)</f>
        <v>1</v>
      </c>
      <c r="BI94" s="8">
        <f>IF(Z94=VLOOKUP(VALUE(Z$1),Questions!$A:$E,5,FALSE),1,0)</f>
        <v>1</v>
      </c>
      <c r="BJ94" s="8">
        <f>IF(AA94=VLOOKUP(VALUE(AA$1),Questions!$A:$E,5,FALSE),1,0)</f>
        <v>1</v>
      </c>
      <c r="BK94" s="8">
        <f>IF(AB94=VLOOKUP(VALUE(AB$1),Questions!$A:$E,5,FALSE),1,0)</f>
        <v>1</v>
      </c>
      <c r="BL94" s="8">
        <f>IF(AC94=VLOOKUP(VALUE(AC$1),Questions!$A:$E,5,FALSE),1,0)</f>
        <v>1</v>
      </c>
      <c r="BM94" s="8">
        <f>IF(AD94=VLOOKUP(VALUE(AD$1),Questions!$A:$E,5,FALSE),1,0)</f>
        <v>1</v>
      </c>
      <c r="BN94" s="8">
        <f>IF(AE94=VLOOKUP(VALUE(AE$1),Questions!$A:$E,5,FALSE),1,0)</f>
        <v>1</v>
      </c>
      <c r="BO94" s="8">
        <f>IF(AF94=VLOOKUP(VALUE(AF$1),Questions!$A:$E,5,FALSE),1,0)</f>
        <v>1</v>
      </c>
      <c r="BP94" s="8">
        <f>IF(AG94=VLOOKUP(VALUE(AG$1),Questions!$A:$E,5,FALSE),1,0)</f>
        <v>0</v>
      </c>
      <c r="BQ94" s="8">
        <f>IF(AH94=VLOOKUP(VALUE(AH$1),Questions!$A:$E,5,FALSE),1,0)</f>
        <v>0</v>
      </c>
    </row>
    <row r="95" spans="1:69" ht="13" customHeight="1" x14ac:dyDescent="0.15">
      <c r="A95" t="s">
        <v>36</v>
      </c>
      <c r="B95" s="7">
        <v>10</v>
      </c>
      <c r="C95" s="7">
        <v>6</v>
      </c>
      <c r="D95">
        <v>94</v>
      </c>
      <c r="G95" s="8">
        <v>1</v>
      </c>
      <c r="H95" s="8">
        <v>1</v>
      </c>
      <c r="I95" s="8">
        <v>3</v>
      </c>
      <c r="J95" s="8">
        <v>3</v>
      </c>
      <c r="K95" s="8">
        <v>3</v>
      </c>
      <c r="L95" s="8">
        <v>1</v>
      </c>
      <c r="M95" s="8">
        <v>4</v>
      </c>
      <c r="N95" s="8">
        <v>1</v>
      </c>
      <c r="O95" s="8">
        <v>2</v>
      </c>
      <c r="P95" s="8">
        <v>2</v>
      </c>
      <c r="Q95" s="8">
        <v>1</v>
      </c>
      <c r="R95" s="8">
        <v>2</v>
      </c>
      <c r="S95" s="8">
        <v>4</v>
      </c>
      <c r="T95" s="8">
        <v>2</v>
      </c>
      <c r="U95" s="8">
        <v>4</v>
      </c>
      <c r="V95" s="8">
        <v>2</v>
      </c>
      <c r="W95" s="8">
        <v>1</v>
      </c>
      <c r="X95" s="8">
        <v>3</v>
      </c>
      <c r="Y95" s="8">
        <v>1</v>
      </c>
      <c r="Z95" s="8">
        <v>4</v>
      </c>
      <c r="AA95" s="8">
        <v>1</v>
      </c>
      <c r="AB95" s="8">
        <v>3</v>
      </c>
      <c r="AC95" s="8">
        <v>1</v>
      </c>
      <c r="AD95" s="8">
        <v>3</v>
      </c>
      <c r="AE95" s="8">
        <v>1</v>
      </c>
      <c r="AF95" s="8">
        <v>3</v>
      </c>
      <c r="AG95" s="8">
        <v>3</v>
      </c>
      <c r="AH95" s="8">
        <v>2</v>
      </c>
      <c r="AI95" s="8">
        <v>0</v>
      </c>
      <c r="AJ95" s="8">
        <v>0</v>
      </c>
      <c r="AK95" s="8">
        <v>0</v>
      </c>
      <c r="AL95" s="8">
        <v>0</v>
      </c>
      <c r="AM95" s="8">
        <v>1</v>
      </c>
      <c r="AN95" s="8">
        <v>0</v>
      </c>
      <c r="AO95" s="8">
        <v>0</v>
      </c>
      <c r="AP95" s="8">
        <f>IF(G95=VLOOKUP(VALUE(G$1),Questions!$A:$E,5,FALSE),1,0)</f>
        <v>0</v>
      </c>
      <c r="AQ95" s="8">
        <f>IF(H95=VLOOKUP(VALUE(H$1),Questions!$A:$E,5,FALSE),1,0)</f>
        <v>1</v>
      </c>
      <c r="AR95" s="8">
        <f>IF(I95=VLOOKUP(VALUE(I$1),Questions!$A:$E,5,FALSE),1,0)</f>
        <v>1</v>
      </c>
      <c r="AS95" s="8">
        <f>IF(J95=VLOOKUP(VALUE(J$1),Questions!$A:$E,5,FALSE),1,0)</f>
        <v>0</v>
      </c>
      <c r="AT95" s="8">
        <f>IF(K95=VLOOKUP(VALUE(K$1),Questions!$A:$E,5,FALSE),1,0)</f>
        <v>0</v>
      </c>
      <c r="AU95" s="8">
        <f>IF(L95=VLOOKUP(VALUE(L$1),Questions!$A:$E,5,FALSE),1,0)</f>
        <v>0</v>
      </c>
      <c r="AV95" s="8">
        <f>IF(M95=VLOOKUP(VALUE(M$1),Questions!$A:$E,5,FALSE),1,0)</f>
        <v>0</v>
      </c>
      <c r="AW95" s="8">
        <f>IF(N95=VLOOKUP(VALUE(N$1),Questions!$A:$E,5,FALSE),1,0)</f>
        <v>0</v>
      </c>
      <c r="AX95" s="8">
        <f>IF(O95=VLOOKUP(VALUE(O$1),Questions!$A:$E,5,FALSE),1,0)</f>
        <v>0</v>
      </c>
      <c r="AY95" s="8">
        <f>IF(P95=VLOOKUP(VALUE(P$1),Questions!$A:$E,5,FALSE),1,0)</f>
        <v>0</v>
      </c>
      <c r="AZ95" s="8">
        <f>IF(Q95=VLOOKUP(VALUE(Q$1),Questions!$A:$E,5,FALSE),1,0)</f>
        <v>1</v>
      </c>
      <c r="BA95" s="8">
        <f>IF(R95=VLOOKUP(VALUE(R$1),Questions!$A:$E,5,FALSE),1,0)</f>
        <v>0</v>
      </c>
      <c r="BB95" s="8">
        <f>IF(S95=VLOOKUP(VALUE(S$1),Questions!$A:$E,5,FALSE),1,0)</f>
        <v>0</v>
      </c>
      <c r="BC95" s="8">
        <f>IF(T95=VLOOKUP(VALUE(T$1),Questions!$A:$E,5,FALSE),1,0)</f>
        <v>1</v>
      </c>
      <c r="BD95" s="8">
        <f>IF(U95=VLOOKUP(VALUE(U$1),Questions!$A:$E,5,FALSE),1,0)</f>
        <v>1</v>
      </c>
      <c r="BE95" s="8">
        <f>IF(V95=VLOOKUP(VALUE(V$1),Questions!$A:$E,5,FALSE),1,0)</f>
        <v>0</v>
      </c>
      <c r="BF95" s="8">
        <f>IF(W95=VLOOKUP(VALUE(W$1),Questions!$A:$E,5,FALSE),1,0)</f>
        <v>0</v>
      </c>
      <c r="BG95" s="8">
        <f>IF(X95=VLOOKUP(VALUE(X$1),Questions!$A:$E,5,FALSE),1,0)</f>
        <v>1</v>
      </c>
      <c r="BH95" s="8">
        <f>IF(Y95=VLOOKUP(VALUE(Y$1),Questions!$A:$E,5,FALSE),1,0)</f>
        <v>1</v>
      </c>
      <c r="BI95" s="8">
        <f>IF(Z95=VLOOKUP(VALUE(Z$1),Questions!$A:$E,5,FALSE),1,0)</f>
        <v>0</v>
      </c>
      <c r="BJ95" s="8">
        <f>IF(AA95=VLOOKUP(VALUE(AA$1),Questions!$A:$E,5,FALSE),1,0)</f>
        <v>0</v>
      </c>
      <c r="BK95" s="8">
        <f>IF(AB95=VLOOKUP(VALUE(AB$1),Questions!$A:$E,5,FALSE),1,0)</f>
        <v>0</v>
      </c>
      <c r="BL95" s="8">
        <f>IF(AC95=VLOOKUP(VALUE(AC$1),Questions!$A:$E,5,FALSE),1,0)</f>
        <v>0</v>
      </c>
      <c r="BM95" s="8">
        <f>IF(AD95=VLOOKUP(VALUE(AD$1),Questions!$A:$E,5,FALSE),1,0)</f>
        <v>1</v>
      </c>
      <c r="BN95" s="8">
        <f>IF(AE95=VLOOKUP(VALUE(AE$1),Questions!$A:$E,5,FALSE),1,0)</f>
        <v>0</v>
      </c>
      <c r="BO95" s="8">
        <f>IF(AF95=VLOOKUP(VALUE(AF$1),Questions!$A:$E,5,FALSE),1,0)</f>
        <v>0</v>
      </c>
      <c r="BP95" s="8">
        <f>IF(AG95=VLOOKUP(VALUE(AG$1),Questions!$A:$E,5,FALSE),1,0)</f>
        <v>0</v>
      </c>
      <c r="BQ95" s="8">
        <f>IF(AH95=VLOOKUP(VALUE(AH$1),Questions!$A:$E,5,FALSE),1,0)</f>
        <v>1</v>
      </c>
    </row>
    <row r="96" spans="1:69" ht="13" customHeight="1" x14ac:dyDescent="0.15">
      <c r="A96" t="s">
        <v>36</v>
      </c>
      <c r="B96" s="7">
        <v>10</v>
      </c>
      <c r="C96" s="7">
        <v>6</v>
      </c>
      <c r="D96">
        <v>95</v>
      </c>
      <c r="G96" s="8">
        <v>4</v>
      </c>
      <c r="H96" s="8">
        <v>1</v>
      </c>
      <c r="I96" s="8">
        <v>4</v>
      </c>
      <c r="J96" s="8">
        <v>2</v>
      </c>
      <c r="K96" s="8">
        <v>1</v>
      </c>
      <c r="L96" s="8">
        <v>1</v>
      </c>
      <c r="M96" s="8">
        <v>2</v>
      </c>
      <c r="N96" s="8">
        <v>4</v>
      </c>
      <c r="O96" s="8">
        <v>1</v>
      </c>
      <c r="P96" s="8">
        <v>4</v>
      </c>
      <c r="Q96" s="8">
        <v>1</v>
      </c>
      <c r="R96" s="8">
        <v>4</v>
      </c>
      <c r="S96" s="8">
        <v>3</v>
      </c>
      <c r="T96" s="8">
        <v>2</v>
      </c>
      <c r="U96" s="8">
        <v>4</v>
      </c>
      <c r="V96" s="8">
        <v>3</v>
      </c>
      <c r="W96" s="8">
        <v>1</v>
      </c>
      <c r="X96" s="8">
        <v>3</v>
      </c>
      <c r="Y96" s="8">
        <v>4</v>
      </c>
      <c r="Z96" s="8">
        <v>3</v>
      </c>
      <c r="AA96" s="8">
        <v>2</v>
      </c>
      <c r="AB96" s="8">
        <v>2</v>
      </c>
      <c r="AC96" s="8">
        <v>2</v>
      </c>
      <c r="AD96" s="8">
        <v>1</v>
      </c>
      <c r="AE96" s="8">
        <v>2</v>
      </c>
      <c r="AF96" s="8">
        <v>1</v>
      </c>
      <c r="AG96" s="8">
        <v>2</v>
      </c>
      <c r="AH96" s="8">
        <v>1</v>
      </c>
      <c r="AI96" s="8">
        <v>1</v>
      </c>
      <c r="AJ96" s="8">
        <v>1</v>
      </c>
      <c r="AK96" s="8">
        <v>0</v>
      </c>
      <c r="AL96" s="8">
        <v>1</v>
      </c>
      <c r="AM96" s="8">
        <v>1</v>
      </c>
      <c r="AN96" s="8">
        <v>1</v>
      </c>
      <c r="AO96" s="8">
        <v>1</v>
      </c>
      <c r="AP96" s="8">
        <f>IF(G96=VLOOKUP(VALUE(G$1),Questions!$A:$E,5,FALSE),1,0)</f>
        <v>1</v>
      </c>
      <c r="AQ96" s="8">
        <f>IF(H96=VLOOKUP(VALUE(H$1),Questions!$A:$E,5,FALSE),1,0)</f>
        <v>1</v>
      </c>
      <c r="AR96" s="8">
        <f>IF(I96=VLOOKUP(VALUE(I$1),Questions!$A:$E,5,FALSE),1,0)</f>
        <v>0</v>
      </c>
      <c r="AS96" s="8">
        <f>IF(J96=VLOOKUP(VALUE(J$1),Questions!$A:$E,5,FALSE),1,0)</f>
        <v>1</v>
      </c>
      <c r="AT96" s="8">
        <f>IF(K96=VLOOKUP(VALUE(K$1),Questions!$A:$E,5,FALSE),1,0)</f>
        <v>1</v>
      </c>
      <c r="AU96" s="8">
        <f>IF(L96=VLOOKUP(VALUE(L$1),Questions!$A:$E,5,FALSE),1,0)</f>
        <v>0</v>
      </c>
      <c r="AV96" s="8">
        <f>IF(M96=VLOOKUP(VALUE(M$1),Questions!$A:$E,5,FALSE),1,0)</f>
        <v>1</v>
      </c>
      <c r="AW96" s="8">
        <f>IF(N96=VLOOKUP(VALUE(N$1),Questions!$A:$E,5,FALSE),1,0)</f>
        <v>0</v>
      </c>
      <c r="AX96" s="8">
        <f>IF(O96=VLOOKUP(VALUE(O$1),Questions!$A:$E,5,FALSE),1,0)</f>
        <v>1</v>
      </c>
      <c r="AY96" s="8">
        <f>IF(P96=VLOOKUP(VALUE(P$1),Questions!$A:$E,5,FALSE),1,0)</f>
        <v>0</v>
      </c>
      <c r="AZ96" s="8">
        <f>IF(Q96=VLOOKUP(VALUE(Q$1),Questions!$A:$E,5,FALSE),1,0)</f>
        <v>1</v>
      </c>
      <c r="BA96" s="8">
        <f>IF(R96=VLOOKUP(VALUE(R$1),Questions!$A:$E,5,FALSE),1,0)</f>
        <v>1</v>
      </c>
      <c r="BB96" s="8">
        <f>IF(S96=VLOOKUP(VALUE(S$1),Questions!$A:$E,5,FALSE),1,0)</f>
        <v>0</v>
      </c>
      <c r="BC96" s="8">
        <f>IF(T96=VLOOKUP(VALUE(T$1),Questions!$A:$E,5,FALSE),1,0)</f>
        <v>1</v>
      </c>
      <c r="BD96" s="8">
        <f>IF(U96=VLOOKUP(VALUE(U$1),Questions!$A:$E,5,FALSE),1,0)</f>
        <v>1</v>
      </c>
      <c r="BE96" s="8">
        <f>IF(V96=VLOOKUP(VALUE(V$1),Questions!$A:$E,5,FALSE),1,0)</f>
        <v>1</v>
      </c>
      <c r="BF96" s="8">
        <f>IF(W96=VLOOKUP(VALUE(W$1),Questions!$A:$E,5,FALSE),1,0)</f>
        <v>0</v>
      </c>
      <c r="BG96" s="8">
        <f>IF(X96=VLOOKUP(VALUE(X$1),Questions!$A:$E,5,FALSE),1,0)</f>
        <v>1</v>
      </c>
      <c r="BH96" s="8">
        <f>IF(Y96=VLOOKUP(VALUE(Y$1),Questions!$A:$E,5,FALSE),1,0)</f>
        <v>0</v>
      </c>
      <c r="BI96" s="8">
        <f>IF(Z96=VLOOKUP(VALUE(Z$1),Questions!$A:$E,5,FALSE),1,0)</f>
        <v>1</v>
      </c>
      <c r="BJ96" s="8">
        <f>IF(AA96=VLOOKUP(VALUE(AA$1),Questions!$A:$E,5,FALSE),1,0)</f>
        <v>0</v>
      </c>
      <c r="BK96" s="8">
        <f>IF(AB96=VLOOKUP(VALUE(AB$1),Questions!$A:$E,5,FALSE),1,0)</f>
        <v>1</v>
      </c>
      <c r="BL96" s="8">
        <f>IF(AC96=VLOOKUP(VALUE(AC$1),Questions!$A:$E,5,FALSE),1,0)</f>
        <v>1</v>
      </c>
      <c r="BM96" s="8">
        <f>IF(AD96=VLOOKUP(VALUE(AD$1),Questions!$A:$E,5,FALSE),1,0)</f>
        <v>0</v>
      </c>
      <c r="BN96" s="8">
        <f>IF(AE96=VLOOKUP(VALUE(AE$1),Questions!$A:$E,5,FALSE),1,0)</f>
        <v>1</v>
      </c>
      <c r="BO96" s="8">
        <f>IF(AF96=VLOOKUP(VALUE(AF$1),Questions!$A:$E,5,FALSE),1,0)</f>
        <v>0</v>
      </c>
      <c r="BP96" s="8">
        <f>IF(AG96=VLOOKUP(VALUE(AG$1),Questions!$A:$E,5,FALSE),1,0)</f>
        <v>0</v>
      </c>
      <c r="BQ96" s="8">
        <f>IF(AH96=VLOOKUP(VALUE(AH$1),Questions!$A:$E,5,FALSE),1,0)</f>
        <v>0</v>
      </c>
    </row>
    <row r="97" spans="1:69" ht="13" customHeight="1" x14ac:dyDescent="0.15">
      <c r="A97" t="s">
        <v>36</v>
      </c>
      <c r="B97" s="7">
        <v>10</v>
      </c>
      <c r="C97" s="7">
        <v>6</v>
      </c>
      <c r="D97">
        <v>96</v>
      </c>
      <c r="G97" s="8">
        <v>2</v>
      </c>
      <c r="H97" s="8">
        <v>3</v>
      </c>
      <c r="I97" s="8">
        <v>4</v>
      </c>
      <c r="J97" s="8">
        <v>1</v>
      </c>
      <c r="K97" s="8">
        <v>1</v>
      </c>
      <c r="L97" s="8">
        <v>1</v>
      </c>
      <c r="M97" s="8">
        <v>2</v>
      </c>
      <c r="N97" s="8">
        <v>1</v>
      </c>
      <c r="O97" s="8">
        <v>2</v>
      </c>
      <c r="P97" s="8">
        <v>4</v>
      </c>
      <c r="Q97" s="8">
        <v>3</v>
      </c>
      <c r="R97" s="8">
        <v>4</v>
      </c>
      <c r="S97" s="8">
        <v>3</v>
      </c>
      <c r="T97" s="8">
        <v>3</v>
      </c>
      <c r="U97" s="8">
        <v>1</v>
      </c>
      <c r="V97" s="8">
        <v>4</v>
      </c>
      <c r="W97" s="8">
        <v>1</v>
      </c>
      <c r="X97" s="8">
        <v>3</v>
      </c>
      <c r="Y97" s="8">
        <v>2</v>
      </c>
      <c r="Z97" s="8">
        <v>4</v>
      </c>
      <c r="AA97" s="8">
        <v>1</v>
      </c>
      <c r="AB97" s="8">
        <v>3</v>
      </c>
      <c r="AC97" s="8">
        <v>2</v>
      </c>
      <c r="AD97" s="8">
        <v>4</v>
      </c>
      <c r="AE97" s="8">
        <v>1</v>
      </c>
      <c r="AF97" s="8">
        <v>4</v>
      </c>
      <c r="AG97" s="8">
        <v>2</v>
      </c>
      <c r="AH97" s="8">
        <v>2</v>
      </c>
      <c r="AI97" s="8">
        <v>0</v>
      </c>
      <c r="AJ97" s="8">
        <v>0</v>
      </c>
      <c r="AK97" s="8">
        <v>0</v>
      </c>
      <c r="AL97" s="8">
        <v>0</v>
      </c>
      <c r="AM97" s="8">
        <v>0</v>
      </c>
      <c r="AN97" s="8">
        <v>0</v>
      </c>
      <c r="AO97" s="8">
        <v>0</v>
      </c>
      <c r="AP97" s="8">
        <f>IF(G97=VLOOKUP(VALUE(G$1),Questions!$A:$E,5,FALSE),1,0)</f>
        <v>0</v>
      </c>
      <c r="AQ97" s="8">
        <f>IF(H97=VLOOKUP(VALUE(H$1),Questions!$A:$E,5,FALSE),1,0)</f>
        <v>0</v>
      </c>
      <c r="AR97" s="8">
        <f>IF(I97=VLOOKUP(VALUE(I$1),Questions!$A:$E,5,FALSE),1,0)</f>
        <v>0</v>
      </c>
      <c r="AS97" s="8">
        <f>IF(J97=VLOOKUP(VALUE(J$1),Questions!$A:$E,5,FALSE),1,0)</f>
        <v>0</v>
      </c>
      <c r="AT97" s="8">
        <f>IF(K97=VLOOKUP(VALUE(K$1),Questions!$A:$E,5,FALSE),1,0)</f>
        <v>1</v>
      </c>
      <c r="AU97" s="8">
        <f>IF(L97=VLOOKUP(VALUE(L$1),Questions!$A:$E,5,FALSE),1,0)</f>
        <v>0</v>
      </c>
      <c r="AV97" s="8">
        <f>IF(M97=VLOOKUP(VALUE(M$1),Questions!$A:$E,5,FALSE),1,0)</f>
        <v>1</v>
      </c>
      <c r="AW97" s="8">
        <f>IF(N97=VLOOKUP(VALUE(N$1),Questions!$A:$E,5,FALSE),1,0)</f>
        <v>0</v>
      </c>
      <c r="AX97" s="8">
        <f>IF(O97=VLOOKUP(VALUE(O$1),Questions!$A:$E,5,FALSE),1,0)</f>
        <v>0</v>
      </c>
      <c r="AY97" s="8">
        <f>IF(P97=VLOOKUP(VALUE(P$1),Questions!$A:$E,5,FALSE),1,0)</f>
        <v>0</v>
      </c>
      <c r="AZ97" s="8">
        <f>IF(Q97=VLOOKUP(VALUE(Q$1),Questions!$A:$E,5,FALSE),1,0)</f>
        <v>0</v>
      </c>
      <c r="BA97" s="8">
        <f>IF(R97=VLOOKUP(VALUE(R$1),Questions!$A:$E,5,FALSE),1,0)</f>
        <v>1</v>
      </c>
      <c r="BB97" s="8">
        <f>IF(S97=VLOOKUP(VALUE(S$1),Questions!$A:$E,5,FALSE),1,0)</f>
        <v>0</v>
      </c>
      <c r="BC97" s="8">
        <f>IF(T97=VLOOKUP(VALUE(T$1),Questions!$A:$E,5,FALSE),1,0)</f>
        <v>0</v>
      </c>
      <c r="BD97" s="8">
        <f>IF(U97=VLOOKUP(VALUE(U$1),Questions!$A:$E,5,FALSE),1,0)</f>
        <v>0</v>
      </c>
      <c r="BE97" s="8">
        <f>IF(V97=VLOOKUP(VALUE(V$1),Questions!$A:$E,5,FALSE),1,0)</f>
        <v>0</v>
      </c>
      <c r="BF97" s="8">
        <f>IF(W97=VLOOKUP(VALUE(W$1),Questions!$A:$E,5,FALSE),1,0)</f>
        <v>0</v>
      </c>
      <c r="BG97" s="8">
        <f>IF(X97=VLOOKUP(VALUE(X$1),Questions!$A:$E,5,FALSE),1,0)</f>
        <v>1</v>
      </c>
      <c r="BH97" s="8">
        <f>IF(Y97=VLOOKUP(VALUE(Y$1),Questions!$A:$E,5,FALSE),1,0)</f>
        <v>0</v>
      </c>
      <c r="BI97" s="8">
        <f>IF(Z97=VLOOKUP(VALUE(Z$1),Questions!$A:$E,5,FALSE),1,0)</f>
        <v>0</v>
      </c>
      <c r="BJ97" s="8">
        <f>IF(AA97=VLOOKUP(VALUE(AA$1),Questions!$A:$E,5,FALSE),1,0)</f>
        <v>0</v>
      </c>
      <c r="BK97" s="8">
        <f>IF(AB97=VLOOKUP(VALUE(AB$1),Questions!$A:$E,5,FALSE),1,0)</f>
        <v>0</v>
      </c>
      <c r="BL97" s="8">
        <f>IF(AC97=VLOOKUP(VALUE(AC$1),Questions!$A:$E,5,FALSE),1,0)</f>
        <v>1</v>
      </c>
      <c r="BM97" s="8">
        <f>IF(AD97=VLOOKUP(VALUE(AD$1),Questions!$A:$E,5,FALSE),1,0)</f>
        <v>0</v>
      </c>
      <c r="BN97" s="8">
        <f>IF(AE97=VLOOKUP(VALUE(AE$1),Questions!$A:$E,5,FALSE),1,0)</f>
        <v>0</v>
      </c>
      <c r="BO97" s="8">
        <f>IF(AF97=VLOOKUP(VALUE(AF$1),Questions!$A:$E,5,FALSE),1,0)</f>
        <v>1</v>
      </c>
      <c r="BP97" s="8">
        <f>IF(AG97=VLOOKUP(VALUE(AG$1),Questions!$A:$E,5,FALSE),1,0)</f>
        <v>0</v>
      </c>
      <c r="BQ97" s="8">
        <f>IF(AH97=VLOOKUP(VALUE(AH$1),Questions!$A:$E,5,FALSE),1,0)</f>
        <v>1</v>
      </c>
    </row>
    <row r="98" spans="1:69" ht="13" customHeight="1" x14ac:dyDescent="0.15">
      <c r="A98" t="s">
        <v>36</v>
      </c>
      <c r="B98" s="7">
        <v>10</v>
      </c>
      <c r="C98" s="7">
        <v>6</v>
      </c>
      <c r="D98">
        <v>97</v>
      </c>
      <c r="G98" s="8">
        <v>4</v>
      </c>
      <c r="H98" s="8">
        <v>3</v>
      </c>
      <c r="I98" s="8">
        <v>3</v>
      </c>
      <c r="J98" s="8">
        <v>2</v>
      </c>
      <c r="K98" s="8">
        <v>3</v>
      </c>
      <c r="L98" s="8">
        <v>4</v>
      </c>
      <c r="M98" s="8">
        <v>4</v>
      </c>
      <c r="N98" s="8">
        <v>2</v>
      </c>
      <c r="O98" s="8">
        <v>1</v>
      </c>
      <c r="P98" s="8">
        <v>4</v>
      </c>
      <c r="Q98" s="8">
        <v>1</v>
      </c>
      <c r="R98" s="8">
        <v>4</v>
      </c>
      <c r="S98" s="8">
        <v>3</v>
      </c>
      <c r="T98" s="8">
        <v>3</v>
      </c>
      <c r="U98" s="8">
        <v>4</v>
      </c>
      <c r="V98" s="8">
        <v>1</v>
      </c>
      <c r="W98" s="8">
        <v>2</v>
      </c>
      <c r="X98" s="8">
        <v>2</v>
      </c>
      <c r="Y98" s="8">
        <v>4</v>
      </c>
      <c r="Z98" s="8">
        <v>1</v>
      </c>
      <c r="AA98" s="8">
        <v>1</v>
      </c>
      <c r="AB98" s="8">
        <v>2</v>
      </c>
      <c r="AC98" s="8">
        <v>3</v>
      </c>
      <c r="AD98" s="8">
        <v>4</v>
      </c>
      <c r="AE98" s="8">
        <v>4</v>
      </c>
      <c r="AF98" s="8">
        <v>4</v>
      </c>
      <c r="AG98" s="8">
        <v>2</v>
      </c>
      <c r="AH98" s="8">
        <v>1</v>
      </c>
      <c r="AP98" s="8">
        <f>IF(G98=VLOOKUP(VALUE(G$1),Questions!$A:$E,5,FALSE),1,0)</f>
        <v>1</v>
      </c>
      <c r="AQ98" s="8">
        <f>IF(H98=VLOOKUP(VALUE(H$1),Questions!$A:$E,5,FALSE),1,0)</f>
        <v>0</v>
      </c>
      <c r="AR98" s="8">
        <f>IF(I98=VLOOKUP(VALUE(I$1),Questions!$A:$E,5,FALSE),1,0)</f>
        <v>1</v>
      </c>
      <c r="AS98" s="8">
        <f>IF(J98=VLOOKUP(VALUE(J$1),Questions!$A:$E,5,FALSE),1,0)</f>
        <v>1</v>
      </c>
      <c r="AT98" s="8">
        <f>IF(K98=VLOOKUP(VALUE(K$1),Questions!$A:$E,5,FALSE),1,0)</f>
        <v>0</v>
      </c>
      <c r="AU98" s="8">
        <f>IF(L98=VLOOKUP(VALUE(L$1),Questions!$A:$E,5,FALSE),1,0)</f>
        <v>0</v>
      </c>
      <c r="AV98" s="8">
        <f>IF(M98=VLOOKUP(VALUE(M$1),Questions!$A:$E,5,FALSE),1,0)</f>
        <v>0</v>
      </c>
      <c r="AW98" s="8">
        <f>IF(N98=VLOOKUP(VALUE(N$1),Questions!$A:$E,5,FALSE),1,0)</f>
        <v>0</v>
      </c>
      <c r="AX98" s="8">
        <f>IF(O98=VLOOKUP(VALUE(O$1),Questions!$A:$E,5,FALSE),1,0)</f>
        <v>1</v>
      </c>
      <c r="AY98" s="8">
        <f>IF(P98=VLOOKUP(VALUE(P$1),Questions!$A:$E,5,FALSE),1,0)</f>
        <v>0</v>
      </c>
      <c r="AZ98" s="8">
        <f>IF(Q98=VLOOKUP(VALUE(Q$1),Questions!$A:$E,5,FALSE),1,0)</f>
        <v>1</v>
      </c>
      <c r="BA98" s="8">
        <f>IF(R98=VLOOKUP(VALUE(R$1),Questions!$A:$E,5,FALSE),1,0)</f>
        <v>1</v>
      </c>
      <c r="BB98" s="8">
        <f>IF(S98=VLOOKUP(VALUE(S$1),Questions!$A:$E,5,FALSE),1,0)</f>
        <v>0</v>
      </c>
      <c r="BC98" s="8">
        <f>IF(T98=VLOOKUP(VALUE(T$1),Questions!$A:$E,5,FALSE),1,0)</f>
        <v>0</v>
      </c>
      <c r="BD98" s="8">
        <f>IF(U98=VLOOKUP(VALUE(U$1),Questions!$A:$E,5,FALSE),1,0)</f>
        <v>1</v>
      </c>
      <c r="BE98" s="8">
        <f>IF(V98=VLOOKUP(VALUE(V$1),Questions!$A:$E,5,FALSE),1,0)</f>
        <v>0</v>
      </c>
      <c r="BF98" s="8">
        <f>IF(W98=VLOOKUP(VALUE(W$1),Questions!$A:$E,5,FALSE),1,0)</f>
        <v>0</v>
      </c>
      <c r="BG98" s="8">
        <f>IF(X98=VLOOKUP(VALUE(X$1),Questions!$A:$E,5,FALSE),1,0)</f>
        <v>0</v>
      </c>
      <c r="BH98" s="8">
        <f>IF(Y98=VLOOKUP(VALUE(Y$1),Questions!$A:$E,5,FALSE),1,0)</f>
        <v>0</v>
      </c>
      <c r="BI98" s="8">
        <f>IF(Z98=VLOOKUP(VALUE(Z$1),Questions!$A:$E,5,FALSE),1,0)</f>
        <v>0</v>
      </c>
      <c r="BJ98" s="8">
        <f>IF(AA98=VLOOKUP(VALUE(AA$1),Questions!$A:$E,5,FALSE),1,0)</f>
        <v>0</v>
      </c>
      <c r="BK98" s="8">
        <f>IF(AB98=VLOOKUP(VALUE(AB$1),Questions!$A:$E,5,FALSE),1,0)</f>
        <v>1</v>
      </c>
      <c r="BL98" s="8">
        <f>IF(AC98=VLOOKUP(VALUE(AC$1),Questions!$A:$E,5,FALSE),1,0)</f>
        <v>0</v>
      </c>
      <c r="BM98" s="8">
        <f>IF(AD98=VLOOKUP(VALUE(AD$1),Questions!$A:$E,5,FALSE),1,0)</f>
        <v>0</v>
      </c>
      <c r="BN98" s="8">
        <f>IF(AE98=VLOOKUP(VALUE(AE$1),Questions!$A:$E,5,FALSE),1,0)</f>
        <v>0</v>
      </c>
      <c r="BO98" s="8">
        <f>IF(AF98=VLOOKUP(VALUE(AF$1),Questions!$A:$E,5,FALSE),1,0)</f>
        <v>1</v>
      </c>
      <c r="BP98" s="8">
        <f>IF(AG98=VLOOKUP(VALUE(AG$1),Questions!$A:$E,5,FALSE),1,0)</f>
        <v>0</v>
      </c>
      <c r="BQ98" s="8">
        <f>IF(AH98=VLOOKUP(VALUE(AH$1),Questions!$A:$E,5,FALSE),1,0)</f>
        <v>0</v>
      </c>
    </row>
    <row r="99" spans="1:69" ht="13" customHeight="1" x14ac:dyDescent="0.15">
      <c r="A99" t="s">
        <v>36</v>
      </c>
      <c r="B99" s="7">
        <v>10</v>
      </c>
      <c r="C99" s="7">
        <v>6</v>
      </c>
      <c r="D99">
        <v>98</v>
      </c>
      <c r="G99" s="8">
        <v>3</v>
      </c>
      <c r="H99" s="8">
        <v>1</v>
      </c>
      <c r="I99" s="8">
        <v>1</v>
      </c>
      <c r="J99" s="8">
        <v>2</v>
      </c>
      <c r="K99" s="8">
        <v>1</v>
      </c>
      <c r="L99" s="8">
        <v>1</v>
      </c>
      <c r="M99" s="8">
        <v>2</v>
      </c>
      <c r="N99" s="8">
        <v>4</v>
      </c>
      <c r="O99" s="8">
        <v>1</v>
      </c>
      <c r="P99" s="8">
        <v>4</v>
      </c>
      <c r="Q99" s="8">
        <v>1</v>
      </c>
      <c r="R99" s="8">
        <v>4</v>
      </c>
      <c r="S99" s="8">
        <v>3</v>
      </c>
      <c r="T99" s="8">
        <v>2</v>
      </c>
      <c r="U99" s="8">
        <v>3</v>
      </c>
      <c r="V99" s="8">
        <v>3</v>
      </c>
      <c r="W99" s="8">
        <v>4</v>
      </c>
      <c r="X99" s="8">
        <v>4</v>
      </c>
      <c r="Y99" s="8">
        <v>1</v>
      </c>
      <c r="Z99" s="8">
        <v>3</v>
      </c>
      <c r="AA99" s="8">
        <v>1</v>
      </c>
      <c r="AB99" s="8">
        <v>2</v>
      </c>
      <c r="AC99" s="8">
        <v>2</v>
      </c>
      <c r="AD99" s="8">
        <v>3</v>
      </c>
      <c r="AE99" s="8">
        <v>2</v>
      </c>
      <c r="AF99" s="8">
        <v>1</v>
      </c>
      <c r="AG99" s="8">
        <v>2</v>
      </c>
      <c r="AH99" s="8">
        <v>2</v>
      </c>
      <c r="AI99" s="8">
        <v>0</v>
      </c>
      <c r="AJ99" s="8">
        <v>1</v>
      </c>
      <c r="AK99" s="8">
        <v>1</v>
      </c>
      <c r="AL99" s="8">
        <v>1</v>
      </c>
      <c r="AM99" s="8">
        <v>1</v>
      </c>
      <c r="AP99" s="8">
        <f>IF(G99=VLOOKUP(VALUE(G$1),Questions!$A:$E,5,FALSE),1,0)</f>
        <v>0</v>
      </c>
      <c r="AQ99" s="8">
        <f>IF(H99=VLOOKUP(VALUE(H$1),Questions!$A:$E,5,FALSE),1,0)</f>
        <v>1</v>
      </c>
      <c r="AR99" s="8">
        <f>IF(I99=VLOOKUP(VALUE(I$1),Questions!$A:$E,5,FALSE),1,0)</f>
        <v>0</v>
      </c>
      <c r="AS99" s="8">
        <f>IF(J99=VLOOKUP(VALUE(J$1),Questions!$A:$E,5,FALSE),1,0)</f>
        <v>1</v>
      </c>
      <c r="AT99" s="8">
        <f>IF(K99=VLOOKUP(VALUE(K$1),Questions!$A:$E,5,FALSE),1,0)</f>
        <v>1</v>
      </c>
      <c r="AU99" s="8">
        <f>IF(L99=VLOOKUP(VALUE(L$1),Questions!$A:$E,5,FALSE),1,0)</f>
        <v>0</v>
      </c>
      <c r="AV99" s="8">
        <f>IF(M99=VLOOKUP(VALUE(M$1),Questions!$A:$E,5,FALSE),1,0)</f>
        <v>1</v>
      </c>
      <c r="AW99" s="8">
        <f>IF(N99=VLOOKUP(VALUE(N$1),Questions!$A:$E,5,FALSE),1,0)</f>
        <v>0</v>
      </c>
      <c r="AX99" s="8">
        <f>IF(O99=VLOOKUP(VALUE(O$1),Questions!$A:$E,5,FALSE),1,0)</f>
        <v>1</v>
      </c>
      <c r="AY99" s="8">
        <f>IF(P99=VLOOKUP(VALUE(P$1),Questions!$A:$E,5,FALSE),1,0)</f>
        <v>0</v>
      </c>
      <c r="AZ99" s="8">
        <f>IF(Q99=VLOOKUP(VALUE(Q$1),Questions!$A:$E,5,FALSE),1,0)</f>
        <v>1</v>
      </c>
      <c r="BA99" s="8">
        <f>IF(R99=VLOOKUP(VALUE(R$1),Questions!$A:$E,5,FALSE),1,0)</f>
        <v>1</v>
      </c>
      <c r="BB99" s="8">
        <f>IF(S99=VLOOKUP(VALUE(S$1),Questions!$A:$E,5,FALSE),1,0)</f>
        <v>0</v>
      </c>
      <c r="BC99" s="8">
        <f>IF(T99=VLOOKUP(VALUE(T$1),Questions!$A:$E,5,FALSE),1,0)</f>
        <v>1</v>
      </c>
      <c r="BD99" s="8">
        <f>IF(U99=VLOOKUP(VALUE(U$1),Questions!$A:$E,5,FALSE),1,0)</f>
        <v>0</v>
      </c>
      <c r="BE99" s="8">
        <f>IF(V99=VLOOKUP(VALUE(V$1),Questions!$A:$E,5,FALSE),1,0)</f>
        <v>1</v>
      </c>
      <c r="BF99" s="8">
        <f>IF(W99=VLOOKUP(VALUE(W$1),Questions!$A:$E,5,FALSE),1,0)</f>
        <v>1</v>
      </c>
      <c r="BG99" s="8">
        <f>IF(X99=VLOOKUP(VALUE(X$1),Questions!$A:$E,5,FALSE),1,0)</f>
        <v>0</v>
      </c>
      <c r="BH99" s="8">
        <f>IF(Y99=VLOOKUP(VALUE(Y$1),Questions!$A:$E,5,FALSE),1,0)</f>
        <v>1</v>
      </c>
      <c r="BI99" s="8">
        <f>IF(Z99=VLOOKUP(VALUE(Z$1),Questions!$A:$E,5,FALSE),1,0)</f>
        <v>1</v>
      </c>
      <c r="BJ99" s="8">
        <f>IF(AA99=VLOOKUP(VALUE(AA$1),Questions!$A:$E,5,FALSE),1,0)</f>
        <v>0</v>
      </c>
      <c r="BK99" s="8">
        <f>IF(AB99=VLOOKUP(VALUE(AB$1),Questions!$A:$E,5,FALSE),1,0)</f>
        <v>1</v>
      </c>
      <c r="BL99" s="8">
        <f>IF(AC99=VLOOKUP(VALUE(AC$1),Questions!$A:$E,5,FALSE),1,0)</f>
        <v>1</v>
      </c>
      <c r="BM99" s="8">
        <f>IF(AD99=VLOOKUP(VALUE(AD$1),Questions!$A:$E,5,FALSE),1,0)</f>
        <v>1</v>
      </c>
      <c r="BN99" s="8">
        <f>IF(AE99=VLOOKUP(VALUE(AE$1),Questions!$A:$E,5,FALSE),1,0)</f>
        <v>1</v>
      </c>
      <c r="BO99" s="8">
        <f>IF(AF99=VLOOKUP(VALUE(AF$1),Questions!$A:$E,5,FALSE),1,0)</f>
        <v>0</v>
      </c>
      <c r="BP99" s="8">
        <f>IF(AG99=VLOOKUP(VALUE(AG$1),Questions!$A:$E,5,FALSE),1,0)</f>
        <v>0</v>
      </c>
      <c r="BQ99" s="8">
        <f>IF(AH99=VLOOKUP(VALUE(AH$1),Questions!$A:$E,5,FALSE),1,0)</f>
        <v>1</v>
      </c>
    </row>
    <row r="100" spans="1:69" ht="13" customHeight="1" x14ac:dyDescent="0.15">
      <c r="A100" t="s">
        <v>36</v>
      </c>
      <c r="B100" s="7">
        <v>10</v>
      </c>
      <c r="C100" s="7">
        <v>6</v>
      </c>
      <c r="D100">
        <v>99</v>
      </c>
      <c r="G100" s="8">
        <v>4</v>
      </c>
      <c r="H100" s="8">
        <v>1</v>
      </c>
      <c r="I100" s="8">
        <v>3</v>
      </c>
      <c r="AP100" s="8">
        <f>IF(G100=VLOOKUP(VALUE(G$1),Questions!$A:$E,5,FALSE),1,0)</f>
        <v>1</v>
      </c>
      <c r="AQ100" s="8">
        <f>IF(H100=VLOOKUP(VALUE(H$1),Questions!$A:$E,5,FALSE),1,0)</f>
        <v>1</v>
      </c>
      <c r="AR100" s="8">
        <f>IF(I100=VLOOKUP(VALUE(I$1),Questions!$A:$E,5,FALSE),1,0)</f>
        <v>1</v>
      </c>
      <c r="AS100" s="8">
        <f>IF(J100=VLOOKUP(VALUE(J$1),Questions!$A:$E,5,FALSE),1,0)</f>
        <v>0</v>
      </c>
      <c r="AT100" s="8">
        <f>IF(K100=VLOOKUP(VALUE(K$1),Questions!$A:$E,5,FALSE),1,0)</f>
        <v>0</v>
      </c>
      <c r="AU100" s="8">
        <f>IF(L100=VLOOKUP(VALUE(L$1),Questions!$A:$E,5,FALSE),1,0)</f>
        <v>0</v>
      </c>
      <c r="AV100" s="8">
        <f>IF(M100=VLOOKUP(VALUE(M$1),Questions!$A:$E,5,FALSE),1,0)</f>
        <v>0</v>
      </c>
      <c r="AW100" s="8">
        <f>IF(N100=VLOOKUP(VALUE(N$1),Questions!$A:$E,5,FALSE),1,0)</f>
        <v>0</v>
      </c>
      <c r="AX100" s="8">
        <f>IF(O100=VLOOKUP(VALUE(O$1),Questions!$A:$E,5,FALSE),1,0)</f>
        <v>0</v>
      </c>
      <c r="AY100" s="8">
        <f>IF(P100=VLOOKUP(VALUE(P$1),Questions!$A:$E,5,FALSE),1,0)</f>
        <v>0</v>
      </c>
      <c r="AZ100" s="8">
        <f>IF(Q100=VLOOKUP(VALUE(Q$1),Questions!$A:$E,5,FALSE),1,0)</f>
        <v>0</v>
      </c>
      <c r="BA100" s="8">
        <f>IF(R100=VLOOKUP(VALUE(R$1),Questions!$A:$E,5,FALSE),1,0)</f>
        <v>0</v>
      </c>
      <c r="BB100" s="8">
        <f>IF(S100=VLOOKUP(VALUE(S$1),Questions!$A:$E,5,FALSE),1,0)</f>
        <v>0</v>
      </c>
      <c r="BC100" s="8">
        <f>IF(T100=VLOOKUP(VALUE(T$1),Questions!$A:$E,5,FALSE),1,0)</f>
        <v>0</v>
      </c>
      <c r="BD100" s="8">
        <f>IF(U100=VLOOKUP(VALUE(U$1),Questions!$A:$E,5,FALSE),1,0)</f>
        <v>0</v>
      </c>
      <c r="BE100" s="8">
        <f>IF(V100=VLOOKUP(VALUE(V$1),Questions!$A:$E,5,FALSE),1,0)</f>
        <v>0</v>
      </c>
      <c r="BF100" s="8">
        <f>IF(W100=VLOOKUP(VALUE(W$1),Questions!$A:$E,5,FALSE),1,0)</f>
        <v>0</v>
      </c>
      <c r="BG100" s="8">
        <f>IF(X100=VLOOKUP(VALUE(X$1),Questions!$A:$E,5,FALSE),1,0)</f>
        <v>0</v>
      </c>
      <c r="BH100" s="8">
        <f>IF(Y100=VLOOKUP(VALUE(Y$1),Questions!$A:$E,5,FALSE),1,0)</f>
        <v>0</v>
      </c>
      <c r="BI100" s="8">
        <f>IF(Z100=VLOOKUP(VALUE(Z$1),Questions!$A:$E,5,FALSE),1,0)</f>
        <v>0</v>
      </c>
      <c r="BJ100" s="8">
        <f>IF(AA100=VLOOKUP(VALUE(AA$1),Questions!$A:$E,5,FALSE),1,0)</f>
        <v>0</v>
      </c>
      <c r="BK100" s="8">
        <f>IF(AB100=VLOOKUP(VALUE(AB$1),Questions!$A:$E,5,FALSE),1,0)</f>
        <v>0</v>
      </c>
      <c r="BL100" s="8">
        <f>IF(AC100=VLOOKUP(VALUE(AC$1),Questions!$A:$E,5,FALSE),1,0)</f>
        <v>0</v>
      </c>
      <c r="BM100" s="8">
        <f>IF(AD100=VLOOKUP(VALUE(AD$1),Questions!$A:$E,5,FALSE),1,0)</f>
        <v>0</v>
      </c>
      <c r="BN100" s="8">
        <f>IF(AE100=VLOOKUP(VALUE(AE$1),Questions!$A:$E,5,FALSE),1,0)</f>
        <v>0</v>
      </c>
      <c r="BO100" s="8">
        <f>IF(AF100=VLOOKUP(VALUE(AF$1),Questions!$A:$E,5,FALSE),1,0)</f>
        <v>0</v>
      </c>
      <c r="BP100" s="8">
        <f>IF(AG100=VLOOKUP(VALUE(AG$1),Questions!$A:$E,5,FALSE),1,0)</f>
        <v>0</v>
      </c>
      <c r="BQ100" s="8">
        <f>IF(AH100=VLOOKUP(VALUE(AH$1),Questions!$A:$E,5,FALSE),1,0)</f>
        <v>0</v>
      </c>
    </row>
    <row r="101" spans="1:69" ht="13" customHeight="1" x14ac:dyDescent="0.15">
      <c r="A101" t="s">
        <v>36</v>
      </c>
      <c r="B101" s="7">
        <v>10</v>
      </c>
      <c r="C101" s="7">
        <v>6</v>
      </c>
      <c r="D101">
        <v>100</v>
      </c>
      <c r="G101" s="8">
        <v>4</v>
      </c>
      <c r="H101" s="8">
        <v>1</v>
      </c>
      <c r="I101" s="8">
        <v>3</v>
      </c>
      <c r="J101" s="8">
        <v>2</v>
      </c>
      <c r="K101" s="8">
        <v>1</v>
      </c>
      <c r="L101" s="8">
        <v>3</v>
      </c>
      <c r="M101" s="8">
        <v>2</v>
      </c>
      <c r="N101" s="8">
        <v>3</v>
      </c>
      <c r="O101" s="8">
        <v>1</v>
      </c>
      <c r="P101" s="8">
        <v>4</v>
      </c>
      <c r="Q101" s="8">
        <v>1</v>
      </c>
      <c r="R101" s="8">
        <v>4</v>
      </c>
      <c r="S101" s="8">
        <v>2</v>
      </c>
      <c r="T101" s="8">
        <v>2</v>
      </c>
      <c r="U101" s="8">
        <v>4</v>
      </c>
      <c r="V101" s="8">
        <v>3</v>
      </c>
      <c r="W101" s="8">
        <v>4</v>
      </c>
      <c r="X101" s="8">
        <v>3</v>
      </c>
      <c r="Y101" s="8">
        <v>1</v>
      </c>
      <c r="Z101" s="8">
        <v>3</v>
      </c>
      <c r="AA101" s="8">
        <v>4</v>
      </c>
      <c r="AB101" s="8">
        <v>2</v>
      </c>
      <c r="AC101" s="8">
        <v>2</v>
      </c>
      <c r="AD101" s="8">
        <v>3</v>
      </c>
      <c r="AE101" s="8">
        <v>1</v>
      </c>
      <c r="AF101" s="8">
        <v>4</v>
      </c>
      <c r="AG101" s="8">
        <v>2</v>
      </c>
      <c r="AH101" s="8">
        <v>4</v>
      </c>
      <c r="AI101" s="8">
        <v>1</v>
      </c>
      <c r="AJ101" s="8">
        <v>1</v>
      </c>
      <c r="AK101" s="8">
        <v>1</v>
      </c>
      <c r="AL101" s="8">
        <v>1</v>
      </c>
      <c r="AM101" s="8">
        <v>1</v>
      </c>
      <c r="AN101" s="8">
        <v>1</v>
      </c>
      <c r="AO101" s="8">
        <v>1</v>
      </c>
      <c r="AP101" s="8">
        <f>IF(G101=VLOOKUP(VALUE(G$1),Questions!$A:$E,5,FALSE),1,0)</f>
        <v>1</v>
      </c>
      <c r="AQ101" s="8">
        <f>IF(H101=VLOOKUP(VALUE(H$1),Questions!$A:$E,5,FALSE),1,0)</f>
        <v>1</v>
      </c>
      <c r="AR101" s="8">
        <f>IF(I101=VLOOKUP(VALUE(I$1),Questions!$A:$E,5,FALSE),1,0)</f>
        <v>1</v>
      </c>
      <c r="AS101" s="8">
        <f>IF(J101=VLOOKUP(VALUE(J$1),Questions!$A:$E,5,FALSE),1,0)</f>
        <v>1</v>
      </c>
      <c r="AT101" s="8">
        <f>IF(K101=VLOOKUP(VALUE(K$1),Questions!$A:$E,5,FALSE),1,0)</f>
        <v>1</v>
      </c>
      <c r="AU101" s="8">
        <f>IF(L101=VLOOKUP(VALUE(L$1),Questions!$A:$E,5,FALSE),1,0)</f>
        <v>1</v>
      </c>
      <c r="AV101" s="8">
        <f>IF(M101=VLOOKUP(VALUE(M$1),Questions!$A:$E,5,FALSE),1,0)</f>
        <v>1</v>
      </c>
      <c r="AW101" s="8">
        <f>IF(N101=VLOOKUP(VALUE(N$1),Questions!$A:$E,5,FALSE),1,0)</f>
        <v>1</v>
      </c>
      <c r="AX101" s="8">
        <f>IF(O101=VLOOKUP(VALUE(O$1),Questions!$A:$E,5,FALSE),1,0)</f>
        <v>1</v>
      </c>
      <c r="AY101" s="8">
        <f>IF(P101=VLOOKUP(VALUE(P$1),Questions!$A:$E,5,FALSE),1,0)</f>
        <v>0</v>
      </c>
      <c r="AZ101" s="8">
        <f>IF(Q101=VLOOKUP(VALUE(Q$1),Questions!$A:$E,5,FALSE),1,0)</f>
        <v>1</v>
      </c>
      <c r="BA101" s="8">
        <f>IF(R101=VLOOKUP(VALUE(R$1),Questions!$A:$E,5,FALSE),1,0)</f>
        <v>1</v>
      </c>
      <c r="BB101" s="8">
        <f>IF(S101=VLOOKUP(VALUE(S$1),Questions!$A:$E,5,FALSE),1,0)</f>
        <v>1</v>
      </c>
      <c r="BC101" s="8">
        <f>IF(T101=VLOOKUP(VALUE(T$1),Questions!$A:$E,5,FALSE),1,0)</f>
        <v>1</v>
      </c>
      <c r="BD101" s="8">
        <f>IF(U101=VLOOKUP(VALUE(U$1),Questions!$A:$E,5,FALSE),1,0)</f>
        <v>1</v>
      </c>
      <c r="BE101" s="8">
        <f>IF(V101=VLOOKUP(VALUE(V$1),Questions!$A:$E,5,FALSE),1,0)</f>
        <v>1</v>
      </c>
      <c r="BF101" s="8">
        <f>IF(W101=VLOOKUP(VALUE(W$1),Questions!$A:$E,5,FALSE),1,0)</f>
        <v>1</v>
      </c>
      <c r="BG101" s="8">
        <f>IF(X101=VLOOKUP(VALUE(X$1),Questions!$A:$E,5,FALSE),1,0)</f>
        <v>1</v>
      </c>
      <c r="BH101" s="8">
        <f>IF(Y101=VLOOKUP(VALUE(Y$1),Questions!$A:$E,5,FALSE),1,0)</f>
        <v>1</v>
      </c>
      <c r="BI101" s="8">
        <f>IF(Z101=VLOOKUP(VALUE(Z$1),Questions!$A:$E,5,FALSE),1,0)</f>
        <v>1</v>
      </c>
      <c r="BJ101" s="8">
        <f>IF(AA101=VLOOKUP(VALUE(AA$1),Questions!$A:$E,5,FALSE),1,0)</f>
        <v>1</v>
      </c>
      <c r="BK101" s="8">
        <f>IF(AB101=VLOOKUP(VALUE(AB$1),Questions!$A:$E,5,FALSE),1,0)</f>
        <v>1</v>
      </c>
      <c r="BL101" s="8">
        <f>IF(AC101=VLOOKUP(VALUE(AC$1),Questions!$A:$E,5,FALSE),1,0)</f>
        <v>1</v>
      </c>
      <c r="BM101" s="8">
        <f>IF(AD101=VLOOKUP(VALUE(AD$1),Questions!$A:$E,5,FALSE),1,0)</f>
        <v>1</v>
      </c>
      <c r="BN101" s="8">
        <f>IF(AE101=VLOOKUP(VALUE(AE$1),Questions!$A:$E,5,FALSE),1,0)</f>
        <v>0</v>
      </c>
      <c r="BO101" s="8">
        <f>IF(AF101=VLOOKUP(VALUE(AF$1),Questions!$A:$E,5,FALSE),1,0)</f>
        <v>1</v>
      </c>
      <c r="BP101" s="8">
        <f>IF(AG101=VLOOKUP(VALUE(AG$1),Questions!$A:$E,5,FALSE),1,0)</f>
        <v>0</v>
      </c>
      <c r="BQ101" s="8">
        <f>IF(AH101=VLOOKUP(VALUE(AH$1),Questions!$A:$E,5,FALSE),1,0)</f>
        <v>0</v>
      </c>
    </row>
    <row r="102" spans="1:69" ht="13" customHeight="1" x14ac:dyDescent="0.15">
      <c r="A102" t="s">
        <v>36</v>
      </c>
      <c r="B102" s="7">
        <v>10</v>
      </c>
      <c r="C102" s="7">
        <v>6</v>
      </c>
      <c r="D102">
        <v>101</v>
      </c>
      <c r="G102" s="8">
        <v>2</v>
      </c>
      <c r="H102" s="8">
        <v>1</v>
      </c>
      <c r="I102" s="8">
        <v>3</v>
      </c>
      <c r="J102" s="8">
        <v>2</v>
      </c>
      <c r="K102" s="8">
        <v>1</v>
      </c>
      <c r="L102" s="8">
        <v>3</v>
      </c>
      <c r="M102" s="8">
        <v>2</v>
      </c>
      <c r="N102" s="8">
        <v>3</v>
      </c>
      <c r="O102" s="8">
        <v>1</v>
      </c>
      <c r="P102" s="8">
        <v>3</v>
      </c>
      <c r="Q102" s="8">
        <v>1</v>
      </c>
      <c r="R102" s="8">
        <v>4</v>
      </c>
      <c r="S102" s="8">
        <v>2</v>
      </c>
      <c r="T102" s="8">
        <v>2</v>
      </c>
      <c r="U102" s="8">
        <v>4</v>
      </c>
      <c r="V102" s="8">
        <v>3</v>
      </c>
      <c r="W102" s="8">
        <v>4</v>
      </c>
      <c r="X102" s="8">
        <v>3</v>
      </c>
      <c r="Y102" s="8">
        <v>1</v>
      </c>
      <c r="Z102" s="8">
        <v>3</v>
      </c>
      <c r="AA102" s="8">
        <v>4</v>
      </c>
      <c r="AB102" s="8">
        <v>2</v>
      </c>
      <c r="AC102" s="8">
        <v>2</v>
      </c>
      <c r="AD102" s="8">
        <v>3</v>
      </c>
      <c r="AE102" s="8">
        <v>2</v>
      </c>
      <c r="AF102" s="8">
        <v>4</v>
      </c>
      <c r="AG102" s="8">
        <v>2</v>
      </c>
      <c r="AH102" s="8">
        <v>2</v>
      </c>
      <c r="AI102" s="8">
        <v>0</v>
      </c>
      <c r="AJ102" s="8">
        <v>0</v>
      </c>
      <c r="AK102" s="8">
        <v>1</v>
      </c>
      <c r="AP102" s="8">
        <f>IF(G102=VLOOKUP(VALUE(G$1),Questions!$A:$E,5,FALSE),1,0)</f>
        <v>0</v>
      </c>
      <c r="AQ102" s="8">
        <f>IF(H102=VLOOKUP(VALUE(H$1),Questions!$A:$E,5,FALSE),1,0)</f>
        <v>1</v>
      </c>
      <c r="AR102" s="8">
        <f>IF(I102=VLOOKUP(VALUE(I$1),Questions!$A:$E,5,FALSE),1,0)</f>
        <v>1</v>
      </c>
      <c r="AS102" s="8">
        <f>IF(J102=VLOOKUP(VALUE(J$1),Questions!$A:$E,5,FALSE),1,0)</f>
        <v>1</v>
      </c>
      <c r="AT102" s="8">
        <f>IF(K102=VLOOKUP(VALUE(K$1),Questions!$A:$E,5,FALSE),1,0)</f>
        <v>1</v>
      </c>
      <c r="AU102" s="8">
        <f>IF(L102=VLOOKUP(VALUE(L$1),Questions!$A:$E,5,FALSE),1,0)</f>
        <v>1</v>
      </c>
      <c r="AV102" s="8">
        <f>IF(M102=VLOOKUP(VALUE(M$1),Questions!$A:$E,5,FALSE),1,0)</f>
        <v>1</v>
      </c>
      <c r="AW102" s="8">
        <f>IF(N102=VLOOKUP(VALUE(N$1),Questions!$A:$E,5,FALSE),1,0)</f>
        <v>1</v>
      </c>
      <c r="AX102" s="8">
        <f>IF(O102=VLOOKUP(VALUE(O$1),Questions!$A:$E,5,FALSE),1,0)</f>
        <v>1</v>
      </c>
      <c r="AY102" s="8">
        <f>IF(P102=VLOOKUP(VALUE(P$1),Questions!$A:$E,5,FALSE),1,0)</f>
        <v>1</v>
      </c>
      <c r="AZ102" s="8">
        <f>IF(Q102=VLOOKUP(VALUE(Q$1),Questions!$A:$E,5,FALSE),1,0)</f>
        <v>1</v>
      </c>
      <c r="BA102" s="8">
        <f>IF(R102=VLOOKUP(VALUE(R$1),Questions!$A:$E,5,FALSE),1,0)</f>
        <v>1</v>
      </c>
      <c r="BB102" s="8">
        <f>IF(S102=VLOOKUP(VALUE(S$1),Questions!$A:$E,5,FALSE),1,0)</f>
        <v>1</v>
      </c>
      <c r="BC102" s="8">
        <f>IF(T102=VLOOKUP(VALUE(T$1),Questions!$A:$E,5,FALSE),1,0)</f>
        <v>1</v>
      </c>
      <c r="BD102" s="8">
        <f>IF(U102=VLOOKUP(VALUE(U$1),Questions!$A:$E,5,FALSE),1,0)</f>
        <v>1</v>
      </c>
      <c r="BE102" s="8">
        <f>IF(V102=VLOOKUP(VALUE(V$1),Questions!$A:$E,5,FALSE),1,0)</f>
        <v>1</v>
      </c>
      <c r="BF102" s="8">
        <f>IF(W102=VLOOKUP(VALUE(W$1),Questions!$A:$E,5,FALSE),1,0)</f>
        <v>1</v>
      </c>
      <c r="BG102" s="8">
        <f>IF(X102=VLOOKUP(VALUE(X$1),Questions!$A:$E,5,FALSE),1,0)</f>
        <v>1</v>
      </c>
      <c r="BH102" s="8">
        <f>IF(Y102=VLOOKUP(VALUE(Y$1),Questions!$A:$E,5,FALSE),1,0)</f>
        <v>1</v>
      </c>
      <c r="BI102" s="8">
        <f>IF(Z102=VLOOKUP(VALUE(Z$1),Questions!$A:$E,5,FALSE),1,0)</f>
        <v>1</v>
      </c>
      <c r="BJ102" s="8">
        <f>IF(AA102=VLOOKUP(VALUE(AA$1),Questions!$A:$E,5,FALSE),1,0)</f>
        <v>1</v>
      </c>
      <c r="BK102" s="8">
        <f>IF(AB102=VLOOKUP(VALUE(AB$1),Questions!$A:$E,5,FALSE),1,0)</f>
        <v>1</v>
      </c>
      <c r="BL102" s="8">
        <f>IF(AC102=VLOOKUP(VALUE(AC$1),Questions!$A:$E,5,FALSE),1,0)</f>
        <v>1</v>
      </c>
      <c r="BM102" s="8">
        <f>IF(AD102=VLOOKUP(VALUE(AD$1),Questions!$A:$E,5,FALSE),1,0)</f>
        <v>1</v>
      </c>
      <c r="BN102" s="8">
        <f>IF(AE102=VLOOKUP(VALUE(AE$1),Questions!$A:$E,5,FALSE),1,0)</f>
        <v>1</v>
      </c>
      <c r="BO102" s="8">
        <f>IF(AF102=VLOOKUP(VALUE(AF$1),Questions!$A:$E,5,FALSE),1,0)</f>
        <v>1</v>
      </c>
      <c r="BP102" s="8">
        <f>IF(AG102=VLOOKUP(VALUE(AG$1),Questions!$A:$E,5,FALSE),1,0)</f>
        <v>0</v>
      </c>
      <c r="BQ102" s="8">
        <f>IF(AH102=VLOOKUP(VALUE(AH$1),Questions!$A:$E,5,FALSE),1,0)</f>
        <v>1</v>
      </c>
    </row>
    <row r="103" spans="1:69" ht="13" customHeight="1" x14ac:dyDescent="0.15">
      <c r="A103" t="s">
        <v>36</v>
      </c>
      <c r="B103" s="7">
        <v>10</v>
      </c>
      <c r="C103" s="7">
        <v>6</v>
      </c>
      <c r="D103">
        <v>102</v>
      </c>
      <c r="G103" s="8">
        <v>4</v>
      </c>
      <c r="H103" s="8">
        <v>1</v>
      </c>
      <c r="I103" s="8">
        <v>3</v>
      </c>
      <c r="J103" s="8">
        <v>2</v>
      </c>
      <c r="K103" s="8">
        <v>1</v>
      </c>
      <c r="L103" s="8">
        <v>3</v>
      </c>
      <c r="M103" s="8">
        <v>2</v>
      </c>
      <c r="N103" s="8">
        <v>3</v>
      </c>
      <c r="O103" s="8">
        <v>1</v>
      </c>
      <c r="P103" s="8">
        <v>3</v>
      </c>
      <c r="Q103" s="8">
        <v>1</v>
      </c>
      <c r="R103" s="8">
        <v>4</v>
      </c>
      <c r="S103" s="8">
        <v>2</v>
      </c>
      <c r="T103" s="8">
        <v>2</v>
      </c>
      <c r="U103" s="8">
        <v>4</v>
      </c>
      <c r="V103" s="8">
        <v>3</v>
      </c>
      <c r="W103" s="8">
        <v>4</v>
      </c>
      <c r="X103" s="8">
        <v>3</v>
      </c>
      <c r="Y103" s="8">
        <v>4</v>
      </c>
      <c r="Z103" s="8">
        <v>3</v>
      </c>
      <c r="AA103" s="8">
        <v>4</v>
      </c>
      <c r="AB103" s="8">
        <v>2</v>
      </c>
      <c r="AC103" s="8">
        <v>2</v>
      </c>
      <c r="AD103" s="8">
        <v>3</v>
      </c>
      <c r="AE103" s="8">
        <v>2</v>
      </c>
      <c r="AF103" s="8">
        <v>4</v>
      </c>
      <c r="AG103" s="8">
        <v>3</v>
      </c>
      <c r="AH103" s="8">
        <v>2</v>
      </c>
      <c r="AI103" s="8">
        <v>1</v>
      </c>
      <c r="AJ103" s="8">
        <v>1</v>
      </c>
      <c r="AK103" s="8">
        <v>1</v>
      </c>
      <c r="AL103" s="8">
        <v>0</v>
      </c>
      <c r="AM103" s="8">
        <v>1</v>
      </c>
      <c r="AN103" s="8">
        <v>0</v>
      </c>
      <c r="AO103" s="8">
        <v>0</v>
      </c>
      <c r="AP103" s="8">
        <f>IF(G103=VLOOKUP(VALUE(G$1),Questions!$A:$E,5,FALSE),1,0)</f>
        <v>1</v>
      </c>
      <c r="AQ103" s="8">
        <f>IF(H103=VLOOKUP(VALUE(H$1),Questions!$A:$E,5,FALSE),1,0)</f>
        <v>1</v>
      </c>
      <c r="AR103" s="8">
        <f>IF(I103=VLOOKUP(VALUE(I$1),Questions!$A:$E,5,FALSE),1,0)</f>
        <v>1</v>
      </c>
      <c r="AS103" s="8">
        <f>IF(J103=VLOOKUP(VALUE(J$1),Questions!$A:$E,5,FALSE),1,0)</f>
        <v>1</v>
      </c>
      <c r="AT103" s="8">
        <f>IF(K103=VLOOKUP(VALUE(K$1),Questions!$A:$E,5,FALSE),1,0)</f>
        <v>1</v>
      </c>
      <c r="AU103" s="8">
        <f>IF(L103=VLOOKUP(VALUE(L$1),Questions!$A:$E,5,FALSE),1,0)</f>
        <v>1</v>
      </c>
      <c r="AV103" s="8">
        <f>IF(M103=VLOOKUP(VALUE(M$1),Questions!$A:$E,5,FALSE),1,0)</f>
        <v>1</v>
      </c>
      <c r="AW103" s="8">
        <f>IF(N103=VLOOKUP(VALUE(N$1),Questions!$A:$E,5,FALSE),1,0)</f>
        <v>1</v>
      </c>
      <c r="AX103" s="8">
        <f>IF(O103=VLOOKUP(VALUE(O$1),Questions!$A:$E,5,FALSE),1,0)</f>
        <v>1</v>
      </c>
      <c r="AY103" s="8">
        <f>IF(P103=VLOOKUP(VALUE(P$1),Questions!$A:$E,5,FALSE),1,0)</f>
        <v>1</v>
      </c>
      <c r="AZ103" s="8">
        <f>IF(Q103=VLOOKUP(VALUE(Q$1),Questions!$A:$E,5,FALSE),1,0)</f>
        <v>1</v>
      </c>
      <c r="BA103" s="8">
        <f>IF(R103=VLOOKUP(VALUE(R$1),Questions!$A:$E,5,FALSE),1,0)</f>
        <v>1</v>
      </c>
      <c r="BB103" s="8">
        <f>IF(S103=VLOOKUP(VALUE(S$1),Questions!$A:$E,5,FALSE),1,0)</f>
        <v>1</v>
      </c>
      <c r="BC103" s="8">
        <f>IF(T103=VLOOKUP(VALUE(T$1),Questions!$A:$E,5,FALSE),1,0)</f>
        <v>1</v>
      </c>
      <c r="BD103" s="8">
        <f>IF(U103=VLOOKUP(VALUE(U$1),Questions!$A:$E,5,FALSE),1,0)</f>
        <v>1</v>
      </c>
      <c r="BE103" s="8">
        <f>IF(V103=VLOOKUP(VALUE(V$1),Questions!$A:$E,5,FALSE),1,0)</f>
        <v>1</v>
      </c>
      <c r="BF103" s="8">
        <f>IF(W103=VLOOKUP(VALUE(W$1),Questions!$A:$E,5,FALSE),1,0)</f>
        <v>1</v>
      </c>
      <c r="BG103" s="8">
        <f>IF(X103=VLOOKUP(VALUE(X$1),Questions!$A:$E,5,FALSE),1,0)</f>
        <v>1</v>
      </c>
      <c r="BH103" s="8">
        <f>IF(Y103=VLOOKUP(VALUE(Y$1),Questions!$A:$E,5,FALSE),1,0)</f>
        <v>0</v>
      </c>
      <c r="BI103" s="8">
        <f>IF(Z103=VLOOKUP(VALUE(Z$1),Questions!$A:$E,5,FALSE),1,0)</f>
        <v>1</v>
      </c>
      <c r="BJ103" s="8">
        <f>IF(AA103=VLOOKUP(VALUE(AA$1),Questions!$A:$E,5,FALSE),1,0)</f>
        <v>1</v>
      </c>
      <c r="BK103" s="8">
        <f>IF(AB103=VLOOKUP(VALUE(AB$1),Questions!$A:$E,5,FALSE),1,0)</f>
        <v>1</v>
      </c>
      <c r="BL103" s="8">
        <f>IF(AC103=VLOOKUP(VALUE(AC$1),Questions!$A:$E,5,FALSE),1,0)</f>
        <v>1</v>
      </c>
      <c r="BM103" s="8">
        <f>IF(AD103=VLOOKUP(VALUE(AD$1),Questions!$A:$E,5,FALSE),1,0)</f>
        <v>1</v>
      </c>
      <c r="BN103" s="8">
        <f>IF(AE103=VLOOKUP(VALUE(AE$1),Questions!$A:$E,5,FALSE),1,0)</f>
        <v>1</v>
      </c>
      <c r="BO103" s="8">
        <f>IF(AF103=VLOOKUP(VALUE(AF$1),Questions!$A:$E,5,FALSE),1,0)</f>
        <v>1</v>
      </c>
      <c r="BP103" s="8">
        <f>IF(AG103=VLOOKUP(VALUE(AG$1),Questions!$A:$E,5,FALSE),1,0)</f>
        <v>0</v>
      </c>
      <c r="BQ103" s="8">
        <f>IF(AH103=VLOOKUP(VALUE(AH$1),Questions!$A:$E,5,FALSE),1,0)</f>
        <v>1</v>
      </c>
    </row>
    <row r="104" spans="1:69" ht="13" customHeight="1" x14ac:dyDescent="0.15">
      <c r="A104" t="s">
        <v>36</v>
      </c>
      <c r="B104" s="7">
        <v>10</v>
      </c>
      <c r="C104" s="7">
        <v>6</v>
      </c>
      <c r="D104">
        <v>103</v>
      </c>
      <c r="G104" s="8">
        <v>4</v>
      </c>
      <c r="H104" s="8">
        <v>1</v>
      </c>
      <c r="I104" s="8">
        <v>3</v>
      </c>
      <c r="J104" s="8">
        <v>2</v>
      </c>
      <c r="K104" s="8">
        <v>1</v>
      </c>
      <c r="L104" s="8">
        <v>4</v>
      </c>
      <c r="M104" s="8">
        <v>2</v>
      </c>
      <c r="N104" s="8">
        <v>3</v>
      </c>
      <c r="O104" s="8">
        <v>1</v>
      </c>
      <c r="P104" s="8">
        <v>3</v>
      </c>
      <c r="Q104" s="8">
        <v>1</v>
      </c>
      <c r="R104" s="8">
        <v>4</v>
      </c>
      <c r="S104" s="8">
        <v>3</v>
      </c>
      <c r="T104" s="8">
        <v>3</v>
      </c>
      <c r="U104" s="8">
        <v>1</v>
      </c>
      <c r="V104" s="8">
        <v>3</v>
      </c>
      <c r="W104" s="8">
        <v>4</v>
      </c>
      <c r="X104" s="8">
        <v>4</v>
      </c>
      <c r="Y104" s="8">
        <v>1</v>
      </c>
      <c r="Z104" s="8">
        <v>3</v>
      </c>
      <c r="AA104" s="8">
        <v>4</v>
      </c>
      <c r="AB104" s="8">
        <v>2</v>
      </c>
      <c r="AC104" s="8">
        <v>4</v>
      </c>
      <c r="AD104" s="8">
        <v>3</v>
      </c>
      <c r="AE104" s="8">
        <v>3</v>
      </c>
      <c r="AF104" s="8">
        <v>2</v>
      </c>
      <c r="AG104" s="8">
        <v>2</v>
      </c>
      <c r="AH104" s="8">
        <v>1</v>
      </c>
      <c r="AI104" s="8">
        <v>1</v>
      </c>
      <c r="AJ104" s="8">
        <v>0</v>
      </c>
      <c r="AK104" s="8">
        <v>0</v>
      </c>
      <c r="AL104" s="8">
        <v>1</v>
      </c>
      <c r="AM104" s="8">
        <v>1</v>
      </c>
      <c r="AN104" s="8">
        <v>0</v>
      </c>
      <c r="AO104" s="8">
        <v>0</v>
      </c>
      <c r="AP104" s="8">
        <f>IF(G104=VLOOKUP(VALUE(G$1),Questions!$A:$E,5,FALSE),1,0)</f>
        <v>1</v>
      </c>
      <c r="AQ104" s="8">
        <f>IF(H104=VLOOKUP(VALUE(H$1),Questions!$A:$E,5,FALSE),1,0)</f>
        <v>1</v>
      </c>
      <c r="AR104" s="8">
        <f>IF(I104=VLOOKUP(VALUE(I$1),Questions!$A:$E,5,FALSE),1,0)</f>
        <v>1</v>
      </c>
      <c r="AS104" s="8">
        <f>IF(J104=VLOOKUP(VALUE(J$1),Questions!$A:$E,5,FALSE),1,0)</f>
        <v>1</v>
      </c>
      <c r="AT104" s="8">
        <f>IF(K104=VLOOKUP(VALUE(K$1),Questions!$A:$E,5,FALSE),1,0)</f>
        <v>1</v>
      </c>
      <c r="AU104" s="8">
        <f>IF(L104=VLOOKUP(VALUE(L$1),Questions!$A:$E,5,FALSE),1,0)</f>
        <v>0</v>
      </c>
      <c r="AV104" s="8">
        <f>IF(M104=VLOOKUP(VALUE(M$1),Questions!$A:$E,5,FALSE),1,0)</f>
        <v>1</v>
      </c>
      <c r="AW104" s="8">
        <f>IF(N104=VLOOKUP(VALUE(N$1),Questions!$A:$E,5,FALSE),1,0)</f>
        <v>1</v>
      </c>
      <c r="AX104" s="8">
        <f>IF(O104=VLOOKUP(VALUE(O$1),Questions!$A:$E,5,FALSE),1,0)</f>
        <v>1</v>
      </c>
      <c r="AY104" s="8">
        <f>IF(P104=VLOOKUP(VALUE(P$1),Questions!$A:$E,5,FALSE),1,0)</f>
        <v>1</v>
      </c>
      <c r="AZ104" s="8">
        <f>IF(Q104=VLOOKUP(VALUE(Q$1),Questions!$A:$E,5,FALSE),1,0)</f>
        <v>1</v>
      </c>
      <c r="BA104" s="8">
        <f>IF(R104=VLOOKUP(VALUE(R$1),Questions!$A:$E,5,FALSE),1,0)</f>
        <v>1</v>
      </c>
      <c r="BB104" s="8">
        <f>IF(S104=VLOOKUP(VALUE(S$1),Questions!$A:$E,5,FALSE),1,0)</f>
        <v>0</v>
      </c>
      <c r="BC104" s="8">
        <f>IF(T104=VLOOKUP(VALUE(T$1),Questions!$A:$E,5,FALSE),1,0)</f>
        <v>0</v>
      </c>
      <c r="BD104" s="8">
        <f>IF(U104=VLOOKUP(VALUE(U$1),Questions!$A:$E,5,FALSE),1,0)</f>
        <v>0</v>
      </c>
      <c r="BE104" s="8">
        <f>IF(V104=VLOOKUP(VALUE(V$1),Questions!$A:$E,5,FALSE),1,0)</f>
        <v>1</v>
      </c>
      <c r="BF104" s="8">
        <f>IF(W104=VLOOKUP(VALUE(W$1),Questions!$A:$E,5,FALSE),1,0)</f>
        <v>1</v>
      </c>
      <c r="BG104" s="8">
        <f>IF(X104=VLOOKUP(VALUE(X$1),Questions!$A:$E,5,FALSE),1,0)</f>
        <v>0</v>
      </c>
      <c r="BH104" s="8">
        <f>IF(Y104=VLOOKUP(VALUE(Y$1),Questions!$A:$E,5,FALSE),1,0)</f>
        <v>1</v>
      </c>
      <c r="BI104" s="8">
        <f>IF(Z104=VLOOKUP(VALUE(Z$1),Questions!$A:$E,5,FALSE),1,0)</f>
        <v>1</v>
      </c>
      <c r="BJ104" s="8">
        <f>IF(AA104=VLOOKUP(VALUE(AA$1),Questions!$A:$E,5,FALSE),1,0)</f>
        <v>1</v>
      </c>
      <c r="BK104" s="8">
        <f>IF(AB104=VLOOKUP(VALUE(AB$1),Questions!$A:$E,5,FALSE),1,0)</f>
        <v>1</v>
      </c>
      <c r="BL104" s="8">
        <f>IF(AC104=VLOOKUP(VALUE(AC$1),Questions!$A:$E,5,FALSE),1,0)</f>
        <v>0</v>
      </c>
      <c r="BM104" s="8">
        <f>IF(AD104=VLOOKUP(VALUE(AD$1),Questions!$A:$E,5,FALSE),1,0)</f>
        <v>1</v>
      </c>
      <c r="BN104" s="8">
        <f>IF(AE104=VLOOKUP(VALUE(AE$1),Questions!$A:$E,5,FALSE),1,0)</f>
        <v>0</v>
      </c>
      <c r="BO104" s="8">
        <f>IF(AF104=VLOOKUP(VALUE(AF$1),Questions!$A:$E,5,FALSE),1,0)</f>
        <v>0</v>
      </c>
      <c r="BP104" s="8">
        <f>IF(AG104=VLOOKUP(VALUE(AG$1),Questions!$A:$E,5,FALSE),1,0)</f>
        <v>0</v>
      </c>
      <c r="BQ104" s="8">
        <f>IF(AH104=VLOOKUP(VALUE(AH$1),Questions!$A:$E,5,FALSE),1,0)</f>
        <v>0</v>
      </c>
    </row>
    <row r="105" spans="1:69" ht="13" customHeight="1" x14ac:dyDescent="0.15">
      <c r="A105" t="s">
        <v>36</v>
      </c>
      <c r="B105" s="7">
        <v>10</v>
      </c>
      <c r="C105" s="7">
        <v>6</v>
      </c>
      <c r="D105">
        <v>104</v>
      </c>
      <c r="G105" s="8">
        <v>4</v>
      </c>
      <c r="H105" s="8">
        <v>1</v>
      </c>
      <c r="I105" s="8">
        <v>3</v>
      </c>
      <c r="J105" s="8">
        <v>2</v>
      </c>
      <c r="K105" s="8">
        <v>3</v>
      </c>
      <c r="L105" s="8">
        <v>3</v>
      </c>
      <c r="M105" s="8">
        <v>2</v>
      </c>
      <c r="N105" s="8">
        <v>3</v>
      </c>
      <c r="O105" s="8">
        <v>1</v>
      </c>
      <c r="P105" s="8">
        <v>3</v>
      </c>
      <c r="Q105" s="8">
        <v>1</v>
      </c>
      <c r="R105" s="8">
        <v>4</v>
      </c>
      <c r="S105" s="8">
        <v>2</v>
      </c>
      <c r="T105" s="8">
        <v>2</v>
      </c>
      <c r="U105" s="8">
        <v>4</v>
      </c>
      <c r="V105" s="8">
        <v>3</v>
      </c>
      <c r="W105" s="8">
        <v>4</v>
      </c>
      <c r="X105" s="8">
        <v>3</v>
      </c>
      <c r="Y105" s="8">
        <v>1</v>
      </c>
      <c r="Z105" s="8">
        <v>3</v>
      </c>
      <c r="AA105" s="8">
        <v>4</v>
      </c>
      <c r="AB105" s="8">
        <v>2</v>
      </c>
      <c r="AC105" s="8">
        <v>2</v>
      </c>
      <c r="AD105" s="8">
        <v>3</v>
      </c>
      <c r="AE105" s="8">
        <v>2</v>
      </c>
      <c r="AF105" s="8">
        <v>4</v>
      </c>
      <c r="AG105" s="8">
        <v>2</v>
      </c>
      <c r="AH105" s="8">
        <v>2</v>
      </c>
      <c r="AI105" s="8">
        <v>1</v>
      </c>
      <c r="AJ105" s="8">
        <v>1</v>
      </c>
      <c r="AK105" s="8">
        <v>1</v>
      </c>
      <c r="AL105" s="8">
        <v>1</v>
      </c>
      <c r="AM105" s="8">
        <v>1</v>
      </c>
      <c r="AP105" s="8">
        <f>IF(G105=VLOOKUP(VALUE(G$1),Questions!$A:$E,5,FALSE),1,0)</f>
        <v>1</v>
      </c>
      <c r="AQ105" s="8">
        <f>IF(H105=VLOOKUP(VALUE(H$1),Questions!$A:$E,5,FALSE),1,0)</f>
        <v>1</v>
      </c>
      <c r="AR105" s="8">
        <f>IF(I105=VLOOKUP(VALUE(I$1),Questions!$A:$E,5,FALSE),1,0)</f>
        <v>1</v>
      </c>
      <c r="AS105" s="8">
        <f>IF(J105=VLOOKUP(VALUE(J$1),Questions!$A:$E,5,FALSE),1,0)</f>
        <v>1</v>
      </c>
      <c r="AT105" s="8">
        <f>IF(K105=VLOOKUP(VALUE(K$1),Questions!$A:$E,5,FALSE),1,0)</f>
        <v>0</v>
      </c>
      <c r="AU105" s="8">
        <f>IF(L105=VLOOKUP(VALUE(L$1),Questions!$A:$E,5,FALSE),1,0)</f>
        <v>1</v>
      </c>
      <c r="AV105" s="8">
        <f>IF(M105=VLOOKUP(VALUE(M$1),Questions!$A:$E,5,FALSE),1,0)</f>
        <v>1</v>
      </c>
      <c r="AW105" s="8">
        <f>IF(N105=VLOOKUP(VALUE(N$1),Questions!$A:$E,5,FALSE),1,0)</f>
        <v>1</v>
      </c>
      <c r="AX105" s="8">
        <f>IF(O105=VLOOKUP(VALUE(O$1),Questions!$A:$E,5,FALSE),1,0)</f>
        <v>1</v>
      </c>
      <c r="AY105" s="8">
        <f>IF(P105=VLOOKUP(VALUE(P$1),Questions!$A:$E,5,FALSE),1,0)</f>
        <v>1</v>
      </c>
      <c r="AZ105" s="8">
        <f>IF(Q105=VLOOKUP(VALUE(Q$1),Questions!$A:$E,5,FALSE),1,0)</f>
        <v>1</v>
      </c>
      <c r="BA105" s="8">
        <f>IF(R105=VLOOKUP(VALUE(R$1),Questions!$A:$E,5,FALSE),1,0)</f>
        <v>1</v>
      </c>
      <c r="BB105" s="8">
        <f>IF(S105=VLOOKUP(VALUE(S$1),Questions!$A:$E,5,FALSE),1,0)</f>
        <v>1</v>
      </c>
      <c r="BC105" s="8">
        <f>IF(T105=VLOOKUP(VALUE(T$1),Questions!$A:$E,5,FALSE),1,0)</f>
        <v>1</v>
      </c>
      <c r="BD105" s="8">
        <f>IF(U105=VLOOKUP(VALUE(U$1),Questions!$A:$E,5,FALSE),1,0)</f>
        <v>1</v>
      </c>
      <c r="BE105" s="8">
        <f>IF(V105=VLOOKUP(VALUE(V$1),Questions!$A:$E,5,FALSE),1,0)</f>
        <v>1</v>
      </c>
      <c r="BF105" s="8">
        <f>IF(W105=VLOOKUP(VALUE(W$1),Questions!$A:$E,5,FALSE),1,0)</f>
        <v>1</v>
      </c>
      <c r="BG105" s="8">
        <f>IF(X105=VLOOKUP(VALUE(X$1),Questions!$A:$E,5,FALSE),1,0)</f>
        <v>1</v>
      </c>
      <c r="BH105" s="8">
        <f>IF(Y105=VLOOKUP(VALUE(Y$1),Questions!$A:$E,5,FALSE),1,0)</f>
        <v>1</v>
      </c>
      <c r="BI105" s="8">
        <f>IF(Z105=VLOOKUP(VALUE(Z$1),Questions!$A:$E,5,FALSE),1,0)</f>
        <v>1</v>
      </c>
      <c r="BJ105" s="8">
        <f>IF(AA105=VLOOKUP(VALUE(AA$1),Questions!$A:$E,5,FALSE),1,0)</f>
        <v>1</v>
      </c>
      <c r="BK105" s="8">
        <f>IF(AB105=VLOOKUP(VALUE(AB$1),Questions!$A:$E,5,FALSE),1,0)</f>
        <v>1</v>
      </c>
      <c r="BL105" s="8">
        <f>IF(AC105=VLOOKUP(VALUE(AC$1),Questions!$A:$E,5,FALSE),1,0)</f>
        <v>1</v>
      </c>
      <c r="BM105" s="8">
        <f>IF(AD105=VLOOKUP(VALUE(AD$1),Questions!$A:$E,5,FALSE),1,0)</f>
        <v>1</v>
      </c>
      <c r="BN105" s="8">
        <f>IF(AE105=VLOOKUP(VALUE(AE$1),Questions!$A:$E,5,FALSE),1,0)</f>
        <v>1</v>
      </c>
      <c r="BO105" s="8">
        <f>IF(AF105=VLOOKUP(VALUE(AF$1),Questions!$A:$E,5,FALSE),1,0)</f>
        <v>1</v>
      </c>
      <c r="BP105" s="8">
        <f>IF(AG105=VLOOKUP(VALUE(AG$1),Questions!$A:$E,5,FALSE),1,0)</f>
        <v>0</v>
      </c>
      <c r="BQ105" s="8">
        <f>IF(AH105=VLOOKUP(VALUE(AH$1),Questions!$A:$E,5,FALSE),1,0)</f>
        <v>1</v>
      </c>
    </row>
  </sheetData>
  <phoneticPr fontId="4" type="noConversion"/>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Q36"/>
  <sheetViews>
    <sheetView topLeftCell="L1" workbookViewId="0">
      <pane ySplit="1" topLeftCell="A2" activePane="bottomLeft" state="frozen"/>
      <selection pane="bottomLeft" activeCell="P17" sqref="P17"/>
    </sheetView>
  </sheetViews>
  <sheetFormatPr baseColWidth="10" defaultColWidth="12.6640625" defaultRowHeight="15.75" customHeight="1" x14ac:dyDescent="0.15"/>
  <cols>
    <col min="1" max="1" width="9.6640625" style="7" customWidth="1"/>
    <col min="2" max="2" width="12.6640625" style="7" customWidth="1"/>
    <col min="3" max="4" width="37.6640625" customWidth="1"/>
    <col min="5" max="5" width="11.33203125" customWidth="1"/>
    <col min="6" max="6" width="37.6640625" customWidth="1"/>
    <col min="7" max="7" width="20.1640625" customWidth="1"/>
    <col min="8" max="8" width="17.83203125" customWidth="1"/>
    <col min="9" max="10" width="25.1640625" customWidth="1"/>
    <col min="11" max="11" width="14.6640625" customWidth="1"/>
    <col min="12" max="12" width="15.5" customWidth="1"/>
  </cols>
  <sheetData>
    <row r="1" spans="1:17" ht="13" customHeight="1" x14ac:dyDescent="0.15">
      <c r="A1" s="7" t="s">
        <v>37</v>
      </c>
      <c r="B1" s="7" t="s">
        <v>38</v>
      </c>
      <c r="C1" t="s">
        <v>39</v>
      </c>
      <c r="D1" t="s">
        <v>40</v>
      </c>
      <c r="E1" t="s">
        <v>41</v>
      </c>
      <c r="F1" t="s">
        <v>42</v>
      </c>
      <c r="G1" t="s">
        <v>43</v>
      </c>
      <c r="H1" t="s">
        <v>44</v>
      </c>
      <c r="I1" t="s">
        <v>45</v>
      </c>
      <c r="J1" t="s">
        <v>46</v>
      </c>
      <c r="K1" t="s">
        <v>47</v>
      </c>
      <c r="L1" t="s">
        <v>48</v>
      </c>
      <c r="M1" t="s">
        <v>49</v>
      </c>
      <c r="N1" t="s">
        <v>50</v>
      </c>
      <c r="O1" t="s">
        <v>51</v>
      </c>
      <c r="P1" t="s">
        <v>52</v>
      </c>
      <c r="Q1" s="9" t="s">
        <v>833</v>
      </c>
    </row>
    <row r="2" spans="1:17" ht="13" customHeight="1" x14ac:dyDescent="0.15">
      <c r="A2" s="7">
        <v>1</v>
      </c>
      <c r="B2" s="7" t="s">
        <v>53</v>
      </c>
      <c r="C2" t="s">
        <v>54</v>
      </c>
      <c r="D2" t="s">
        <v>55</v>
      </c>
      <c r="E2">
        <v>4</v>
      </c>
      <c r="F2" t="s">
        <v>56</v>
      </c>
      <c r="G2" t="s">
        <v>57</v>
      </c>
      <c r="H2" t="s">
        <v>58</v>
      </c>
      <c r="I2" t="s">
        <v>59</v>
      </c>
      <c r="J2" t="s">
        <v>60</v>
      </c>
      <c r="K2" t="s">
        <v>61</v>
      </c>
      <c r="L2" t="s">
        <v>62</v>
      </c>
      <c r="M2" t="s">
        <v>63</v>
      </c>
      <c r="N2" t="s">
        <v>64</v>
      </c>
      <c r="O2" t="s">
        <v>65</v>
      </c>
      <c r="P2" t="s">
        <v>56</v>
      </c>
      <c r="Q2" s="10">
        <f>AVERAGE(INDEX(Scores[#Data],0,MATCH("Q"&amp;$A2,Scores[#Headers],0)))</f>
        <v>0.71153846153846156</v>
      </c>
    </row>
    <row r="3" spans="1:17" ht="13" customHeight="1" x14ac:dyDescent="0.15">
      <c r="A3" s="7">
        <v>2</v>
      </c>
      <c r="B3" s="7" t="s">
        <v>53</v>
      </c>
      <c r="C3" t="s">
        <v>54</v>
      </c>
      <c r="D3" t="s">
        <v>66</v>
      </c>
      <c r="E3">
        <v>1</v>
      </c>
      <c r="F3" t="s">
        <v>67</v>
      </c>
      <c r="G3" t="s">
        <v>57</v>
      </c>
      <c r="H3" t="s">
        <v>58</v>
      </c>
      <c r="I3" t="s">
        <v>68</v>
      </c>
      <c r="J3" t="s">
        <v>60</v>
      </c>
      <c r="K3" t="s">
        <v>61</v>
      </c>
      <c r="L3" t="s">
        <v>69</v>
      </c>
      <c r="M3" t="s">
        <v>67</v>
      </c>
      <c r="N3" t="s">
        <v>70</v>
      </c>
      <c r="O3" t="s">
        <v>71</v>
      </c>
      <c r="P3" t="s">
        <v>72</v>
      </c>
      <c r="Q3" s="10">
        <f>AVERAGE(INDEX(Scores[#Data],0,MATCH("Q"&amp;$A3,Scores[#Headers],0)))</f>
        <v>0.70192307692307687</v>
      </c>
    </row>
    <row r="4" spans="1:17" ht="13" customHeight="1" x14ac:dyDescent="0.15">
      <c r="A4" s="7">
        <v>3</v>
      </c>
      <c r="B4" s="7" t="s">
        <v>53</v>
      </c>
      <c r="C4" t="s">
        <v>73</v>
      </c>
      <c r="D4" t="s">
        <v>74</v>
      </c>
      <c r="E4">
        <v>3</v>
      </c>
      <c r="F4" t="s">
        <v>75</v>
      </c>
      <c r="G4" t="s">
        <v>57</v>
      </c>
      <c r="H4" t="s">
        <v>76</v>
      </c>
      <c r="I4" t="s">
        <v>77</v>
      </c>
      <c r="J4" t="s">
        <v>78</v>
      </c>
      <c r="K4" t="s">
        <v>79</v>
      </c>
      <c r="L4" t="s">
        <v>69</v>
      </c>
      <c r="M4" t="s">
        <v>80</v>
      </c>
      <c r="N4" t="s">
        <v>81</v>
      </c>
      <c r="O4" t="s">
        <v>75</v>
      </c>
      <c r="P4" t="s">
        <v>82</v>
      </c>
      <c r="Q4" s="10">
        <f>AVERAGE(INDEX(Scores[#Data],0,MATCH("Q"&amp;$A4,Scores[#Headers],0)))</f>
        <v>0.80769230769230771</v>
      </c>
    </row>
    <row r="5" spans="1:17" ht="13" customHeight="1" x14ac:dyDescent="0.15">
      <c r="A5" s="7">
        <v>4</v>
      </c>
      <c r="B5" s="7" t="s">
        <v>53</v>
      </c>
      <c r="C5" t="s">
        <v>73</v>
      </c>
      <c r="D5" t="s">
        <v>83</v>
      </c>
      <c r="E5">
        <v>2</v>
      </c>
      <c r="F5" t="s">
        <v>84</v>
      </c>
      <c r="G5" t="s">
        <v>57</v>
      </c>
      <c r="H5" t="s">
        <v>76</v>
      </c>
      <c r="I5" t="s">
        <v>59</v>
      </c>
      <c r="J5" t="s">
        <v>60</v>
      </c>
      <c r="K5" t="s">
        <v>79</v>
      </c>
      <c r="L5" t="s">
        <v>62</v>
      </c>
      <c r="M5" t="s">
        <v>85</v>
      </c>
      <c r="N5" t="s">
        <v>84</v>
      </c>
      <c r="O5" t="s">
        <v>86</v>
      </c>
      <c r="P5" t="s">
        <v>87</v>
      </c>
      <c r="Q5" s="10">
        <f>AVERAGE(INDEX(Scores[#Data],0,MATCH("Q"&amp;$A5,Scores[#Headers],0)))</f>
        <v>0.83653846153846156</v>
      </c>
    </row>
    <row r="6" spans="1:17" ht="13" customHeight="1" x14ac:dyDescent="0.15">
      <c r="A6" s="7">
        <v>5</v>
      </c>
      <c r="B6" s="7" t="s">
        <v>53</v>
      </c>
      <c r="C6" t="s">
        <v>88</v>
      </c>
      <c r="D6" t="s">
        <v>89</v>
      </c>
      <c r="E6">
        <v>1</v>
      </c>
      <c r="F6" t="s">
        <v>90</v>
      </c>
      <c r="G6" t="s">
        <v>91</v>
      </c>
      <c r="H6" t="s">
        <v>58</v>
      </c>
      <c r="I6" t="s">
        <v>92</v>
      </c>
      <c r="J6" t="s">
        <v>93</v>
      </c>
      <c r="K6" t="s">
        <v>94</v>
      </c>
      <c r="L6" t="s">
        <v>69</v>
      </c>
      <c r="M6" t="s">
        <v>90</v>
      </c>
      <c r="N6" t="s">
        <v>95</v>
      </c>
      <c r="O6" t="s">
        <v>96</v>
      </c>
      <c r="P6" t="s">
        <v>97</v>
      </c>
      <c r="Q6" s="10">
        <f>AVERAGE(INDEX(Scores[#Data],0,MATCH("Q"&amp;$A6,Scores[#Headers],0)))</f>
        <v>0.57692307692307687</v>
      </c>
    </row>
    <row r="7" spans="1:17" ht="13" customHeight="1" x14ac:dyDescent="0.15">
      <c r="A7" s="7">
        <v>6</v>
      </c>
      <c r="B7" s="7" t="s">
        <v>53</v>
      </c>
      <c r="C7" t="s">
        <v>88</v>
      </c>
      <c r="D7" t="s">
        <v>98</v>
      </c>
      <c r="E7">
        <v>3</v>
      </c>
      <c r="F7" t="s">
        <v>99</v>
      </c>
      <c r="G7" t="s">
        <v>91</v>
      </c>
      <c r="H7" t="s">
        <v>58</v>
      </c>
      <c r="I7" t="s">
        <v>100</v>
      </c>
      <c r="J7" t="s">
        <v>60</v>
      </c>
      <c r="K7" t="s">
        <v>94</v>
      </c>
      <c r="L7" t="s">
        <v>62</v>
      </c>
      <c r="M7" t="s">
        <v>101</v>
      </c>
      <c r="N7" t="s">
        <v>102</v>
      </c>
      <c r="O7" t="s">
        <v>99</v>
      </c>
      <c r="P7" t="s">
        <v>103</v>
      </c>
      <c r="Q7" s="10">
        <f>AVERAGE(INDEX(Scores[#Data],0,MATCH("Q"&amp;$A7,Scores[#Headers],0)))</f>
        <v>0.50961538461538458</v>
      </c>
    </row>
    <row r="8" spans="1:17" ht="13" customHeight="1" x14ac:dyDescent="0.15">
      <c r="A8" s="7">
        <v>7</v>
      </c>
      <c r="B8" s="7" t="s">
        <v>53</v>
      </c>
      <c r="C8" t="s">
        <v>104</v>
      </c>
      <c r="D8" t="s">
        <v>105</v>
      </c>
      <c r="E8">
        <v>2</v>
      </c>
      <c r="F8" t="s">
        <v>106</v>
      </c>
      <c r="G8" t="s">
        <v>57</v>
      </c>
      <c r="H8" t="s">
        <v>58</v>
      </c>
      <c r="I8" t="s">
        <v>68</v>
      </c>
      <c r="J8" t="s">
        <v>60</v>
      </c>
      <c r="K8" t="s">
        <v>107</v>
      </c>
      <c r="L8" t="s">
        <v>69</v>
      </c>
      <c r="M8" t="s">
        <v>108</v>
      </c>
      <c r="N8" t="s">
        <v>109</v>
      </c>
      <c r="O8" t="s">
        <v>110</v>
      </c>
      <c r="P8" t="s">
        <v>111</v>
      </c>
      <c r="Q8" s="10">
        <f>AVERAGE(INDEX(Scores[#Data],0,MATCH("Q"&amp;$A8,Scores[#Headers],0)))</f>
        <v>0.73076923076923073</v>
      </c>
    </row>
    <row r="9" spans="1:17" ht="13" customHeight="1" x14ac:dyDescent="0.15">
      <c r="A9" s="7">
        <v>8</v>
      </c>
      <c r="B9" s="7" t="s">
        <v>53</v>
      </c>
      <c r="C9" t="s">
        <v>104</v>
      </c>
      <c r="D9" t="s">
        <v>112</v>
      </c>
      <c r="E9">
        <v>3</v>
      </c>
      <c r="F9" t="s">
        <v>113</v>
      </c>
      <c r="G9" t="s">
        <v>57</v>
      </c>
      <c r="H9" t="s">
        <v>58</v>
      </c>
      <c r="I9" t="s">
        <v>114</v>
      </c>
      <c r="J9" t="s">
        <v>93</v>
      </c>
      <c r="K9" t="s">
        <v>107</v>
      </c>
      <c r="L9" t="s">
        <v>62</v>
      </c>
      <c r="M9" t="s">
        <v>115</v>
      </c>
      <c r="N9" t="s">
        <v>116</v>
      </c>
      <c r="O9" t="s">
        <v>117</v>
      </c>
      <c r="P9" t="s">
        <v>118</v>
      </c>
      <c r="Q9" s="10">
        <f>AVERAGE(INDEX(Scores[#Data],0,MATCH("Q"&amp;$A9,Scores[#Headers],0)))</f>
        <v>0.59615384615384615</v>
      </c>
    </row>
    <row r="10" spans="1:17" ht="13" customHeight="1" x14ac:dyDescent="0.15">
      <c r="A10" s="7">
        <v>9</v>
      </c>
      <c r="B10" s="7" t="s">
        <v>53</v>
      </c>
      <c r="C10" t="s">
        <v>119</v>
      </c>
      <c r="D10" t="s">
        <v>120</v>
      </c>
      <c r="E10">
        <v>1</v>
      </c>
      <c r="F10" t="s">
        <v>121</v>
      </c>
      <c r="G10" t="s">
        <v>122</v>
      </c>
      <c r="H10" t="s">
        <v>76</v>
      </c>
      <c r="I10" t="s">
        <v>123</v>
      </c>
      <c r="J10" t="s">
        <v>60</v>
      </c>
      <c r="K10" t="s">
        <v>124</v>
      </c>
      <c r="L10" t="s">
        <v>62</v>
      </c>
      <c r="M10" t="s">
        <v>121</v>
      </c>
      <c r="N10" t="s">
        <v>125</v>
      </c>
      <c r="O10" t="s">
        <v>126</v>
      </c>
      <c r="P10" t="s">
        <v>127</v>
      </c>
      <c r="Q10" s="10">
        <f>AVERAGE(INDEX(Scores[#Data],0,MATCH("Q"&amp;$A10,Scores[#Headers],0)))</f>
        <v>0.74038461538461542</v>
      </c>
    </row>
    <row r="11" spans="1:17" ht="13" customHeight="1" x14ac:dyDescent="0.15">
      <c r="A11" s="7">
        <v>10</v>
      </c>
      <c r="B11" s="7" t="s">
        <v>53</v>
      </c>
      <c r="C11" t="s">
        <v>119</v>
      </c>
      <c r="D11" t="s">
        <v>128</v>
      </c>
      <c r="E11">
        <v>3</v>
      </c>
      <c r="F11" t="s">
        <v>129</v>
      </c>
      <c r="G11" t="s">
        <v>122</v>
      </c>
      <c r="H11" t="s">
        <v>76</v>
      </c>
      <c r="I11" t="s">
        <v>123</v>
      </c>
      <c r="J11" t="s">
        <v>60</v>
      </c>
      <c r="K11" t="s">
        <v>124</v>
      </c>
      <c r="L11" t="s">
        <v>62</v>
      </c>
      <c r="M11" t="s">
        <v>130</v>
      </c>
      <c r="N11" t="s">
        <v>131</v>
      </c>
      <c r="O11" t="s">
        <v>129</v>
      </c>
      <c r="P11" t="s">
        <v>132</v>
      </c>
      <c r="Q11" s="10">
        <f>AVERAGE(INDEX(Scores[#Data],0,MATCH("Q"&amp;$A11,Scores[#Headers],0)))</f>
        <v>0.43269230769230771</v>
      </c>
    </row>
    <row r="12" spans="1:17" ht="13" customHeight="1" x14ac:dyDescent="0.15">
      <c r="A12" s="7">
        <v>11</v>
      </c>
      <c r="B12" s="7" t="s">
        <v>53</v>
      </c>
      <c r="C12" t="s">
        <v>133</v>
      </c>
      <c r="D12" t="s">
        <v>134</v>
      </c>
      <c r="E12">
        <v>1</v>
      </c>
      <c r="F12" t="s">
        <v>135</v>
      </c>
      <c r="G12" t="s">
        <v>91</v>
      </c>
      <c r="H12" t="s">
        <v>58</v>
      </c>
      <c r="I12" t="s">
        <v>100</v>
      </c>
      <c r="J12" t="s">
        <v>60</v>
      </c>
      <c r="K12" t="s">
        <v>136</v>
      </c>
      <c r="L12" t="s">
        <v>62</v>
      </c>
      <c r="M12" t="s">
        <v>135</v>
      </c>
      <c r="N12" t="s">
        <v>137</v>
      </c>
      <c r="O12" t="s">
        <v>138</v>
      </c>
      <c r="P12" t="s">
        <v>139</v>
      </c>
      <c r="Q12" s="10">
        <f>AVERAGE(INDEX(Scores[#Data],0,MATCH("Q"&amp;$A12,Scores[#Headers],0)))</f>
        <v>0.84615384615384615</v>
      </c>
    </row>
    <row r="13" spans="1:17" ht="13" customHeight="1" x14ac:dyDescent="0.15">
      <c r="A13" s="7">
        <v>12</v>
      </c>
      <c r="B13" s="7" t="s">
        <v>53</v>
      </c>
      <c r="C13" t="s">
        <v>133</v>
      </c>
      <c r="D13" t="s">
        <v>140</v>
      </c>
      <c r="E13">
        <v>4</v>
      </c>
      <c r="F13" t="s">
        <v>141</v>
      </c>
      <c r="G13" t="s">
        <v>91</v>
      </c>
      <c r="H13" t="s">
        <v>58</v>
      </c>
      <c r="I13" t="s">
        <v>92</v>
      </c>
      <c r="J13" t="s">
        <v>93</v>
      </c>
      <c r="K13" t="s">
        <v>136</v>
      </c>
      <c r="L13" t="s">
        <v>69</v>
      </c>
      <c r="M13" t="s">
        <v>142</v>
      </c>
      <c r="N13" t="s">
        <v>143</v>
      </c>
      <c r="O13" t="s">
        <v>144</v>
      </c>
      <c r="P13" t="s">
        <v>141</v>
      </c>
      <c r="Q13" s="10">
        <f>AVERAGE(INDEX(Scores[#Data],0,MATCH("Q"&amp;$A13,Scores[#Headers],0)))</f>
        <v>0.72115384615384615</v>
      </c>
    </row>
    <row r="14" spans="1:17" ht="13" customHeight="1" x14ac:dyDescent="0.15">
      <c r="A14" s="7">
        <v>13</v>
      </c>
      <c r="B14" s="7" t="s">
        <v>53</v>
      </c>
      <c r="C14" t="s">
        <v>145</v>
      </c>
      <c r="D14" t="s">
        <v>146</v>
      </c>
      <c r="E14">
        <v>2</v>
      </c>
      <c r="F14" t="s">
        <v>147</v>
      </c>
      <c r="G14" t="s">
        <v>122</v>
      </c>
      <c r="H14" t="s">
        <v>76</v>
      </c>
      <c r="I14" t="s">
        <v>68</v>
      </c>
      <c r="J14" t="s">
        <v>60</v>
      </c>
      <c r="K14" t="s">
        <v>148</v>
      </c>
      <c r="L14" t="s">
        <v>69</v>
      </c>
      <c r="M14" t="s">
        <v>149</v>
      </c>
      <c r="N14" t="s">
        <v>147</v>
      </c>
      <c r="O14" t="s">
        <v>150</v>
      </c>
      <c r="P14" t="s">
        <v>151</v>
      </c>
      <c r="Q14" s="10">
        <f>AVERAGE(INDEX(Scores[#Data],0,MATCH("Q"&amp;$A14,Scores[#Headers],0)))</f>
        <v>0.5</v>
      </c>
    </row>
    <row r="15" spans="1:17" ht="13" customHeight="1" x14ac:dyDescent="0.15">
      <c r="A15" s="7">
        <v>14</v>
      </c>
      <c r="B15" s="7" t="s">
        <v>53</v>
      </c>
      <c r="C15" t="s">
        <v>145</v>
      </c>
      <c r="D15" t="s">
        <v>152</v>
      </c>
      <c r="E15">
        <v>2</v>
      </c>
      <c r="F15" t="s">
        <v>153</v>
      </c>
      <c r="G15" t="s">
        <v>122</v>
      </c>
      <c r="H15" t="s">
        <v>76</v>
      </c>
      <c r="I15" t="s">
        <v>92</v>
      </c>
      <c r="J15" t="s">
        <v>93</v>
      </c>
      <c r="K15" t="s">
        <v>154</v>
      </c>
      <c r="L15" t="s">
        <v>69</v>
      </c>
      <c r="M15" t="s">
        <v>155</v>
      </c>
      <c r="N15" t="s">
        <v>153</v>
      </c>
      <c r="O15" t="s">
        <v>156</v>
      </c>
      <c r="P15" t="s">
        <v>157</v>
      </c>
      <c r="Q15" s="10">
        <f>AVERAGE(INDEX(Scores[#Data],0,MATCH("Q"&amp;$A15,Scores[#Headers],0)))</f>
        <v>0.58653846153846156</v>
      </c>
    </row>
    <row r="16" spans="1:17" ht="13" customHeight="1" x14ac:dyDescent="0.15">
      <c r="A16" s="7">
        <v>15</v>
      </c>
      <c r="B16" s="7" t="s">
        <v>53</v>
      </c>
      <c r="C16" t="s">
        <v>158</v>
      </c>
      <c r="D16" t="s">
        <v>159</v>
      </c>
      <c r="E16">
        <v>4</v>
      </c>
      <c r="F16" t="s">
        <v>160</v>
      </c>
      <c r="G16" t="s">
        <v>57</v>
      </c>
      <c r="H16" t="s">
        <v>76</v>
      </c>
      <c r="I16" t="s">
        <v>161</v>
      </c>
      <c r="J16" t="s">
        <v>78</v>
      </c>
      <c r="K16" t="s">
        <v>162</v>
      </c>
      <c r="L16" t="s">
        <v>69</v>
      </c>
      <c r="M16" t="s">
        <v>163</v>
      </c>
      <c r="N16" t="s">
        <v>164</v>
      </c>
      <c r="O16" t="s">
        <v>165</v>
      </c>
      <c r="P16" t="s">
        <v>160</v>
      </c>
      <c r="Q16" s="10">
        <f>AVERAGE(INDEX(Scores[#Data],0,MATCH("Q"&amp;$A16,Scores[#Headers],0)))</f>
        <v>0.64423076923076927</v>
      </c>
    </row>
    <row r="17" spans="1:17" ht="13" customHeight="1" x14ac:dyDescent="0.15">
      <c r="A17" s="7">
        <v>16</v>
      </c>
      <c r="B17" s="7" t="s">
        <v>53</v>
      </c>
      <c r="C17" t="s">
        <v>158</v>
      </c>
      <c r="D17" t="s">
        <v>166</v>
      </c>
      <c r="E17">
        <v>3</v>
      </c>
      <c r="F17" t="s">
        <v>167</v>
      </c>
      <c r="G17" t="s">
        <v>57</v>
      </c>
      <c r="H17" t="s">
        <v>76</v>
      </c>
      <c r="I17" t="s">
        <v>68</v>
      </c>
      <c r="J17" t="s">
        <v>60</v>
      </c>
      <c r="K17" t="s">
        <v>162</v>
      </c>
      <c r="L17" t="s">
        <v>62</v>
      </c>
      <c r="M17" t="s">
        <v>168</v>
      </c>
      <c r="N17" t="s">
        <v>169</v>
      </c>
      <c r="O17" t="s">
        <v>167</v>
      </c>
      <c r="P17" t="s">
        <v>170</v>
      </c>
      <c r="Q17" s="10">
        <f>AVERAGE(INDEX(Scores[#Data],0,MATCH("Q"&amp;$A17,Scores[#Headers],0)))</f>
        <v>0.68269230769230771</v>
      </c>
    </row>
    <row r="18" spans="1:17" ht="13" customHeight="1" x14ac:dyDescent="0.15">
      <c r="A18" s="7">
        <v>17</v>
      </c>
      <c r="B18" s="7" t="s">
        <v>53</v>
      </c>
      <c r="C18" t="s">
        <v>171</v>
      </c>
      <c r="D18" t="s">
        <v>172</v>
      </c>
      <c r="E18">
        <v>4</v>
      </c>
      <c r="F18" t="s">
        <v>173</v>
      </c>
      <c r="G18" t="s">
        <v>57</v>
      </c>
      <c r="H18" t="s">
        <v>76</v>
      </c>
      <c r="I18" t="s">
        <v>59</v>
      </c>
      <c r="J18" t="s">
        <v>60</v>
      </c>
      <c r="K18" t="s">
        <v>174</v>
      </c>
      <c r="L18" t="s">
        <v>62</v>
      </c>
      <c r="M18" t="s">
        <v>175</v>
      </c>
      <c r="N18" t="s">
        <v>176</v>
      </c>
      <c r="O18" t="s">
        <v>177</v>
      </c>
      <c r="P18" t="s">
        <v>173</v>
      </c>
      <c r="Q18" s="10">
        <f>AVERAGE(INDEX(Scores[#Data],0,MATCH("Q"&amp;$A18,Scores[#Headers],0)))</f>
        <v>0.66346153846153844</v>
      </c>
    </row>
    <row r="19" spans="1:17" ht="13" customHeight="1" x14ac:dyDescent="0.15">
      <c r="A19" s="7">
        <v>18</v>
      </c>
      <c r="B19" s="7" t="s">
        <v>53</v>
      </c>
      <c r="C19" t="s">
        <v>171</v>
      </c>
      <c r="D19" t="s">
        <v>178</v>
      </c>
      <c r="E19">
        <v>3</v>
      </c>
      <c r="F19" t="s">
        <v>179</v>
      </c>
      <c r="G19" t="s">
        <v>57</v>
      </c>
      <c r="H19" t="s">
        <v>76</v>
      </c>
      <c r="I19" t="s">
        <v>123</v>
      </c>
      <c r="J19" t="s">
        <v>60</v>
      </c>
      <c r="K19" t="s">
        <v>174</v>
      </c>
      <c r="L19" t="s">
        <v>62</v>
      </c>
      <c r="M19" t="s">
        <v>180</v>
      </c>
      <c r="N19" t="s">
        <v>181</v>
      </c>
      <c r="O19" t="s">
        <v>179</v>
      </c>
      <c r="P19" t="s">
        <v>182</v>
      </c>
      <c r="Q19" s="10">
        <f>AVERAGE(INDEX(Scores[#Data],0,MATCH("Q"&amp;$A19,Scores[#Headers],0)))</f>
        <v>0.58653846153846156</v>
      </c>
    </row>
    <row r="20" spans="1:17" ht="13" customHeight="1" x14ac:dyDescent="0.15">
      <c r="A20" s="7">
        <v>19</v>
      </c>
      <c r="B20" s="7" t="s">
        <v>53</v>
      </c>
      <c r="C20" t="s">
        <v>183</v>
      </c>
      <c r="D20" t="s">
        <v>184</v>
      </c>
      <c r="E20">
        <v>1</v>
      </c>
      <c r="F20" t="s">
        <v>185</v>
      </c>
      <c r="G20" t="s">
        <v>57</v>
      </c>
      <c r="H20" t="s">
        <v>76</v>
      </c>
      <c r="I20" t="s">
        <v>68</v>
      </c>
      <c r="J20" t="s">
        <v>60</v>
      </c>
      <c r="K20" t="s">
        <v>186</v>
      </c>
      <c r="L20" t="s">
        <v>62</v>
      </c>
      <c r="M20" t="s">
        <v>185</v>
      </c>
      <c r="N20" t="s">
        <v>187</v>
      </c>
      <c r="O20" t="s">
        <v>188</v>
      </c>
      <c r="P20" t="s">
        <v>189</v>
      </c>
      <c r="Q20" s="10">
        <f>AVERAGE(INDEX(Scores[#Data],0,MATCH("Q"&amp;$A20,Scores[#Headers],0)))</f>
        <v>0.74038461538461542</v>
      </c>
    </row>
    <row r="21" spans="1:17" ht="13" customHeight="1" x14ac:dyDescent="0.15">
      <c r="A21" s="7">
        <v>20</v>
      </c>
      <c r="B21" s="7" t="s">
        <v>53</v>
      </c>
      <c r="C21" t="s">
        <v>183</v>
      </c>
      <c r="D21" t="s">
        <v>190</v>
      </c>
      <c r="E21">
        <v>3</v>
      </c>
      <c r="F21" t="s">
        <v>191</v>
      </c>
      <c r="G21" t="s">
        <v>57</v>
      </c>
      <c r="H21" t="s">
        <v>76</v>
      </c>
      <c r="I21" t="s">
        <v>192</v>
      </c>
      <c r="J21" t="s">
        <v>93</v>
      </c>
      <c r="K21" t="s">
        <v>186</v>
      </c>
      <c r="L21" t="s">
        <v>69</v>
      </c>
      <c r="M21" t="s">
        <v>193</v>
      </c>
      <c r="N21" t="s">
        <v>194</v>
      </c>
      <c r="O21" t="s">
        <v>191</v>
      </c>
      <c r="P21" t="s">
        <v>195</v>
      </c>
      <c r="Q21" s="10">
        <f>AVERAGE(INDEX(Scores[#Data],0,MATCH("Q"&amp;$A21,Scores[#Headers],0)))</f>
        <v>0.73076923076923073</v>
      </c>
    </row>
    <row r="22" spans="1:17" ht="13" customHeight="1" x14ac:dyDescent="0.15">
      <c r="A22" s="7">
        <v>21</v>
      </c>
      <c r="B22" s="7" t="s">
        <v>53</v>
      </c>
      <c r="C22" t="s">
        <v>196</v>
      </c>
      <c r="D22" t="s">
        <v>197</v>
      </c>
      <c r="E22">
        <v>4</v>
      </c>
      <c r="F22" t="s">
        <v>198</v>
      </c>
      <c r="G22" t="s">
        <v>57</v>
      </c>
      <c r="H22" t="s">
        <v>58</v>
      </c>
      <c r="I22" t="s">
        <v>199</v>
      </c>
      <c r="J22" t="s">
        <v>60</v>
      </c>
      <c r="K22" t="s">
        <v>200</v>
      </c>
      <c r="L22" t="s">
        <v>69</v>
      </c>
      <c r="M22" t="s">
        <v>201</v>
      </c>
      <c r="N22" t="s">
        <v>202</v>
      </c>
      <c r="O22" t="s">
        <v>203</v>
      </c>
      <c r="P22" t="s">
        <v>204</v>
      </c>
      <c r="Q22" s="10">
        <f>AVERAGE(INDEX(Scores[#Data],0,MATCH("Q"&amp;$A22,Scores[#Headers],0)))</f>
        <v>0.64423076923076927</v>
      </c>
    </row>
    <row r="23" spans="1:17" ht="13" customHeight="1" x14ac:dyDescent="0.15">
      <c r="A23" s="7">
        <v>22</v>
      </c>
      <c r="B23" s="7" t="s">
        <v>53</v>
      </c>
      <c r="C23" t="s">
        <v>196</v>
      </c>
      <c r="D23" t="s">
        <v>205</v>
      </c>
      <c r="E23">
        <v>2</v>
      </c>
      <c r="F23" t="s">
        <v>206</v>
      </c>
      <c r="G23" t="s">
        <v>57</v>
      </c>
      <c r="H23" t="s">
        <v>58</v>
      </c>
      <c r="I23" t="s">
        <v>68</v>
      </c>
      <c r="J23" t="s">
        <v>60</v>
      </c>
      <c r="K23" t="s">
        <v>200</v>
      </c>
      <c r="L23" t="s">
        <v>69</v>
      </c>
      <c r="M23" t="s">
        <v>207</v>
      </c>
      <c r="N23" t="s">
        <v>206</v>
      </c>
      <c r="O23" t="s">
        <v>208</v>
      </c>
      <c r="P23" t="s">
        <v>209</v>
      </c>
      <c r="Q23" s="10">
        <f>AVERAGE(INDEX(Scores[#Data],0,MATCH("Q"&amp;$A23,Scores[#Headers],0)))</f>
        <v>0.74038461538461542</v>
      </c>
    </row>
    <row r="24" spans="1:17" ht="13" customHeight="1" x14ac:dyDescent="0.15">
      <c r="A24" s="7">
        <v>23</v>
      </c>
      <c r="B24" s="7" t="s">
        <v>53</v>
      </c>
      <c r="C24" t="s">
        <v>210</v>
      </c>
      <c r="D24" t="s">
        <v>211</v>
      </c>
      <c r="E24">
        <v>2</v>
      </c>
      <c r="F24" t="s">
        <v>212</v>
      </c>
      <c r="G24" t="s">
        <v>57</v>
      </c>
      <c r="H24" t="s">
        <v>76</v>
      </c>
      <c r="I24" t="s">
        <v>68</v>
      </c>
      <c r="J24" t="s">
        <v>60</v>
      </c>
      <c r="K24" t="s">
        <v>213</v>
      </c>
      <c r="L24" t="s">
        <v>69</v>
      </c>
      <c r="M24" t="s">
        <v>214</v>
      </c>
      <c r="N24" t="s">
        <v>212</v>
      </c>
      <c r="O24" t="s">
        <v>215</v>
      </c>
      <c r="P24" t="s">
        <v>216</v>
      </c>
      <c r="Q24" s="10">
        <f>AVERAGE(INDEX(Scores[#Data],0,MATCH("Q"&amp;$A24,Scores[#Headers],0)))</f>
        <v>0.45192307692307693</v>
      </c>
    </row>
    <row r="25" spans="1:17" ht="13" customHeight="1" x14ac:dyDescent="0.15">
      <c r="A25" s="7">
        <v>24</v>
      </c>
      <c r="B25" s="7" t="s">
        <v>53</v>
      </c>
      <c r="C25" t="s">
        <v>210</v>
      </c>
      <c r="D25" t="s">
        <v>217</v>
      </c>
      <c r="E25">
        <v>3</v>
      </c>
      <c r="F25" t="s">
        <v>218</v>
      </c>
      <c r="G25" t="s">
        <v>57</v>
      </c>
      <c r="H25" t="s">
        <v>76</v>
      </c>
      <c r="I25" t="s">
        <v>192</v>
      </c>
      <c r="J25" t="s">
        <v>93</v>
      </c>
      <c r="K25" t="s">
        <v>219</v>
      </c>
      <c r="L25" t="s">
        <v>69</v>
      </c>
      <c r="M25" t="s">
        <v>220</v>
      </c>
      <c r="N25" t="s">
        <v>221</v>
      </c>
      <c r="O25" t="s">
        <v>218</v>
      </c>
      <c r="P25" t="s">
        <v>222</v>
      </c>
      <c r="Q25" s="10">
        <f>AVERAGE(INDEX(Scores[#Data],0,MATCH("Q"&amp;$A25,Scores[#Headers],0)))</f>
        <v>0.72115384615384615</v>
      </c>
    </row>
    <row r="26" spans="1:17" ht="13" customHeight="1" x14ac:dyDescent="0.15">
      <c r="A26" s="7">
        <v>25</v>
      </c>
      <c r="B26" s="7" t="s">
        <v>53</v>
      </c>
      <c r="C26" t="s">
        <v>223</v>
      </c>
      <c r="D26" t="s">
        <v>224</v>
      </c>
      <c r="E26">
        <v>2</v>
      </c>
      <c r="F26" t="s">
        <v>225</v>
      </c>
      <c r="G26" t="s">
        <v>91</v>
      </c>
      <c r="H26" t="s">
        <v>58</v>
      </c>
      <c r="I26" t="s">
        <v>100</v>
      </c>
      <c r="J26" t="s">
        <v>60</v>
      </c>
      <c r="K26" t="s">
        <v>124</v>
      </c>
      <c r="L26" t="s">
        <v>62</v>
      </c>
      <c r="M26" t="s">
        <v>226</v>
      </c>
      <c r="N26" t="s">
        <v>225</v>
      </c>
      <c r="O26" t="s">
        <v>227</v>
      </c>
      <c r="P26" t="s">
        <v>228</v>
      </c>
      <c r="Q26" s="10">
        <f>AVERAGE(INDEX(Scores[#Data],0,MATCH("Q"&amp;$A26,Scores[#Headers],0)))</f>
        <v>0.47115384615384615</v>
      </c>
    </row>
    <row r="27" spans="1:17" ht="13" customHeight="1" x14ac:dyDescent="0.15">
      <c r="A27" s="7">
        <v>26</v>
      </c>
      <c r="B27" s="7" t="s">
        <v>53</v>
      </c>
      <c r="C27" t="s">
        <v>229</v>
      </c>
      <c r="D27" t="s">
        <v>230</v>
      </c>
      <c r="E27">
        <v>4</v>
      </c>
      <c r="F27" t="s">
        <v>231</v>
      </c>
      <c r="G27" t="s">
        <v>57</v>
      </c>
      <c r="H27" t="s">
        <v>58</v>
      </c>
      <c r="I27" t="s">
        <v>59</v>
      </c>
      <c r="J27" t="s">
        <v>60</v>
      </c>
      <c r="K27" t="s">
        <v>232</v>
      </c>
      <c r="L27" t="s">
        <v>62</v>
      </c>
      <c r="M27" t="s">
        <v>233</v>
      </c>
      <c r="N27" t="s">
        <v>234</v>
      </c>
      <c r="O27" t="s">
        <v>235</v>
      </c>
      <c r="P27" t="s">
        <v>231</v>
      </c>
      <c r="Q27" s="10">
        <f>AVERAGE(INDEX(Scores[#Data],0,MATCH("Q"&amp;$A27,Scores[#Headers],0)))</f>
        <v>0.625</v>
      </c>
    </row>
    <row r="28" spans="1:17" ht="13" customHeight="1" x14ac:dyDescent="0.15">
      <c r="A28" s="7">
        <v>27</v>
      </c>
      <c r="B28" s="7" t="s">
        <v>53</v>
      </c>
      <c r="C28" t="s">
        <v>236</v>
      </c>
      <c r="D28" t="s">
        <v>237</v>
      </c>
      <c r="E28">
        <v>1</v>
      </c>
      <c r="F28" t="s">
        <v>238</v>
      </c>
      <c r="G28" t="s">
        <v>57</v>
      </c>
      <c r="H28" t="s">
        <v>76</v>
      </c>
      <c r="I28" t="s">
        <v>239</v>
      </c>
      <c r="J28" t="s">
        <v>60</v>
      </c>
      <c r="K28" t="s">
        <v>240</v>
      </c>
      <c r="L28" t="s">
        <v>62</v>
      </c>
      <c r="M28" t="s">
        <v>241</v>
      </c>
      <c r="N28" t="s">
        <v>242</v>
      </c>
      <c r="O28" t="s">
        <v>243</v>
      </c>
      <c r="P28" t="s">
        <v>244</v>
      </c>
      <c r="Q28" s="10">
        <f>AVERAGE(INDEX(Scores[#Data],0,MATCH("Q"&amp;$A28,Scores[#Headers],0)))</f>
        <v>0.32692307692307693</v>
      </c>
    </row>
    <row r="29" spans="1:17" ht="13" customHeight="1" x14ac:dyDescent="0.15">
      <c r="A29" s="7">
        <v>28</v>
      </c>
      <c r="B29" s="7" t="s">
        <v>53</v>
      </c>
      <c r="C29" t="s">
        <v>236</v>
      </c>
      <c r="D29" t="s">
        <v>245</v>
      </c>
      <c r="E29">
        <v>2</v>
      </c>
      <c r="F29" t="s">
        <v>246</v>
      </c>
      <c r="G29" t="s">
        <v>57</v>
      </c>
      <c r="H29" t="s">
        <v>76</v>
      </c>
      <c r="I29" t="s">
        <v>161</v>
      </c>
      <c r="J29" t="s">
        <v>78</v>
      </c>
      <c r="K29" t="s">
        <v>240</v>
      </c>
      <c r="L29" t="s">
        <v>69</v>
      </c>
      <c r="M29" t="s">
        <v>247</v>
      </c>
      <c r="N29" t="s">
        <v>246</v>
      </c>
      <c r="O29" t="s">
        <v>248</v>
      </c>
      <c r="P29" t="s">
        <v>249</v>
      </c>
      <c r="Q29" s="10">
        <f>AVERAGE(INDEX(Scores[#Data],0,MATCH("Q"&amp;$A29,Scores[#Headers],0)))</f>
        <v>0.46153846153846156</v>
      </c>
    </row>
    <row r="30" spans="1:17" ht="13" customHeight="1" x14ac:dyDescent="0.15">
      <c r="A30" s="7">
        <v>29</v>
      </c>
      <c r="B30" s="7" t="s">
        <v>791</v>
      </c>
      <c r="C30" t="s">
        <v>792</v>
      </c>
      <c r="D30" t="s">
        <v>793</v>
      </c>
      <c r="G30" t="s">
        <v>57</v>
      </c>
      <c r="H30" t="s">
        <v>58</v>
      </c>
      <c r="I30" t="s">
        <v>794</v>
      </c>
      <c r="K30" t="s">
        <v>356</v>
      </c>
    </row>
    <row r="31" spans="1:17" ht="13" customHeight="1" x14ac:dyDescent="0.15">
      <c r="A31" s="7">
        <v>30</v>
      </c>
      <c r="B31" s="7" t="s">
        <v>791</v>
      </c>
      <c r="C31" t="s">
        <v>795</v>
      </c>
      <c r="D31" t="s">
        <v>796</v>
      </c>
      <c r="G31" t="s">
        <v>57</v>
      </c>
      <c r="H31" t="s">
        <v>76</v>
      </c>
      <c r="I31" t="s">
        <v>123</v>
      </c>
      <c r="K31" t="s">
        <v>465</v>
      </c>
    </row>
    <row r="32" spans="1:17" ht="13" customHeight="1" x14ac:dyDescent="0.15">
      <c r="A32" s="7">
        <v>31</v>
      </c>
      <c r="B32" s="7" t="s">
        <v>791</v>
      </c>
      <c r="C32" t="s">
        <v>797</v>
      </c>
      <c r="D32" t="s">
        <v>798</v>
      </c>
    </row>
    <row r="33" spans="1:11" ht="13" customHeight="1" x14ac:dyDescent="0.15">
      <c r="A33" s="7">
        <v>32</v>
      </c>
      <c r="B33" s="7" t="s">
        <v>791</v>
      </c>
      <c r="C33" t="s">
        <v>799</v>
      </c>
      <c r="D33" t="s">
        <v>800</v>
      </c>
      <c r="G33" t="s">
        <v>57</v>
      </c>
      <c r="H33" t="s">
        <v>58</v>
      </c>
      <c r="I33" t="s">
        <v>92</v>
      </c>
      <c r="K33" t="s">
        <v>136</v>
      </c>
    </row>
    <row r="34" spans="1:11" ht="13" customHeight="1" x14ac:dyDescent="0.15">
      <c r="A34" s="7">
        <v>33</v>
      </c>
      <c r="B34" s="7" t="s">
        <v>791</v>
      </c>
      <c r="C34" t="s">
        <v>801</v>
      </c>
      <c r="D34" t="s">
        <v>802</v>
      </c>
      <c r="G34" t="s">
        <v>57</v>
      </c>
      <c r="H34" t="s">
        <v>76</v>
      </c>
      <c r="I34" t="s">
        <v>123</v>
      </c>
      <c r="K34" t="s">
        <v>511</v>
      </c>
    </row>
    <row r="35" spans="1:11" ht="13" customHeight="1" x14ac:dyDescent="0.15">
      <c r="A35" s="7" t="s">
        <v>784</v>
      </c>
      <c r="B35" s="7" t="s">
        <v>791</v>
      </c>
      <c r="C35" t="s">
        <v>797</v>
      </c>
      <c r="D35" t="s">
        <v>803</v>
      </c>
    </row>
    <row r="36" spans="1:11" ht="13" customHeight="1" x14ac:dyDescent="0.15">
      <c r="A36" s="7" t="s">
        <v>785</v>
      </c>
      <c r="B36" s="7" t="s">
        <v>791</v>
      </c>
      <c r="C36" t="s">
        <v>797</v>
      </c>
      <c r="D36" t="s">
        <v>804</v>
      </c>
    </row>
  </sheetData>
  <phoneticPr fontId="4" type="noConversion"/>
  <dataValidations count="6">
    <dataValidation type="list" allowBlank="1" sqref="B2:B36" xr:uid="{00000000-0002-0000-0100-000000000000}">
      <formula1>"Part I,Part II,Part IIIA,Part IIIB"</formula1>
    </dataValidation>
    <dataValidation type="list" allowBlank="1" sqref="L2:L36" xr:uid="{00000000-0002-0000-0100-000002000000}">
      <formula1>"Yes,No"</formula1>
    </dataValidation>
    <dataValidation type="list" allowBlank="1" sqref="I2:I36" xr:uid="{00000000-0002-0000-0100-000003000000}">
      <formula1>"1. Best Use,2. POV,3. Claim Validity (With Outside Information),4. Claim Validity (Without Outside Information),5. Turning Point,6. Change Over Time,7. Cause,8. Effect,9. Impact of Setting,10. Compare,11. Contrast,12. Informed Civic Action,13. Interpret V"&amp;"isual Data,14. Stakeholder Issue,15. Recommended Action,16. Sequence of Events,17. Problem,18. Response to Problem"</formula1>
    </dataValidation>
    <dataValidation type="list" allowBlank="1" sqref="G2:G36" xr:uid="{00000000-0002-0000-0100-000004000000}">
      <formula1>"Text-based,Map-based,Data-based,Visual-based"</formula1>
    </dataValidation>
    <dataValidation type="list" allowBlank="1" sqref="J2:K36" xr:uid="{00000000-0002-0000-0100-000005000000}">
      <formula1>#REF!</formula1>
    </dataValidation>
    <dataValidation type="list" allowBlank="1" sqref="H2:H36" xr:uid="{00000000-0002-0000-0100-000006000000}">
      <formula1>"Primary,Secondary,Both"</formula1>
    </dataValidation>
  </dataValidation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158"/>
  <sheetViews>
    <sheetView workbookViewId="0">
      <pane ySplit="1" topLeftCell="A3" activePane="bottomLeft" state="frozen"/>
      <selection pane="bottomLeft" activeCell="D22" sqref="D22"/>
    </sheetView>
  </sheetViews>
  <sheetFormatPr baseColWidth="10" defaultColWidth="12.6640625" defaultRowHeight="13" customHeight="1" x14ac:dyDescent="0.15"/>
  <cols>
    <col min="1" max="1" width="8.6640625" customWidth="1"/>
    <col min="2" max="2" width="25.1640625" customWidth="1"/>
    <col min="3" max="3" width="50.1640625" hidden="1" customWidth="1"/>
    <col min="4" max="5" width="50.1640625" customWidth="1"/>
  </cols>
  <sheetData>
    <row r="1" spans="1:5" ht="13" customHeight="1" x14ac:dyDescent="0.15">
      <c r="A1" t="s">
        <v>37</v>
      </c>
      <c r="B1" t="s">
        <v>250</v>
      </c>
      <c r="C1" s="3" t="s">
        <v>251</v>
      </c>
      <c r="D1" t="s">
        <v>252</v>
      </c>
      <c r="E1" t="s">
        <v>253</v>
      </c>
    </row>
    <row r="2" spans="1:5" ht="22.5" hidden="1" customHeight="1" x14ac:dyDescent="0.15">
      <c r="A2" s="2">
        <v>11.01</v>
      </c>
      <c r="B2" s="4" t="s">
        <v>254</v>
      </c>
      <c r="C2" s="5" t="s">
        <v>255</v>
      </c>
      <c r="D2" s="5" t="s">
        <v>255</v>
      </c>
      <c r="E2" s="5"/>
    </row>
    <row r="3" spans="1:5" ht="13" customHeight="1" x14ac:dyDescent="0.15">
      <c r="A3">
        <v>10.01</v>
      </c>
      <c r="B3" t="s">
        <v>256</v>
      </c>
      <c r="C3" s="5" t="s">
        <v>257</v>
      </c>
      <c r="D3" t="s">
        <v>258</v>
      </c>
      <c r="E3" t="s">
        <v>258</v>
      </c>
    </row>
    <row r="4" spans="1:5" ht="13" customHeight="1" x14ac:dyDescent="0.15">
      <c r="A4">
        <v>10.02</v>
      </c>
      <c r="B4" t="s">
        <v>282</v>
      </c>
      <c r="C4" s="5" t="s">
        <v>283</v>
      </c>
      <c r="D4" t="s">
        <v>284</v>
      </c>
      <c r="E4" t="s">
        <v>284</v>
      </c>
    </row>
    <row r="5" spans="1:5" ht="13" customHeight="1" x14ac:dyDescent="0.15">
      <c r="A5">
        <v>10.029999999999999</v>
      </c>
      <c r="B5" t="s">
        <v>313</v>
      </c>
      <c r="C5" s="5" t="s">
        <v>314</v>
      </c>
      <c r="D5" t="s">
        <v>315</v>
      </c>
      <c r="E5" t="s">
        <v>315</v>
      </c>
    </row>
    <row r="6" spans="1:5" ht="13" customHeight="1" x14ac:dyDescent="0.15">
      <c r="A6">
        <v>10.039999999999999</v>
      </c>
      <c r="B6" t="s">
        <v>350</v>
      </c>
      <c r="C6" s="5" t="s">
        <v>351</v>
      </c>
      <c r="D6" t="s">
        <v>352</v>
      </c>
      <c r="E6" t="s">
        <v>352</v>
      </c>
    </row>
    <row r="7" spans="1:5" ht="13" customHeight="1" x14ac:dyDescent="0.15">
      <c r="A7">
        <v>10.050000000000001</v>
      </c>
      <c r="B7" t="s">
        <v>378</v>
      </c>
      <c r="C7" s="5" t="s">
        <v>379</v>
      </c>
      <c r="D7" t="s">
        <v>380</v>
      </c>
      <c r="E7" t="s">
        <v>380</v>
      </c>
    </row>
    <row r="8" spans="1:5" ht="13" customHeight="1" x14ac:dyDescent="0.15">
      <c r="A8">
        <v>10.06</v>
      </c>
      <c r="B8" t="s">
        <v>419</v>
      </c>
      <c r="C8" s="5" t="s">
        <v>420</v>
      </c>
      <c r="D8" t="s">
        <v>421</v>
      </c>
      <c r="E8" t="s">
        <v>421</v>
      </c>
    </row>
    <row r="9" spans="1:5" ht="13" customHeight="1" x14ac:dyDescent="0.15">
      <c r="A9">
        <v>10.07</v>
      </c>
      <c r="B9" t="s">
        <v>451</v>
      </c>
      <c r="C9" s="5" t="s">
        <v>452</v>
      </c>
      <c r="D9" t="s">
        <v>453</v>
      </c>
      <c r="E9" t="s">
        <v>453</v>
      </c>
    </row>
    <row r="10" spans="1:5" ht="13" customHeight="1" x14ac:dyDescent="0.15">
      <c r="A10">
        <v>10.08</v>
      </c>
      <c r="B10" t="s">
        <v>488</v>
      </c>
      <c r="C10" s="5" t="s">
        <v>489</v>
      </c>
      <c r="D10" t="s">
        <v>490</v>
      </c>
      <c r="E10" t="s">
        <v>490</v>
      </c>
    </row>
    <row r="11" spans="1:5" ht="13" customHeight="1" x14ac:dyDescent="0.15">
      <c r="A11">
        <v>10.09</v>
      </c>
      <c r="B11" t="s">
        <v>505</v>
      </c>
      <c r="C11" s="5" t="s">
        <v>506</v>
      </c>
      <c r="D11" t="s">
        <v>507</v>
      </c>
      <c r="E11" t="s">
        <v>507</v>
      </c>
    </row>
    <row r="12" spans="1:5" ht="13" customHeight="1" x14ac:dyDescent="0.15">
      <c r="A12">
        <v>10.1</v>
      </c>
      <c r="B12" t="s">
        <v>547</v>
      </c>
      <c r="C12" s="5" t="s">
        <v>548</v>
      </c>
      <c r="D12" t="s">
        <v>549</v>
      </c>
      <c r="E12" t="s">
        <v>549</v>
      </c>
    </row>
    <row r="13" spans="1:5" ht="22.5" hidden="1" customHeight="1" x14ac:dyDescent="0.15">
      <c r="A13" s="2">
        <v>11.02</v>
      </c>
      <c r="B13" s="4" t="s">
        <v>285</v>
      </c>
      <c r="C13" s="5" t="s">
        <v>286</v>
      </c>
      <c r="D13" s="5" t="s">
        <v>286</v>
      </c>
      <c r="E13" s="5"/>
    </row>
    <row r="14" spans="1:5" ht="13" customHeight="1" x14ac:dyDescent="0.15">
      <c r="A14" t="s">
        <v>259</v>
      </c>
      <c r="B14" t="s">
        <v>260</v>
      </c>
      <c r="C14" s="5" t="s">
        <v>257</v>
      </c>
      <c r="D14" t="s">
        <v>261</v>
      </c>
      <c r="E14" t="s">
        <v>261</v>
      </c>
    </row>
    <row r="15" spans="1:5" ht="13" customHeight="1" x14ac:dyDescent="0.15">
      <c r="A15" t="s">
        <v>262</v>
      </c>
      <c r="B15" t="s">
        <v>263</v>
      </c>
      <c r="C15" s="5" t="s">
        <v>257</v>
      </c>
      <c r="D15" t="s">
        <v>261</v>
      </c>
      <c r="E15" t="s">
        <v>264</v>
      </c>
    </row>
    <row r="16" spans="1:5" ht="13" customHeight="1" x14ac:dyDescent="0.15">
      <c r="A16" t="s">
        <v>265</v>
      </c>
      <c r="B16" t="s">
        <v>266</v>
      </c>
      <c r="C16" s="5" t="s">
        <v>257</v>
      </c>
      <c r="D16" t="s">
        <v>261</v>
      </c>
      <c r="E16" t="s">
        <v>267</v>
      </c>
    </row>
    <row r="17" spans="1:5" ht="13" customHeight="1" x14ac:dyDescent="0.15">
      <c r="A17" t="s">
        <v>268</v>
      </c>
      <c r="B17" t="s">
        <v>269</v>
      </c>
      <c r="C17" s="5" t="s">
        <v>257</v>
      </c>
      <c r="D17" t="s">
        <v>261</v>
      </c>
      <c r="E17" t="s">
        <v>270</v>
      </c>
    </row>
    <row r="18" spans="1:5" ht="13" customHeight="1" x14ac:dyDescent="0.15">
      <c r="A18" t="s">
        <v>271</v>
      </c>
      <c r="B18" t="s">
        <v>272</v>
      </c>
      <c r="C18" s="5" t="s">
        <v>257</v>
      </c>
      <c r="D18" t="s">
        <v>273</v>
      </c>
      <c r="E18" t="s">
        <v>273</v>
      </c>
    </row>
    <row r="19" spans="1:5" ht="13" customHeight="1" x14ac:dyDescent="0.15">
      <c r="A19" t="s">
        <v>61</v>
      </c>
      <c r="B19" t="s">
        <v>274</v>
      </c>
      <c r="C19" s="5" t="s">
        <v>257</v>
      </c>
      <c r="D19" t="s">
        <v>273</v>
      </c>
      <c r="E19" t="s">
        <v>275</v>
      </c>
    </row>
    <row r="20" spans="1:5" ht="13" customHeight="1" x14ac:dyDescent="0.15">
      <c r="A20" t="s">
        <v>276</v>
      </c>
      <c r="B20" t="s">
        <v>277</v>
      </c>
      <c r="C20" s="5" t="s">
        <v>257</v>
      </c>
      <c r="D20" t="s">
        <v>273</v>
      </c>
      <c r="E20" t="s">
        <v>278</v>
      </c>
    </row>
    <row r="21" spans="1:5" ht="13" customHeight="1" x14ac:dyDescent="0.15">
      <c r="A21" t="s">
        <v>279</v>
      </c>
      <c r="B21" t="s">
        <v>280</v>
      </c>
      <c r="C21" s="5" t="s">
        <v>257</v>
      </c>
      <c r="D21" t="s">
        <v>273</v>
      </c>
      <c r="E21" t="s">
        <v>281</v>
      </c>
    </row>
    <row r="22" spans="1:5" ht="13" customHeight="1" x14ac:dyDescent="0.15">
      <c r="A22" t="s">
        <v>287</v>
      </c>
      <c r="B22" t="s">
        <v>288</v>
      </c>
      <c r="C22" s="5" t="s">
        <v>283</v>
      </c>
      <c r="D22" t="s">
        <v>289</v>
      </c>
      <c r="E22" t="s">
        <v>289</v>
      </c>
    </row>
    <row r="23" spans="1:5" ht="13" customHeight="1" x14ac:dyDescent="0.15">
      <c r="A23" t="s">
        <v>290</v>
      </c>
      <c r="B23" t="s">
        <v>288</v>
      </c>
      <c r="C23" s="5" t="s">
        <v>283</v>
      </c>
      <c r="D23" t="s">
        <v>289</v>
      </c>
      <c r="E23" t="s">
        <v>291</v>
      </c>
    </row>
    <row r="24" spans="1:5" ht="13" customHeight="1" x14ac:dyDescent="0.15">
      <c r="A24" t="s">
        <v>292</v>
      </c>
      <c r="B24" t="s">
        <v>293</v>
      </c>
      <c r="C24" s="5" t="s">
        <v>283</v>
      </c>
      <c r="D24" t="s">
        <v>294</v>
      </c>
      <c r="E24" t="s">
        <v>294</v>
      </c>
    </row>
    <row r="25" spans="1:5" ht="13" customHeight="1" x14ac:dyDescent="0.15">
      <c r="A25" t="s">
        <v>295</v>
      </c>
      <c r="B25" t="s">
        <v>296</v>
      </c>
      <c r="C25" s="5" t="s">
        <v>283</v>
      </c>
      <c r="D25" t="s">
        <v>294</v>
      </c>
      <c r="E25" t="s">
        <v>297</v>
      </c>
    </row>
    <row r="26" spans="1:5" ht="13" customHeight="1" x14ac:dyDescent="0.15">
      <c r="A26" t="s">
        <v>298</v>
      </c>
      <c r="B26" t="s">
        <v>299</v>
      </c>
      <c r="C26" s="5" t="s">
        <v>283</v>
      </c>
      <c r="D26" t="s">
        <v>294</v>
      </c>
      <c r="E26" t="s">
        <v>300</v>
      </c>
    </row>
    <row r="27" spans="1:5" ht="13" customHeight="1" x14ac:dyDescent="0.15">
      <c r="A27" t="s">
        <v>301</v>
      </c>
      <c r="B27" t="s">
        <v>302</v>
      </c>
      <c r="C27" s="5" t="s">
        <v>283</v>
      </c>
      <c r="D27" t="s">
        <v>303</v>
      </c>
      <c r="E27" t="s">
        <v>303</v>
      </c>
    </row>
    <row r="28" spans="1:5" ht="13" customHeight="1" x14ac:dyDescent="0.15">
      <c r="A28" t="s">
        <v>79</v>
      </c>
      <c r="B28" t="s">
        <v>304</v>
      </c>
      <c r="C28" s="5" t="s">
        <v>283</v>
      </c>
      <c r="D28" t="s">
        <v>303</v>
      </c>
      <c r="E28" t="s">
        <v>305</v>
      </c>
    </row>
    <row r="29" spans="1:5" ht="13" customHeight="1" x14ac:dyDescent="0.15">
      <c r="A29" t="s">
        <v>94</v>
      </c>
      <c r="B29" t="s">
        <v>306</v>
      </c>
      <c r="C29" s="5" t="s">
        <v>283</v>
      </c>
      <c r="D29" t="s">
        <v>303</v>
      </c>
      <c r="E29" t="s">
        <v>307</v>
      </c>
    </row>
    <row r="30" spans="1:5" ht="22.5" hidden="1" customHeight="1" x14ac:dyDescent="0.15">
      <c r="A30" s="2">
        <v>11.03</v>
      </c>
      <c r="B30" s="4" t="s">
        <v>330</v>
      </c>
      <c r="C30" s="5" t="s">
        <v>331</v>
      </c>
      <c r="D30" s="5" t="s">
        <v>331</v>
      </c>
      <c r="E30" s="5"/>
    </row>
    <row r="31" spans="1:5" ht="13" customHeight="1" x14ac:dyDescent="0.15">
      <c r="A31" t="s">
        <v>308</v>
      </c>
      <c r="B31" t="s">
        <v>309</v>
      </c>
      <c r="C31" s="5" t="s">
        <v>283</v>
      </c>
      <c r="D31" t="s">
        <v>310</v>
      </c>
      <c r="E31" t="s">
        <v>310</v>
      </c>
    </row>
    <row r="32" spans="1:5" ht="13" customHeight="1" x14ac:dyDescent="0.15">
      <c r="A32" t="s">
        <v>148</v>
      </c>
      <c r="B32" t="s">
        <v>311</v>
      </c>
      <c r="C32" s="5" t="s">
        <v>283</v>
      </c>
      <c r="D32" t="s">
        <v>310</v>
      </c>
      <c r="E32" t="s">
        <v>312</v>
      </c>
    </row>
    <row r="33" spans="1:5" ht="13" customHeight="1" x14ac:dyDescent="0.15">
      <c r="A33" t="s">
        <v>316</v>
      </c>
      <c r="B33" t="s">
        <v>317</v>
      </c>
      <c r="C33" s="5" t="s">
        <v>314</v>
      </c>
      <c r="D33" t="s">
        <v>318</v>
      </c>
      <c r="E33" t="s">
        <v>318</v>
      </c>
    </row>
    <row r="34" spans="1:5" ht="13" customHeight="1" x14ac:dyDescent="0.15">
      <c r="A34" t="s">
        <v>107</v>
      </c>
      <c r="B34" t="s">
        <v>319</v>
      </c>
      <c r="C34" s="5" t="s">
        <v>314</v>
      </c>
      <c r="D34" t="s">
        <v>318</v>
      </c>
      <c r="E34" t="s">
        <v>320</v>
      </c>
    </row>
    <row r="35" spans="1:5" ht="13" customHeight="1" x14ac:dyDescent="0.15">
      <c r="A35" t="s">
        <v>321</v>
      </c>
      <c r="B35" t="s">
        <v>322</v>
      </c>
      <c r="C35" s="5" t="s">
        <v>314</v>
      </c>
      <c r="D35" t="s">
        <v>323</v>
      </c>
      <c r="E35" t="s">
        <v>323</v>
      </c>
    </row>
    <row r="36" spans="1:5" ht="13" customHeight="1" x14ac:dyDescent="0.15">
      <c r="A36" t="s">
        <v>324</v>
      </c>
      <c r="B36" t="s">
        <v>325</v>
      </c>
      <c r="C36" s="5" t="s">
        <v>314</v>
      </c>
      <c r="D36" t="s">
        <v>323</v>
      </c>
      <c r="E36" t="s">
        <v>326</v>
      </c>
    </row>
    <row r="37" spans="1:5" ht="13" customHeight="1" x14ac:dyDescent="0.15">
      <c r="A37" t="s">
        <v>327</v>
      </c>
      <c r="B37" t="s">
        <v>328</v>
      </c>
      <c r="C37" s="5" t="s">
        <v>314</v>
      </c>
      <c r="D37" t="s">
        <v>323</v>
      </c>
      <c r="E37" t="s">
        <v>329</v>
      </c>
    </row>
    <row r="38" spans="1:5" ht="13" customHeight="1" x14ac:dyDescent="0.15">
      <c r="A38" t="s">
        <v>332</v>
      </c>
      <c r="B38" t="s">
        <v>333</v>
      </c>
      <c r="C38" s="5" t="s">
        <v>314</v>
      </c>
      <c r="D38" t="s">
        <v>323</v>
      </c>
      <c r="E38" t="s">
        <v>334</v>
      </c>
    </row>
    <row r="39" spans="1:5" ht="13" customHeight="1" x14ac:dyDescent="0.15">
      <c r="A39" t="s">
        <v>335</v>
      </c>
      <c r="B39" t="s">
        <v>336</v>
      </c>
      <c r="C39" s="5" t="s">
        <v>314</v>
      </c>
      <c r="D39" t="s">
        <v>337</v>
      </c>
      <c r="E39" t="s">
        <v>337</v>
      </c>
    </row>
    <row r="40" spans="1:5" ht="13" customHeight="1" x14ac:dyDescent="0.15">
      <c r="A40" t="s">
        <v>338</v>
      </c>
      <c r="B40" t="s">
        <v>339</v>
      </c>
      <c r="C40" s="5" t="s">
        <v>314</v>
      </c>
      <c r="D40" t="s">
        <v>337</v>
      </c>
      <c r="E40" t="s">
        <v>340</v>
      </c>
    </row>
    <row r="41" spans="1:5" ht="13" customHeight="1" x14ac:dyDescent="0.15">
      <c r="A41" t="s">
        <v>341</v>
      </c>
      <c r="B41" t="s">
        <v>342</v>
      </c>
      <c r="C41" s="5" t="s">
        <v>314</v>
      </c>
      <c r="D41" t="s">
        <v>343</v>
      </c>
      <c r="E41" t="s">
        <v>343</v>
      </c>
    </row>
    <row r="42" spans="1:5" ht="13" customHeight="1" x14ac:dyDescent="0.15">
      <c r="A42" t="s">
        <v>344</v>
      </c>
      <c r="B42" t="s">
        <v>345</v>
      </c>
      <c r="C42" s="5" t="s">
        <v>314</v>
      </c>
      <c r="D42" t="s">
        <v>343</v>
      </c>
      <c r="E42" t="s">
        <v>346</v>
      </c>
    </row>
    <row r="43" spans="1:5" ht="13" customHeight="1" x14ac:dyDescent="0.15">
      <c r="A43" t="s">
        <v>347</v>
      </c>
      <c r="B43" t="s">
        <v>348</v>
      </c>
      <c r="C43" s="5" t="s">
        <v>314</v>
      </c>
      <c r="D43" t="s">
        <v>343</v>
      </c>
      <c r="E43" t="s">
        <v>349</v>
      </c>
    </row>
    <row r="44" spans="1:5" ht="22.5" hidden="1" customHeight="1" x14ac:dyDescent="0.15">
      <c r="A44" s="2">
        <v>11.04</v>
      </c>
      <c r="B44" s="4" t="s">
        <v>370</v>
      </c>
      <c r="C44" s="5" t="s">
        <v>371</v>
      </c>
      <c r="D44" s="5" t="s">
        <v>371</v>
      </c>
      <c r="E44" s="5"/>
    </row>
    <row r="45" spans="1:5" ht="13" customHeight="1" x14ac:dyDescent="0.15">
      <c r="A45" t="s">
        <v>353</v>
      </c>
      <c r="B45" t="s">
        <v>354</v>
      </c>
      <c r="C45" s="5" t="s">
        <v>351</v>
      </c>
      <c r="D45" t="s">
        <v>355</v>
      </c>
      <c r="E45" t="s">
        <v>355</v>
      </c>
    </row>
    <row r="46" spans="1:5" ht="13" customHeight="1" x14ac:dyDescent="0.15">
      <c r="A46" t="s">
        <v>356</v>
      </c>
      <c r="B46" t="s">
        <v>357</v>
      </c>
      <c r="C46" s="5" t="s">
        <v>351</v>
      </c>
      <c r="D46" t="s">
        <v>355</v>
      </c>
      <c r="E46" t="s">
        <v>358</v>
      </c>
    </row>
    <row r="47" spans="1:5" ht="13" customHeight="1" x14ac:dyDescent="0.15">
      <c r="A47" t="s">
        <v>136</v>
      </c>
      <c r="B47" t="s">
        <v>359</v>
      </c>
      <c r="C47" s="5" t="s">
        <v>351</v>
      </c>
      <c r="D47" t="s">
        <v>355</v>
      </c>
      <c r="E47" t="s">
        <v>360</v>
      </c>
    </row>
    <row r="48" spans="1:5" ht="13" customHeight="1" x14ac:dyDescent="0.15">
      <c r="A48" t="s">
        <v>361</v>
      </c>
      <c r="B48" t="s">
        <v>362</v>
      </c>
      <c r="C48" s="5" t="s">
        <v>351</v>
      </c>
      <c r="D48" t="s">
        <v>363</v>
      </c>
      <c r="E48" t="s">
        <v>363</v>
      </c>
    </row>
    <row r="49" spans="1:5" ht="13" customHeight="1" x14ac:dyDescent="0.15">
      <c r="A49" t="s">
        <v>364</v>
      </c>
      <c r="B49" t="s">
        <v>365</v>
      </c>
      <c r="C49" s="5" t="s">
        <v>351</v>
      </c>
      <c r="D49" t="s">
        <v>363</v>
      </c>
      <c r="E49" t="s">
        <v>366</v>
      </c>
    </row>
    <row r="50" spans="1:5" ht="13" customHeight="1" x14ac:dyDescent="0.15">
      <c r="A50" t="s">
        <v>367</v>
      </c>
      <c r="B50" t="s">
        <v>368</v>
      </c>
      <c r="C50" s="5" t="s">
        <v>351</v>
      </c>
      <c r="D50" t="s">
        <v>363</v>
      </c>
      <c r="E50" t="s">
        <v>369</v>
      </c>
    </row>
    <row r="51" spans="1:5" ht="13" customHeight="1" x14ac:dyDescent="0.15">
      <c r="A51" t="s">
        <v>372</v>
      </c>
      <c r="B51" t="s">
        <v>373</v>
      </c>
      <c r="C51" s="5" t="s">
        <v>351</v>
      </c>
      <c r="D51" t="s">
        <v>374</v>
      </c>
      <c r="E51" t="s">
        <v>374</v>
      </c>
    </row>
    <row r="52" spans="1:5" ht="13" customHeight="1" x14ac:dyDescent="0.15">
      <c r="A52" t="s">
        <v>375</v>
      </c>
      <c r="B52" t="s">
        <v>376</v>
      </c>
      <c r="C52" s="5" t="s">
        <v>351</v>
      </c>
      <c r="D52" t="s">
        <v>374</v>
      </c>
      <c r="E52" t="s">
        <v>377</v>
      </c>
    </row>
    <row r="53" spans="1:5" ht="13" customHeight="1" x14ac:dyDescent="0.15">
      <c r="A53" t="s">
        <v>381</v>
      </c>
      <c r="B53" t="s">
        <v>382</v>
      </c>
      <c r="C53" s="5" t="s">
        <v>379</v>
      </c>
      <c r="D53" t="s">
        <v>383</v>
      </c>
      <c r="E53" t="s">
        <v>383</v>
      </c>
    </row>
    <row r="54" spans="1:5" ht="13" customHeight="1" x14ac:dyDescent="0.15">
      <c r="A54" t="s">
        <v>154</v>
      </c>
      <c r="B54" t="s">
        <v>384</v>
      </c>
      <c r="C54" s="5" t="s">
        <v>379</v>
      </c>
      <c r="D54" t="s">
        <v>383</v>
      </c>
      <c r="E54" t="s">
        <v>385</v>
      </c>
    </row>
    <row r="55" spans="1:5" ht="13" customHeight="1" x14ac:dyDescent="0.15">
      <c r="A55" t="s">
        <v>386</v>
      </c>
      <c r="B55" t="s">
        <v>387</v>
      </c>
      <c r="C55" s="5" t="s">
        <v>379</v>
      </c>
      <c r="D55" t="s">
        <v>388</v>
      </c>
      <c r="E55" t="s">
        <v>388</v>
      </c>
    </row>
    <row r="56" spans="1:5" ht="13" customHeight="1" x14ac:dyDescent="0.15">
      <c r="A56" t="s">
        <v>186</v>
      </c>
      <c r="B56" t="s">
        <v>389</v>
      </c>
      <c r="C56" s="5" t="s">
        <v>379</v>
      </c>
      <c r="D56" t="s">
        <v>388</v>
      </c>
      <c r="E56" t="s">
        <v>390</v>
      </c>
    </row>
    <row r="57" spans="1:5" ht="13" customHeight="1" x14ac:dyDescent="0.15">
      <c r="A57" t="s">
        <v>391</v>
      </c>
      <c r="B57" t="s">
        <v>392</v>
      </c>
      <c r="C57" s="5" t="s">
        <v>379</v>
      </c>
      <c r="D57" t="s">
        <v>393</v>
      </c>
      <c r="E57" t="s">
        <v>393</v>
      </c>
    </row>
    <row r="58" spans="1:5" ht="22.5" hidden="1" customHeight="1" x14ac:dyDescent="0.15">
      <c r="A58" s="2">
        <v>11.05</v>
      </c>
      <c r="B58" s="4" t="s">
        <v>409</v>
      </c>
      <c r="C58" s="5" t="s">
        <v>410</v>
      </c>
      <c r="D58" s="5" t="s">
        <v>410</v>
      </c>
      <c r="E58" s="5"/>
    </row>
    <row r="59" spans="1:5" ht="13" customHeight="1" x14ac:dyDescent="0.15">
      <c r="A59" t="s">
        <v>394</v>
      </c>
      <c r="B59" t="s">
        <v>395</v>
      </c>
      <c r="C59" s="5" t="s">
        <v>379</v>
      </c>
      <c r="D59" t="s">
        <v>393</v>
      </c>
      <c r="E59" t="s">
        <v>396</v>
      </c>
    </row>
    <row r="60" spans="1:5" ht="13" customHeight="1" x14ac:dyDescent="0.15">
      <c r="A60" t="s">
        <v>397</v>
      </c>
      <c r="B60" t="s">
        <v>398</v>
      </c>
      <c r="C60" s="5" t="s">
        <v>379</v>
      </c>
      <c r="D60" t="s">
        <v>399</v>
      </c>
      <c r="E60" t="s">
        <v>399</v>
      </c>
    </row>
    <row r="61" spans="1:5" ht="13" customHeight="1" x14ac:dyDescent="0.15">
      <c r="A61" t="s">
        <v>400</v>
      </c>
      <c r="B61" t="s">
        <v>401</v>
      </c>
      <c r="C61" s="5" t="s">
        <v>379</v>
      </c>
      <c r="D61" t="s">
        <v>399</v>
      </c>
      <c r="E61" t="s">
        <v>402</v>
      </c>
    </row>
    <row r="62" spans="1:5" ht="13" customHeight="1" x14ac:dyDescent="0.15">
      <c r="A62" t="s">
        <v>403</v>
      </c>
      <c r="B62" t="s">
        <v>404</v>
      </c>
      <c r="C62" s="5" t="s">
        <v>379</v>
      </c>
      <c r="D62" t="s">
        <v>399</v>
      </c>
      <c r="E62" t="s">
        <v>405</v>
      </c>
    </row>
    <row r="63" spans="1:5" ht="13" customHeight="1" x14ac:dyDescent="0.15">
      <c r="A63" t="s">
        <v>406</v>
      </c>
      <c r="B63" t="s">
        <v>407</v>
      </c>
      <c r="C63" s="5" t="s">
        <v>379</v>
      </c>
      <c r="D63" t="s">
        <v>399</v>
      </c>
      <c r="E63" t="s">
        <v>408</v>
      </c>
    </row>
    <row r="64" spans="1:5" ht="13" customHeight="1" x14ac:dyDescent="0.15">
      <c r="A64" t="s">
        <v>411</v>
      </c>
      <c r="B64" t="s">
        <v>412</v>
      </c>
      <c r="C64" s="5" t="s">
        <v>379</v>
      </c>
      <c r="D64" t="s">
        <v>399</v>
      </c>
      <c r="E64" t="s">
        <v>413</v>
      </c>
    </row>
    <row r="65" spans="1:5" ht="13" customHeight="1" x14ac:dyDescent="0.15">
      <c r="A65" t="s">
        <v>414</v>
      </c>
      <c r="B65" t="s">
        <v>415</v>
      </c>
      <c r="C65" s="5" t="s">
        <v>379</v>
      </c>
      <c r="D65" t="s">
        <v>416</v>
      </c>
      <c r="E65" t="s">
        <v>416</v>
      </c>
    </row>
    <row r="66" spans="1:5" ht="13" customHeight="1" x14ac:dyDescent="0.15">
      <c r="A66" t="s">
        <v>162</v>
      </c>
      <c r="B66" t="s">
        <v>417</v>
      </c>
      <c r="C66" s="5" t="s">
        <v>379</v>
      </c>
      <c r="D66" t="s">
        <v>416</v>
      </c>
      <c r="E66" t="s">
        <v>418</v>
      </c>
    </row>
    <row r="67" spans="1:5" ht="13" customHeight="1" x14ac:dyDescent="0.15">
      <c r="A67" t="s">
        <v>422</v>
      </c>
      <c r="B67" t="s">
        <v>423</v>
      </c>
      <c r="C67" s="5" t="s">
        <v>420</v>
      </c>
      <c r="D67" t="s">
        <v>424</v>
      </c>
      <c r="E67" t="s">
        <v>424</v>
      </c>
    </row>
    <row r="68" spans="1:5" ht="13" customHeight="1" x14ac:dyDescent="0.15">
      <c r="A68" t="s">
        <v>425</v>
      </c>
      <c r="B68" t="s">
        <v>426</v>
      </c>
      <c r="C68" s="5" t="s">
        <v>420</v>
      </c>
      <c r="D68" t="s">
        <v>424</v>
      </c>
      <c r="E68" t="s">
        <v>427</v>
      </c>
    </row>
    <row r="69" spans="1:5" ht="13" customHeight="1" x14ac:dyDescent="0.15">
      <c r="A69" t="s">
        <v>428</v>
      </c>
      <c r="B69" t="s">
        <v>429</v>
      </c>
      <c r="C69" s="5" t="s">
        <v>420</v>
      </c>
      <c r="D69" t="s">
        <v>430</v>
      </c>
      <c r="E69" t="s">
        <v>430</v>
      </c>
    </row>
    <row r="70" spans="1:5" ht="13" customHeight="1" x14ac:dyDescent="0.15">
      <c r="A70" t="s">
        <v>200</v>
      </c>
      <c r="B70" t="s">
        <v>431</v>
      </c>
      <c r="C70" s="5" t="s">
        <v>420</v>
      </c>
      <c r="D70" t="s">
        <v>430</v>
      </c>
      <c r="E70" t="s">
        <v>432</v>
      </c>
    </row>
    <row r="71" spans="1:5" ht="22.5" hidden="1" customHeight="1" x14ac:dyDescent="0.15">
      <c r="A71" s="2">
        <v>11.06</v>
      </c>
      <c r="B71" s="4" t="s">
        <v>445</v>
      </c>
      <c r="C71" s="5" t="s">
        <v>446</v>
      </c>
      <c r="D71" s="5" t="s">
        <v>446</v>
      </c>
      <c r="E71" s="5"/>
    </row>
    <row r="72" spans="1:5" ht="13" customHeight="1" x14ac:dyDescent="0.15">
      <c r="A72" t="s">
        <v>433</v>
      </c>
      <c r="B72" t="s">
        <v>434</v>
      </c>
      <c r="C72" s="5" t="s">
        <v>420</v>
      </c>
      <c r="D72" t="s">
        <v>430</v>
      </c>
      <c r="E72" t="s">
        <v>435</v>
      </c>
    </row>
    <row r="73" spans="1:5" ht="13" customHeight="1" x14ac:dyDescent="0.15">
      <c r="A73" t="s">
        <v>436</v>
      </c>
      <c r="B73" t="s">
        <v>437</v>
      </c>
      <c r="C73" s="5" t="s">
        <v>420</v>
      </c>
      <c r="D73" t="s">
        <v>430</v>
      </c>
      <c r="E73" t="s">
        <v>438</v>
      </c>
    </row>
    <row r="74" spans="1:5" ht="13" customHeight="1" x14ac:dyDescent="0.15">
      <c r="A74" t="s">
        <v>439</v>
      </c>
      <c r="B74" t="s">
        <v>440</v>
      </c>
      <c r="C74" s="5" t="s">
        <v>420</v>
      </c>
      <c r="D74" t="s">
        <v>430</v>
      </c>
      <c r="E74" t="s">
        <v>441</v>
      </c>
    </row>
    <row r="75" spans="1:5" ht="13" customHeight="1" x14ac:dyDescent="0.15">
      <c r="A75" t="s">
        <v>442</v>
      </c>
      <c r="B75" t="s">
        <v>443</v>
      </c>
      <c r="C75" s="5" t="s">
        <v>420</v>
      </c>
      <c r="D75" t="s">
        <v>444</v>
      </c>
      <c r="E75" t="s">
        <v>444</v>
      </c>
    </row>
    <row r="76" spans="1:5" ht="13" customHeight="1" x14ac:dyDescent="0.15">
      <c r="A76" t="s">
        <v>213</v>
      </c>
      <c r="B76" t="s">
        <v>447</v>
      </c>
      <c r="C76" s="5" t="s">
        <v>420</v>
      </c>
      <c r="D76" t="s">
        <v>444</v>
      </c>
      <c r="E76" t="s">
        <v>448</v>
      </c>
    </row>
    <row r="77" spans="1:5" ht="13" customHeight="1" x14ac:dyDescent="0.15">
      <c r="A77" t="s">
        <v>219</v>
      </c>
      <c r="B77" t="s">
        <v>449</v>
      </c>
      <c r="C77" s="5" t="s">
        <v>420</v>
      </c>
      <c r="D77" t="s">
        <v>444</v>
      </c>
      <c r="E77" t="s">
        <v>450</v>
      </c>
    </row>
    <row r="78" spans="1:5" ht="13" customHeight="1" x14ac:dyDescent="0.15">
      <c r="A78" t="s">
        <v>454</v>
      </c>
      <c r="B78" t="s">
        <v>455</v>
      </c>
      <c r="C78" s="5" t="s">
        <v>452</v>
      </c>
      <c r="D78" t="s">
        <v>456</v>
      </c>
      <c r="E78" t="s">
        <v>456</v>
      </c>
    </row>
    <row r="79" spans="1:5" ht="13" customHeight="1" x14ac:dyDescent="0.15">
      <c r="A79" t="s">
        <v>457</v>
      </c>
      <c r="B79" t="s">
        <v>458</v>
      </c>
      <c r="C79" s="5" t="s">
        <v>452</v>
      </c>
      <c r="D79" t="s">
        <v>456</v>
      </c>
      <c r="E79" t="s">
        <v>459</v>
      </c>
    </row>
    <row r="80" spans="1:5" ht="13" customHeight="1" x14ac:dyDescent="0.15">
      <c r="A80" t="s">
        <v>174</v>
      </c>
      <c r="B80" t="s">
        <v>460</v>
      </c>
      <c r="C80" s="5" t="s">
        <v>452</v>
      </c>
      <c r="D80" t="s">
        <v>456</v>
      </c>
      <c r="E80" t="s">
        <v>461</v>
      </c>
    </row>
    <row r="81" spans="1:5" ht="13" customHeight="1" x14ac:dyDescent="0.15">
      <c r="A81" t="s">
        <v>462</v>
      </c>
      <c r="B81" t="s">
        <v>463</v>
      </c>
      <c r="C81" s="5" t="s">
        <v>452</v>
      </c>
      <c r="D81" t="s">
        <v>464</v>
      </c>
      <c r="E81" t="s">
        <v>464</v>
      </c>
    </row>
    <row r="82" spans="1:5" ht="13" customHeight="1" x14ac:dyDescent="0.15">
      <c r="A82" t="s">
        <v>465</v>
      </c>
      <c r="B82" t="s">
        <v>466</v>
      </c>
      <c r="C82" s="5" t="s">
        <v>452</v>
      </c>
      <c r="D82" t="s">
        <v>464</v>
      </c>
      <c r="E82" t="s">
        <v>467</v>
      </c>
    </row>
    <row r="83" spans="1:5" ht="13" customHeight="1" x14ac:dyDescent="0.15">
      <c r="A83" t="s">
        <v>468</v>
      </c>
      <c r="B83" t="s">
        <v>469</v>
      </c>
      <c r="C83" s="5" t="s">
        <v>452</v>
      </c>
      <c r="D83" t="s">
        <v>470</v>
      </c>
      <c r="E83" t="s">
        <v>470</v>
      </c>
    </row>
    <row r="84" spans="1:5" ht="13" customHeight="1" x14ac:dyDescent="0.15">
      <c r="A84" t="s">
        <v>471</v>
      </c>
      <c r="B84" t="s">
        <v>472</v>
      </c>
      <c r="C84" s="5" t="s">
        <v>452</v>
      </c>
      <c r="D84" t="s">
        <v>470</v>
      </c>
      <c r="E84" t="s">
        <v>473</v>
      </c>
    </row>
    <row r="85" spans="1:5" ht="13" customHeight="1" x14ac:dyDescent="0.15">
      <c r="A85" t="s">
        <v>474</v>
      </c>
      <c r="B85" t="s">
        <v>475</v>
      </c>
      <c r="C85" s="5" t="s">
        <v>452</v>
      </c>
      <c r="D85" t="s">
        <v>470</v>
      </c>
      <c r="E85" t="s">
        <v>476</v>
      </c>
    </row>
    <row r="86" spans="1:5" ht="22.5" hidden="1" customHeight="1" x14ac:dyDescent="0.15">
      <c r="A86" s="2">
        <v>11.07</v>
      </c>
      <c r="B86" s="4" t="s">
        <v>486</v>
      </c>
      <c r="C86" s="5" t="s">
        <v>487</v>
      </c>
      <c r="D86" s="5" t="s">
        <v>487</v>
      </c>
      <c r="E86" s="5"/>
    </row>
    <row r="87" spans="1:5" ht="13" customHeight="1" x14ac:dyDescent="0.15">
      <c r="A87" t="s">
        <v>477</v>
      </c>
      <c r="B87" t="s">
        <v>478</v>
      </c>
      <c r="C87" s="5" t="s">
        <v>452</v>
      </c>
      <c r="D87" t="s">
        <v>479</v>
      </c>
      <c r="E87" t="s">
        <v>479</v>
      </c>
    </row>
    <row r="88" spans="1:5" ht="13" customHeight="1" x14ac:dyDescent="0.15">
      <c r="A88" t="s">
        <v>480</v>
      </c>
      <c r="B88" t="s">
        <v>481</v>
      </c>
      <c r="C88" s="5" t="s">
        <v>452</v>
      </c>
      <c r="D88" t="s">
        <v>479</v>
      </c>
      <c r="E88" t="s">
        <v>482</v>
      </c>
    </row>
    <row r="89" spans="1:5" ht="13" customHeight="1" x14ac:dyDescent="0.15">
      <c r="A89" t="s">
        <v>483</v>
      </c>
      <c r="B89" t="s">
        <v>484</v>
      </c>
      <c r="C89" s="5" t="s">
        <v>452</v>
      </c>
      <c r="D89" t="s">
        <v>479</v>
      </c>
      <c r="E89" t="s">
        <v>485</v>
      </c>
    </row>
    <row r="90" spans="1:5" ht="13" customHeight="1" x14ac:dyDescent="0.15">
      <c r="A90" t="s">
        <v>491</v>
      </c>
      <c r="B90" t="s">
        <v>492</v>
      </c>
      <c r="C90" s="5" t="s">
        <v>489</v>
      </c>
      <c r="D90" t="s">
        <v>493</v>
      </c>
      <c r="E90" t="s">
        <v>493</v>
      </c>
    </row>
    <row r="91" spans="1:5" ht="13" customHeight="1" x14ac:dyDescent="0.15">
      <c r="A91" t="s">
        <v>494</v>
      </c>
      <c r="B91" t="s">
        <v>495</v>
      </c>
      <c r="C91" s="5" t="s">
        <v>489</v>
      </c>
      <c r="D91" t="s">
        <v>493</v>
      </c>
      <c r="E91" t="s">
        <v>496</v>
      </c>
    </row>
    <row r="92" spans="1:5" ht="13" customHeight="1" x14ac:dyDescent="0.15">
      <c r="A92" t="s">
        <v>497</v>
      </c>
      <c r="B92" t="s">
        <v>498</v>
      </c>
      <c r="C92" s="5" t="s">
        <v>489</v>
      </c>
      <c r="D92" t="s">
        <v>499</v>
      </c>
      <c r="E92" t="s">
        <v>499</v>
      </c>
    </row>
    <row r="93" spans="1:5" ht="13" customHeight="1" x14ac:dyDescent="0.15">
      <c r="A93" t="s">
        <v>240</v>
      </c>
      <c r="B93" t="s">
        <v>500</v>
      </c>
      <c r="C93" s="5" t="s">
        <v>489</v>
      </c>
      <c r="D93" t="s">
        <v>499</v>
      </c>
      <c r="E93" t="s">
        <v>501</v>
      </c>
    </row>
    <row r="94" spans="1:5" ht="13" customHeight="1" x14ac:dyDescent="0.15">
      <c r="A94" t="s">
        <v>502</v>
      </c>
      <c r="B94" t="s">
        <v>503</v>
      </c>
      <c r="C94" s="5" t="s">
        <v>489</v>
      </c>
      <c r="D94" t="s">
        <v>499</v>
      </c>
      <c r="E94" t="s">
        <v>504</v>
      </c>
    </row>
    <row r="95" spans="1:5" ht="13" customHeight="1" x14ac:dyDescent="0.15">
      <c r="A95" t="s">
        <v>508</v>
      </c>
      <c r="B95" t="s">
        <v>509</v>
      </c>
      <c r="C95" s="5" t="s">
        <v>506</v>
      </c>
      <c r="D95" t="s">
        <v>510</v>
      </c>
      <c r="E95" t="s">
        <v>510</v>
      </c>
    </row>
    <row r="96" spans="1:5" ht="13" customHeight="1" x14ac:dyDescent="0.15">
      <c r="A96" t="s">
        <v>511</v>
      </c>
      <c r="B96" t="s">
        <v>512</v>
      </c>
      <c r="C96" s="5" t="s">
        <v>506</v>
      </c>
      <c r="D96" t="s">
        <v>510</v>
      </c>
      <c r="E96" t="s">
        <v>513</v>
      </c>
    </row>
    <row r="97" spans="1:5" ht="13" customHeight="1" x14ac:dyDescent="0.15">
      <c r="A97" t="s">
        <v>514</v>
      </c>
      <c r="B97" t="s">
        <v>515</v>
      </c>
      <c r="C97" s="5" t="s">
        <v>506</v>
      </c>
      <c r="D97" t="s">
        <v>510</v>
      </c>
      <c r="E97" t="s">
        <v>516</v>
      </c>
    </row>
    <row r="98" spans="1:5" ht="13" customHeight="1" x14ac:dyDescent="0.15">
      <c r="A98" t="s">
        <v>517</v>
      </c>
      <c r="B98" t="s">
        <v>518</v>
      </c>
      <c r="C98" s="5" t="s">
        <v>506</v>
      </c>
      <c r="D98" t="s">
        <v>519</v>
      </c>
      <c r="E98" t="s">
        <v>519</v>
      </c>
    </row>
    <row r="99" spans="1:5" ht="13" customHeight="1" x14ac:dyDescent="0.15">
      <c r="A99" t="s">
        <v>520</v>
      </c>
      <c r="B99" t="s">
        <v>521</v>
      </c>
      <c r="C99" s="5" t="s">
        <v>506</v>
      </c>
      <c r="D99" t="s">
        <v>519</v>
      </c>
      <c r="E99" t="s">
        <v>522</v>
      </c>
    </row>
    <row r="100" spans="1:5" ht="13" customHeight="1" x14ac:dyDescent="0.15">
      <c r="A100" t="s">
        <v>523</v>
      </c>
      <c r="B100" t="s">
        <v>524</v>
      </c>
      <c r="C100" s="5" t="s">
        <v>506</v>
      </c>
      <c r="D100" t="s">
        <v>525</v>
      </c>
      <c r="E100" t="s">
        <v>525</v>
      </c>
    </row>
    <row r="101" spans="1:5" ht="13" customHeight="1" x14ac:dyDescent="0.15">
      <c r="A101" t="s">
        <v>526</v>
      </c>
      <c r="B101" t="s">
        <v>527</v>
      </c>
      <c r="C101" s="5" t="s">
        <v>506</v>
      </c>
      <c r="D101" t="s">
        <v>525</v>
      </c>
      <c r="E101" t="s">
        <v>528</v>
      </c>
    </row>
    <row r="102" spans="1:5" ht="22.5" hidden="1" customHeight="1" x14ac:dyDescent="0.15">
      <c r="A102" s="2">
        <v>11.08</v>
      </c>
      <c r="B102" s="4" t="s">
        <v>532</v>
      </c>
      <c r="C102" s="5" t="s">
        <v>533</v>
      </c>
      <c r="D102" s="5" t="s">
        <v>533</v>
      </c>
      <c r="E102" s="5"/>
    </row>
    <row r="103" spans="1:5" ht="13" customHeight="1" x14ac:dyDescent="0.15">
      <c r="A103" t="s">
        <v>529</v>
      </c>
      <c r="B103" t="s">
        <v>530</v>
      </c>
      <c r="C103" s="5" t="s">
        <v>506</v>
      </c>
      <c r="D103" t="s">
        <v>525</v>
      </c>
      <c r="E103" t="s">
        <v>531</v>
      </c>
    </row>
    <row r="104" spans="1:5" ht="13" customHeight="1" x14ac:dyDescent="0.15">
      <c r="A104" t="s">
        <v>124</v>
      </c>
      <c r="B104" t="s">
        <v>534</v>
      </c>
      <c r="C104" s="5" t="s">
        <v>506</v>
      </c>
      <c r="D104" t="s">
        <v>525</v>
      </c>
      <c r="E104" t="s">
        <v>535</v>
      </c>
    </row>
    <row r="105" spans="1:5" ht="13" customHeight="1" x14ac:dyDescent="0.15">
      <c r="A105" t="s">
        <v>536</v>
      </c>
      <c r="B105" t="s">
        <v>537</v>
      </c>
      <c r="C105" s="5" t="s">
        <v>506</v>
      </c>
      <c r="D105" t="s">
        <v>538</v>
      </c>
      <c r="E105" t="s">
        <v>538</v>
      </c>
    </row>
    <row r="106" spans="1:5" ht="13" customHeight="1" x14ac:dyDescent="0.15">
      <c r="A106" t="s">
        <v>232</v>
      </c>
      <c r="B106" t="s">
        <v>539</v>
      </c>
      <c r="C106" s="5" t="s">
        <v>506</v>
      </c>
      <c r="D106" t="s">
        <v>538</v>
      </c>
      <c r="E106" t="s">
        <v>540</v>
      </c>
    </row>
    <row r="107" spans="1:5" ht="13" customHeight="1" x14ac:dyDescent="0.15">
      <c r="A107" t="s">
        <v>541</v>
      </c>
      <c r="B107" t="s">
        <v>542</v>
      </c>
      <c r="C107" s="5" t="s">
        <v>506</v>
      </c>
      <c r="D107" t="s">
        <v>538</v>
      </c>
      <c r="E107" t="s">
        <v>543</v>
      </c>
    </row>
    <row r="108" spans="1:5" ht="13" customHeight="1" x14ac:dyDescent="0.15">
      <c r="A108" t="s">
        <v>544</v>
      </c>
      <c r="B108" t="s">
        <v>545</v>
      </c>
      <c r="C108" s="5" t="s">
        <v>506</v>
      </c>
      <c r="D108" t="s">
        <v>538</v>
      </c>
      <c r="E108" t="s">
        <v>546</v>
      </c>
    </row>
    <row r="109" spans="1:5" ht="13" customHeight="1" x14ac:dyDescent="0.15">
      <c r="A109" t="s">
        <v>550</v>
      </c>
      <c r="B109" t="s">
        <v>551</v>
      </c>
      <c r="C109" s="5" t="s">
        <v>548</v>
      </c>
      <c r="D109" t="s">
        <v>552</v>
      </c>
      <c r="E109" t="s">
        <v>552</v>
      </c>
    </row>
    <row r="110" spans="1:5" ht="13" customHeight="1" x14ac:dyDescent="0.15">
      <c r="A110" t="s">
        <v>553</v>
      </c>
      <c r="B110" t="s">
        <v>554</v>
      </c>
      <c r="C110" s="5" t="s">
        <v>548</v>
      </c>
      <c r="D110" t="s">
        <v>552</v>
      </c>
      <c r="E110" t="s">
        <v>555</v>
      </c>
    </row>
    <row r="111" spans="1:5" ht="13" customHeight="1" x14ac:dyDescent="0.15">
      <c r="A111" t="s">
        <v>556</v>
      </c>
      <c r="B111" t="s">
        <v>557</v>
      </c>
      <c r="C111" s="5" t="s">
        <v>548</v>
      </c>
      <c r="D111" t="s">
        <v>552</v>
      </c>
      <c r="E111" t="s">
        <v>558</v>
      </c>
    </row>
    <row r="112" spans="1:5" ht="13" customHeight="1" x14ac:dyDescent="0.15">
      <c r="A112" t="s">
        <v>559</v>
      </c>
      <c r="B112" t="s">
        <v>560</v>
      </c>
      <c r="C112" s="5" t="s">
        <v>548</v>
      </c>
      <c r="D112" t="s">
        <v>561</v>
      </c>
      <c r="E112" t="s">
        <v>561</v>
      </c>
    </row>
    <row r="113" spans="1:5" ht="13" customHeight="1" x14ac:dyDescent="0.15">
      <c r="A113" t="s">
        <v>562</v>
      </c>
      <c r="B113" t="s">
        <v>563</v>
      </c>
      <c r="C113" s="5" t="s">
        <v>548</v>
      </c>
      <c r="D113" t="s">
        <v>561</v>
      </c>
      <c r="E113" t="s">
        <v>564</v>
      </c>
    </row>
    <row r="114" spans="1:5" ht="13" customHeight="1" x14ac:dyDescent="0.15">
      <c r="A114" t="s">
        <v>565</v>
      </c>
      <c r="B114" t="s">
        <v>566</v>
      </c>
      <c r="C114" s="5" t="s">
        <v>548</v>
      </c>
      <c r="D114" t="s">
        <v>561</v>
      </c>
      <c r="E114" t="s">
        <v>567</v>
      </c>
    </row>
    <row r="115" spans="1:5" ht="13" customHeight="1" x14ac:dyDescent="0.15">
      <c r="A115" t="s">
        <v>568</v>
      </c>
      <c r="B115" t="s">
        <v>569</v>
      </c>
      <c r="C115" s="5" t="s">
        <v>548</v>
      </c>
      <c r="D115" t="s">
        <v>570</v>
      </c>
      <c r="E115" t="s">
        <v>570</v>
      </c>
    </row>
    <row r="116" spans="1:5" ht="13" customHeight="1" x14ac:dyDescent="0.15">
      <c r="A116" t="s">
        <v>571</v>
      </c>
      <c r="B116" t="s">
        <v>572</v>
      </c>
      <c r="C116" s="5" t="s">
        <v>548</v>
      </c>
      <c r="D116" t="s">
        <v>570</v>
      </c>
      <c r="E116" t="s">
        <v>573</v>
      </c>
    </row>
    <row r="117" spans="1:5" ht="22.5" hidden="1" customHeight="1" x14ac:dyDescent="0.15">
      <c r="A117" s="2">
        <v>11.09</v>
      </c>
      <c r="B117" s="4" t="s">
        <v>574</v>
      </c>
      <c r="C117" s="5" t="s">
        <v>575</v>
      </c>
      <c r="D117" s="5" t="s">
        <v>575</v>
      </c>
      <c r="E117" s="5"/>
    </row>
    <row r="118" spans="1:5" ht="13" customHeight="1" x14ac:dyDescent="0.15">
      <c r="A118" t="s">
        <v>576</v>
      </c>
      <c r="B118" t="s">
        <v>577</v>
      </c>
      <c r="C118" s="5" t="s">
        <v>548</v>
      </c>
      <c r="D118" t="s">
        <v>570</v>
      </c>
      <c r="E118" t="s">
        <v>578</v>
      </c>
    </row>
    <row r="119" spans="1:5" ht="13" customHeight="1" x14ac:dyDescent="0.15">
      <c r="A119" t="s">
        <v>579</v>
      </c>
      <c r="B119" t="s">
        <v>580</v>
      </c>
      <c r="C119" s="5" t="s">
        <v>548</v>
      </c>
      <c r="D119" t="s">
        <v>570</v>
      </c>
      <c r="E119" t="s">
        <v>581</v>
      </c>
    </row>
    <row r="120" spans="1:5" ht="13" customHeight="1" x14ac:dyDescent="0.15">
      <c r="A120" t="s">
        <v>582</v>
      </c>
      <c r="B120" t="s">
        <v>583</v>
      </c>
      <c r="C120" s="5" t="s">
        <v>548</v>
      </c>
      <c r="D120" t="s">
        <v>570</v>
      </c>
      <c r="E120" t="s">
        <v>584</v>
      </c>
    </row>
    <row r="121" spans="1:5" ht="13" customHeight="1" x14ac:dyDescent="0.15">
      <c r="A121" t="s">
        <v>585</v>
      </c>
      <c r="B121" t="s">
        <v>586</v>
      </c>
      <c r="C121" s="5" t="s">
        <v>587</v>
      </c>
      <c r="D121" t="s">
        <v>588</v>
      </c>
    </row>
    <row r="122" spans="1:5" ht="13" customHeight="1" x14ac:dyDescent="0.15">
      <c r="A122" t="s">
        <v>589</v>
      </c>
      <c r="B122" t="s">
        <v>590</v>
      </c>
      <c r="C122" s="5" t="s">
        <v>587</v>
      </c>
      <c r="D122" t="s">
        <v>591</v>
      </c>
    </row>
    <row r="123" spans="1:5" ht="13" customHeight="1" x14ac:dyDescent="0.15">
      <c r="A123" t="s">
        <v>592</v>
      </c>
      <c r="B123" t="s">
        <v>593</v>
      </c>
      <c r="C123" s="5" t="s">
        <v>587</v>
      </c>
      <c r="D123" t="s">
        <v>594</v>
      </c>
    </row>
    <row r="124" spans="1:5" ht="13" customHeight="1" x14ac:dyDescent="0.15">
      <c r="A124" t="s">
        <v>595</v>
      </c>
      <c r="B124" t="s">
        <v>596</v>
      </c>
      <c r="C124" s="5" t="s">
        <v>587</v>
      </c>
      <c r="D124" t="s">
        <v>597</v>
      </c>
    </row>
    <row r="125" spans="1:5" ht="13" customHeight="1" x14ac:dyDescent="0.15">
      <c r="A125" t="s">
        <v>598</v>
      </c>
      <c r="B125" t="s">
        <v>599</v>
      </c>
      <c r="C125" s="5" t="s">
        <v>587</v>
      </c>
      <c r="D125" t="s">
        <v>600</v>
      </c>
    </row>
    <row r="126" spans="1:5" ht="13" customHeight="1" x14ac:dyDescent="0.15">
      <c r="A126" t="s">
        <v>601</v>
      </c>
      <c r="B126" t="s">
        <v>602</v>
      </c>
      <c r="C126" s="5" t="s">
        <v>603</v>
      </c>
      <c r="D126" t="s">
        <v>603</v>
      </c>
    </row>
    <row r="127" spans="1:5" ht="13" customHeight="1" x14ac:dyDescent="0.15">
      <c r="A127" t="s">
        <v>604</v>
      </c>
      <c r="B127" t="s">
        <v>602</v>
      </c>
      <c r="C127" s="5" t="s">
        <v>603</v>
      </c>
      <c r="D127" t="s">
        <v>605</v>
      </c>
    </row>
    <row r="128" spans="1:5" ht="13" customHeight="1" x14ac:dyDescent="0.15">
      <c r="A128" t="s">
        <v>606</v>
      </c>
      <c r="B128" t="s">
        <v>607</v>
      </c>
      <c r="C128" s="5" t="s">
        <v>603</v>
      </c>
      <c r="D128" t="s">
        <v>608</v>
      </c>
    </row>
    <row r="129" spans="1:5" ht="13" customHeight="1" x14ac:dyDescent="0.15">
      <c r="A129" t="s">
        <v>609</v>
      </c>
      <c r="B129" t="s">
        <v>610</v>
      </c>
      <c r="C129" s="5" t="s">
        <v>603</v>
      </c>
      <c r="D129" t="s">
        <v>611</v>
      </c>
    </row>
    <row r="130" spans="1:5" ht="13" customHeight="1" x14ac:dyDescent="0.15">
      <c r="A130" t="s">
        <v>612</v>
      </c>
      <c r="B130" t="s">
        <v>613</v>
      </c>
      <c r="C130" s="5" t="s">
        <v>614</v>
      </c>
      <c r="D130" t="s">
        <v>614</v>
      </c>
    </row>
    <row r="131" spans="1:5" ht="13" customHeight="1" x14ac:dyDescent="0.15">
      <c r="A131" t="s">
        <v>615</v>
      </c>
      <c r="B131" t="s">
        <v>616</v>
      </c>
      <c r="C131" s="5" t="s">
        <v>614</v>
      </c>
      <c r="D131" t="s">
        <v>617</v>
      </c>
    </row>
    <row r="132" spans="1:5" ht="13" customHeight="1" x14ac:dyDescent="0.15">
      <c r="A132" t="s">
        <v>618</v>
      </c>
      <c r="B132" t="s">
        <v>619</v>
      </c>
      <c r="C132" s="5" t="s">
        <v>620</v>
      </c>
      <c r="D132" t="s">
        <v>620</v>
      </c>
    </row>
    <row r="133" spans="1:5" ht="13" customHeight="1" x14ac:dyDescent="0.15">
      <c r="A133" t="s">
        <v>621</v>
      </c>
      <c r="B133" t="s">
        <v>622</v>
      </c>
      <c r="C133" s="5" t="s">
        <v>620</v>
      </c>
      <c r="D133" t="s">
        <v>623</v>
      </c>
    </row>
    <row r="134" spans="1:5" ht="22.5" hidden="1" customHeight="1" x14ac:dyDescent="0.15">
      <c r="A134" s="2">
        <v>11.1</v>
      </c>
      <c r="B134" s="4" t="s">
        <v>624</v>
      </c>
      <c r="C134" s="5" t="s">
        <v>625</v>
      </c>
      <c r="D134" s="5" t="s">
        <v>625</v>
      </c>
      <c r="E134" s="5"/>
    </row>
    <row r="135" spans="1:5" ht="13" customHeight="1" x14ac:dyDescent="0.15">
      <c r="A135" t="s">
        <v>626</v>
      </c>
      <c r="B135" t="s">
        <v>627</v>
      </c>
      <c r="C135" s="5" t="s">
        <v>628</v>
      </c>
      <c r="D135" t="s">
        <v>628</v>
      </c>
    </row>
    <row r="136" spans="1:5" ht="13" customHeight="1" x14ac:dyDescent="0.15">
      <c r="A136" t="s">
        <v>629</v>
      </c>
      <c r="B136" t="s">
        <v>630</v>
      </c>
      <c r="C136" s="5" t="s">
        <v>628</v>
      </c>
      <c r="D136" t="s">
        <v>631</v>
      </c>
    </row>
    <row r="137" spans="1:5" ht="13" customHeight="1" x14ac:dyDescent="0.15">
      <c r="A137" t="s">
        <v>632</v>
      </c>
      <c r="B137" t="s">
        <v>633</v>
      </c>
      <c r="C137" s="5" t="s">
        <v>628</v>
      </c>
      <c r="D137" t="s">
        <v>634</v>
      </c>
    </row>
    <row r="138" spans="1:5" ht="13" customHeight="1" x14ac:dyDescent="0.15">
      <c r="A138" t="s">
        <v>635</v>
      </c>
      <c r="B138" t="s">
        <v>636</v>
      </c>
      <c r="C138" s="5" t="s">
        <v>628</v>
      </c>
      <c r="D138" t="s">
        <v>637</v>
      </c>
    </row>
    <row r="139" spans="1:5" ht="13" customHeight="1" x14ac:dyDescent="0.15">
      <c r="A139" t="s">
        <v>638</v>
      </c>
      <c r="B139" t="s">
        <v>639</v>
      </c>
      <c r="C139" s="5" t="s">
        <v>628</v>
      </c>
      <c r="D139" t="s">
        <v>640</v>
      </c>
    </row>
    <row r="140" spans="1:5" ht="13" customHeight="1" x14ac:dyDescent="0.15">
      <c r="A140" t="s">
        <v>641</v>
      </c>
      <c r="B140" t="s">
        <v>642</v>
      </c>
      <c r="C140" s="5" t="s">
        <v>643</v>
      </c>
      <c r="D140" t="s">
        <v>643</v>
      </c>
    </row>
    <row r="141" spans="1:5" ht="13" customHeight="1" x14ac:dyDescent="0.15">
      <c r="A141" t="s">
        <v>644</v>
      </c>
      <c r="B141" t="s">
        <v>645</v>
      </c>
      <c r="C141" s="5" t="s">
        <v>643</v>
      </c>
      <c r="D141" t="s">
        <v>646</v>
      </c>
    </row>
    <row r="142" spans="1:5" ht="13" customHeight="1" x14ac:dyDescent="0.15">
      <c r="A142" t="s">
        <v>647</v>
      </c>
      <c r="B142" t="s">
        <v>648</v>
      </c>
      <c r="C142" s="5" t="s">
        <v>643</v>
      </c>
      <c r="D142" t="s">
        <v>649</v>
      </c>
    </row>
    <row r="143" spans="1:5" ht="13" customHeight="1" x14ac:dyDescent="0.15">
      <c r="A143" t="s">
        <v>650</v>
      </c>
      <c r="B143" t="s">
        <v>651</v>
      </c>
      <c r="C143" s="5" t="s">
        <v>652</v>
      </c>
      <c r="D143" t="s">
        <v>652</v>
      </c>
    </row>
    <row r="144" spans="1:5" ht="13" customHeight="1" x14ac:dyDescent="0.15">
      <c r="A144" t="s">
        <v>653</v>
      </c>
      <c r="B144" t="s">
        <v>654</v>
      </c>
      <c r="C144" s="5" t="s">
        <v>652</v>
      </c>
      <c r="D144" t="s">
        <v>655</v>
      </c>
    </row>
    <row r="145" spans="1:5" ht="13" customHeight="1" x14ac:dyDescent="0.15">
      <c r="A145" t="s">
        <v>656</v>
      </c>
      <c r="B145" t="s">
        <v>657</v>
      </c>
      <c r="C145" s="5" t="s">
        <v>652</v>
      </c>
      <c r="D145" t="s">
        <v>658</v>
      </c>
    </row>
    <row r="146" spans="1:5" ht="13" customHeight="1" x14ac:dyDescent="0.15">
      <c r="A146" t="s">
        <v>659</v>
      </c>
      <c r="B146" t="s">
        <v>660</v>
      </c>
      <c r="C146" s="5" t="s">
        <v>652</v>
      </c>
      <c r="D146" t="s">
        <v>661</v>
      </c>
    </row>
    <row r="147" spans="1:5" ht="22.5" hidden="1" customHeight="1" x14ac:dyDescent="0.15">
      <c r="A147" s="2">
        <v>11.11</v>
      </c>
      <c r="B147" s="4" t="s">
        <v>662</v>
      </c>
      <c r="C147" s="5" t="s">
        <v>663</v>
      </c>
      <c r="D147" s="5" t="s">
        <v>663</v>
      </c>
      <c r="E147" s="5"/>
    </row>
    <row r="148" spans="1:5" ht="13" customHeight="1" x14ac:dyDescent="0.15">
      <c r="A148" t="s">
        <v>664</v>
      </c>
      <c r="B148" t="s">
        <v>665</v>
      </c>
      <c r="C148" s="5" t="s">
        <v>666</v>
      </c>
      <c r="D148" t="s">
        <v>666</v>
      </c>
    </row>
    <row r="149" spans="1:5" ht="13" customHeight="1" x14ac:dyDescent="0.15">
      <c r="A149" t="s">
        <v>667</v>
      </c>
      <c r="B149" t="s">
        <v>668</v>
      </c>
      <c r="C149" s="5" t="s">
        <v>666</v>
      </c>
      <c r="D149" t="s">
        <v>669</v>
      </c>
    </row>
    <row r="150" spans="1:5" ht="13" customHeight="1" x14ac:dyDescent="0.15">
      <c r="A150" t="s">
        <v>670</v>
      </c>
      <c r="B150" t="s">
        <v>671</v>
      </c>
      <c r="C150" s="5" t="s">
        <v>666</v>
      </c>
      <c r="D150" t="s">
        <v>672</v>
      </c>
    </row>
    <row r="151" spans="1:5" ht="13" customHeight="1" x14ac:dyDescent="0.15">
      <c r="A151" t="s">
        <v>673</v>
      </c>
      <c r="B151" t="s">
        <v>674</v>
      </c>
      <c r="C151" s="5" t="s">
        <v>675</v>
      </c>
      <c r="D151" t="s">
        <v>675</v>
      </c>
    </row>
    <row r="152" spans="1:5" ht="13" customHeight="1" x14ac:dyDescent="0.15">
      <c r="A152" t="s">
        <v>676</v>
      </c>
      <c r="B152" t="s">
        <v>677</v>
      </c>
      <c r="C152" s="5" t="s">
        <v>675</v>
      </c>
      <c r="D152" t="s">
        <v>678</v>
      </c>
    </row>
    <row r="153" spans="1:5" ht="13" customHeight="1" x14ac:dyDescent="0.15">
      <c r="A153" t="s">
        <v>679</v>
      </c>
      <c r="B153" t="s">
        <v>680</v>
      </c>
      <c r="C153" s="5" t="s">
        <v>675</v>
      </c>
      <c r="D153" t="s">
        <v>681</v>
      </c>
    </row>
    <row r="154" spans="1:5" ht="13" customHeight="1" x14ac:dyDescent="0.15">
      <c r="A154" t="s">
        <v>682</v>
      </c>
      <c r="B154" t="s">
        <v>683</v>
      </c>
      <c r="C154" s="5" t="s">
        <v>675</v>
      </c>
      <c r="D154" t="s">
        <v>684</v>
      </c>
    </row>
    <row r="155" spans="1:5" ht="13" customHeight="1" x14ac:dyDescent="0.15">
      <c r="A155" t="s">
        <v>685</v>
      </c>
      <c r="B155" t="s">
        <v>686</v>
      </c>
      <c r="C155" s="5" t="s">
        <v>687</v>
      </c>
      <c r="D155" t="s">
        <v>687</v>
      </c>
    </row>
    <row r="156" spans="1:5" ht="13" customHeight="1" x14ac:dyDescent="0.15">
      <c r="A156" t="s">
        <v>688</v>
      </c>
      <c r="B156" t="s">
        <v>689</v>
      </c>
      <c r="C156" s="5" t="s">
        <v>687</v>
      </c>
      <c r="D156" t="s">
        <v>690</v>
      </c>
    </row>
    <row r="157" spans="1:5" ht="13" customHeight="1" x14ac:dyDescent="0.15">
      <c r="A157" t="s">
        <v>691</v>
      </c>
      <c r="B157" t="s">
        <v>692</v>
      </c>
      <c r="C157" s="5" t="s">
        <v>687</v>
      </c>
      <c r="D157" t="s">
        <v>693</v>
      </c>
    </row>
    <row r="158" spans="1:5" ht="13" customHeight="1" x14ac:dyDescent="0.15">
      <c r="A158" t="s">
        <v>694</v>
      </c>
      <c r="B158" t="s">
        <v>695</v>
      </c>
      <c r="C158" s="5" t="s">
        <v>687</v>
      </c>
      <c r="D158" t="s">
        <v>696</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D19"/>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1" max="1" width="12.6640625" customWidth="1"/>
    <col min="2" max="2" width="25.1640625" customWidth="1"/>
    <col min="3" max="3" width="62.6640625" customWidth="1"/>
    <col min="4" max="4" width="25.1640625" customWidth="1"/>
  </cols>
  <sheetData>
    <row r="1" spans="1:4" ht="22.5" customHeight="1" x14ac:dyDescent="0.15">
      <c r="A1" s="2" t="s">
        <v>697</v>
      </c>
      <c r="B1" s="3" t="s">
        <v>698</v>
      </c>
      <c r="C1" s="3" t="s">
        <v>699</v>
      </c>
      <c r="D1" s="3" t="s">
        <v>700</v>
      </c>
    </row>
    <row r="2" spans="1:4" ht="22.5" customHeight="1" x14ac:dyDescent="0.15">
      <c r="A2" s="2">
        <v>1</v>
      </c>
      <c r="B2" s="5" t="s">
        <v>701</v>
      </c>
      <c r="C2" s="5" t="s">
        <v>702</v>
      </c>
      <c r="D2" s="5" t="str">
        <f t="shared" ref="D2:D19" si="0">CONCATENATE(A2,". ",B2)</f>
        <v>1. Best Use</v>
      </c>
    </row>
    <row r="3" spans="1:4" ht="22.5" customHeight="1" x14ac:dyDescent="0.15">
      <c r="A3" s="2">
        <v>2</v>
      </c>
      <c r="B3" s="5" t="s">
        <v>703</v>
      </c>
      <c r="C3" s="5" t="s">
        <v>704</v>
      </c>
      <c r="D3" s="5" t="str">
        <f t="shared" si="0"/>
        <v>2. POV</v>
      </c>
    </row>
    <row r="4" spans="1:4" ht="22.5" customHeight="1" x14ac:dyDescent="0.15">
      <c r="A4" s="2">
        <v>3</v>
      </c>
      <c r="B4" s="5" t="s">
        <v>705</v>
      </c>
      <c r="C4" s="5" t="s">
        <v>706</v>
      </c>
      <c r="D4" s="5" t="str">
        <f t="shared" si="0"/>
        <v>3. Claim Validity (With Outside Information)</v>
      </c>
    </row>
    <row r="5" spans="1:4" ht="22.5" customHeight="1" x14ac:dyDescent="0.15">
      <c r="A5" s="2">
        <v>4</v>
      </c>
      <c r="B5" s="5" t="s">
        <v>707</v>
      </c>
      <c r="C5" s="5" t="s">
        <v>708</v>
      </c>
      <c r="D5" s="5" t="str">
        <f t="shared" si="0"/>
        <v>4. Claim Validity (Without Outside Information)</v>
      </c>
    </row>
    <row r="6" spans="1:4" ht="22.5" customHeight="1" x14ac:dyDescent="0.15">
      <c r="A6" s="2">
        <v>5</v>
      </c>
      <c r="B6" s="5" t="s">
        <v>709</v>
      </c>
      <c r="C6" s="5" t="s">
        <v>710</v>
      </c>
      <c r="D6" s="5" t="str">
        <f t="shared" si="0"/>
        <v>5. Turning Point</v>
      </c>
    </row>
    <row r="7" spans="1:4" ht="22.5" customHeight="1" x14ac:dyDescent="0.15">
      <c r="A7" s="2">
        <v>6</v>
      </c>
      <c r="B7" s="5" t="s">
        <v>711</v>
      </c>
      <c r="C7" s="5" t="s">
        <v>712</v>
      </c>
      <c r="D7" s="5" t="str">
        <f t="shared" si="0"/>
        <v>6. Change Over Time</v>
      </c>
    </row>
    <row r="8" spans="1:4" ht="22.5" customHeight="1" x14ac:dyDescent="0.15">
      <c r="A8" s="2">
        <v>7</v>
      </c>
      <c r="B8" s="5" t="s">
        <v>713</v>
      </c>
      <c r="C8" s="5" t="s">
        <v>714</v>
      </c>
      <c r="D8" s="5" t="str">
        <f t="shared" si="0"/>
        <v>7. Cause</v>
      </c>
    </row>
    <row r="9" spans="1:4" ht="22.5" customHeight="1" x14ac:dyDescent="0.15">
      <c r="A9" s="2">
        <v>8</v>
      </c>
      <c r="B9" s="5" t="s">
        <v>715</v>
      </c>
      <c r="C9" s="5" t="s">
        <v>716</v>
      </c>
      <c r="D9" s="5" t="str">
        <f t="shared" si="0"/>
        <v>8. Effect</v>
      </c>
    </row>
    <row r="10" spans="1:4" ht="22.5" customHeight="1" x14ac:dyDescent="0.15">
      <c r="A10" s="2">
        <v>9</v>
      </c>
      <c r="B10" s="5" t="s">
        <v>717</v>
      </c>
      <c r="C10" s="5" t="s">
        <v>718</v>
      </c>
      <c r="D10" s="5" t="str">
        <f t="shared" si="0"/>
        <v>9. Impact of Setting</v>
      </c>
    </row>
    <row r="11" spans="1:4" ht="22.5" customHeight="1" x14ac:dyDescent="0.15">
      <c r="A11" s="2">
        <v>10</v>
      </c>
      <c r="B11" s="5" t="s">
        <v>719</v>
      </c>
      <c r="C11" s="5" t="s">
        <v>720</v>
      </c>
      <c r="D11" s="5" t="str">
        <f t="shared" si="0"/>
        <v>10. Compare</v>
      </c>
    </row>
    <row r="12" spans="1:4" ht="22.5" customHeight="1" x14ac:dyDescent="0.15">
      <c r="A12" s="2">
        <v>11</v>
      </c>
      <c r="B12" s="5" t="s">
        <v>721</v>
      </c>
      <c r="C12" s="5" t="s">
        <v>722</v>
      </c>
      <c r="D12" s="5" t="str">
        <f t="shared" si="0"/>
        <v>11. Contrast</v>
      </c>
    </row>
    <row r="13" spans="1:4" ht="22.5" customHeight="1" x14ac:dyDescent="0.15">
      <c r="A13" s="2">
        <v>12</v>
      </c>
      <c r="B13" s="5" t="s">
        <v>723</v>
      </c>
      <c r="C13" s="5" t="s">
        <v>724</v>
      </c>
      <c r="D13" s="5" t="str">
        <f t="shared" si="0"/>
        <v>12. Informed Civic Action</v>
      </c>
    </row>
    <row r="14" spans="1:4" ht="22.5" customHeight="1" x14ac:dyDescent="0.15">
      <c r="A14" s="2">
        <v>13</v>
      </c>
      <c r="B14" s="5" t="s">
        <v>725</v>
      </c>
      <c r="C14" s="5" t="s">
        <v>726</v>
      </c>
      <c r="D14" s="5" t="str">
        <f t="shared" si="0"/>
        <v>13. Interpret Visual Data</v>
      </c>
    </row>
    <row r="15" spans="1:4" ht="22.5" customHeight="1" x14ac:dyDescent="0.15">
      <c r="A15" s="2">
        <v>14</v>
      </c>
      <c r="B15" s="5" t="s">
        <v>727</v>
      </c>
      <c r="C15" s="5" t="s">
        <v>728</v>
      </c>
      <c r="D15" s="5" t="str">
        <f t="shared" si="0"/>
        <v>14. Stakeholder Issue</v>
      </c>
    </row>
    <row r="16" spans="1:4" ht="22.5" customHeight="1" x14ac:dyDescent="0.15">
      <c r="A16" s="2">
        <v>15</v>
      </c>
      <c r="B16" s="5" t="s">
        <v>729</v>
      </c>
      <c r="C16" s="5" t="s">
        <v>730</v>
      </c>
      <c r="D16" s="5" t="str">
        <f t="shared" si="0"/>
        <v>15. Recommended Action</v>
      </c>
    </row>
    <row r="17" spans="1:4" ht="22.5" customHeight="1" x14ac:dyDescent="0.15">
      <c r="A17" s="2">
        <v>16</v>
      </c>
      <c r="B17" s="5" t="s">
        <v>731</v>
      </c>
      <c r="C17" s="5" t="s">
        <v>732</v>
      </c>
      <c r="D17" s="5" t="str">
        <f t="shared" si="0"/>
        <v>16. Sequence of Events</v>
      </c>
    </row>
    <row r="18" spans="1:4" ht="22.5" customHeight="1" x14ac:dyDescent="0.15">
      <c r="A18" s="2">
        <v>17</v>
      </c>
      <c r="B18" s="5" t="s">
        <v>733</v>
      </c>
      <c r="C18" s="5" t="s">
        <v>734</v>
      </c>
      <c r="D18" s="5" t="str">
        <f t="shared" si="0"/>
        <v>17. Problem</v>
      </c>
    </row>
    <row r="19" spans="1:4" ht="22.5" customHeight="1" x14ac:dyDescent="0.15">
      <c r="A19" s="2">
        <v>18</v>
      </c>
      <c r="B19" s="5" t="s">
        <v>735</v>
      </c>
      <c r="C19" s="5" t="s">
        <v>736</v>
      </c>
      <c r="D19" s="5" t="str">
        <f t="shared" si="0"/>
        <v>18. Response to Problem</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42"/>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1" max="1" width="35.83203125" customWidth="1"/>
    <col min="2" max="2" width="14" customWidth="1"/>
    <col min="3" max="3" width="50.1640625" customWidth="1"/>
  </cols>
  <sheetData>
    <row r="1" spans="1:3" ht="22.5" customHeight="1" x14ac:dyDescent="0.15">
      <c r="A1" s="6" t="s">
        <v>46</v>
      </c>
      <c r="B1" s="2" t="s">
        <v>737</v>
      </c>
      <c r="C1" s="3" t="s">
        <v>738</v>
      </c>
    </row>
    <row r="2" spans="1:3" ht="22.5" customHeight="1" x14ac:dyDescent="0.15">
      <c r="A2" s="1" t="s">
        <v>60</v>
      </c>
      <c r="B2" s="2">
        <v>1</v>
      </c>
      <c r="C2" s="5" t="s">
        <v>739</v>
      </c>
    </row>
    <row r="3" spans="1:3" ht="22.5" customHeight="1" x14ac:dyDescent="0.15">
      <c r="A3" s="1" t="s">
        <v>60</v>
      </c>
      <c r="B3" s="2">
        <v>2</v>
      </c>
      <c r="C3" s="5" t="s">
        <v>740</v>
      </c>
    </row>
    <row r="4" spans="1:3" ht="22.5" customHeight="1" x14ac:dyDescent="0.15">
      <c r="A4" s="1" t="s">
        <v>60</v>
      </c>
      <c r="B4" s="2">
        <v>3</v>
      </c>
      <c r="C4" s="5" t="s">
        <v>741</v>
      </c>
    </row>
    <row r="5" spans="1:3" ht="22.5" customHeight="1" x14ac:dyDescent="0.15">
      <c r="A5" s="1" t="s">
        <v>60</v>
      </c>
      <c r="B5" s="2">
        <v>4</v>
      </c>
      <c r="C5" s="5" t="s">
        <v>742</v>
      </c>
    </row>
    <row r="6" spans="1:3" ht="22.5" customHeight="1" x14ac:dyDescent="0.15">
      <c r="A6" s="1" t="s">
        <v>60</v>
      </c>
      <c r="B6" s="2">
        <v>5</v>
      </c>
      <c r="C6" s="5" t="s">
        <v>743</v>
      </c>
    </row>
    <row r="7" spans="1:3" ht="22.5" customHeight="1" x14ac:dyDescent="0.15">
      <c r="A7" s="1" t="s">
        <v>60</v>
      </c>
      <c r="B7" s="2">
        <v>6</v>
      </c>
      <c r="C7" s="5" t="s">
        <v>744</v>
      </c>
    </row>
    <row r="8" spans="1:3" ht="22.5" customHeight="1" x14ac:dyDescent="0.15">
      <c r="A8" s="1" t="s">
        <v>60</v>
      </c>
      <c r="B8" s="2">
        <v>7</v>
      </c>
      <c r="C8" s="5" t="s">
        <v>745</v>
      </c>
    </row>
    <row r="9" spans="1:3" ht="22.5" customHeight="1" x14ac:dyDescent="0.15">
      <c r="A9" s="1" t="s">
        <v>93</v>
      </c>
      <c r="B9" s="2">
        <v>1</v>
      </c>
      <c r="C9" s="5" t="s">
        <v>746</v>
      </c>
    </row>
    <row r="10" spans="1:3" ht="22.5" customHeight="1" x14ac:dyDescent="0.15">
      <c r="A10" s="1" t="s">
        <v>93</v>
      </c>
      <c r="B10" s="2">
        <v>2</v>
      </c>
      <c r="C10" s="5" t="s">
        <v>747</v>
      </c>
    </row>
    <row r="11" spans="1:3" ht="22.5" customHeight="1" x14ac:dyDescent="0.15">
      <c r="A11" s="1" t="s">
        <v>93</v>
      </c>
      <c r="B11" s="2">
        <v>3</v>
      </c>
      <c r="C11" s="5" t="s">
        <v>748</v>
      </c>
    </row>
    <row r="12" spans="1:3" ht="22.5" customHeight="1" x14ac:dyDescent="0.15">
      <c r="A12" s="1" t="s">
        <v>93</v>
      </c>
      <c r="B12" s="2">
        <v>4</v>
      </c>
      <c r="C12" s="5" t="s">
        <v>749</v>
      </c>
    </row>
    <row r="13" spans="1:3" ht="22.5" customHeight="1" x14ac:dyDescent="0.15">
      <c r="A13" s="1" t="s">
        <v>93</v>
      </c>
      <c r="B13" s="2">
        <v>5</v>
      </c>
      <c r="C13" s="5" t="s">
        <v>750</v>
      </c>
    </row>
    <row r="14" spans="1:3" ht="22.5" customHeight="1" x14ac:dyDescent="0.15">
      <c r="A14" s="1" t="s">
        <v>93</v>
      </c>
      <c r="B14" s="2">
        <v>6</v>
      </c>
      <c r="C14" s="5" t="s">
        <v>751</v>
      </c>
    </row>
    <row r="15" spans="1:3" ht="22.5" customHeight="1" x14ac:dyDescent="0.15">
      <c r="A15" s="1" t="s">
        <v>93</v>
      </c>
      <c r="B15" s="2">
        <v>7</v>
      </c>
      <c r="C15" s="5" t="s">
        <v>752</v>
      </c>
    </row>
    <row r="16" spans="1:3" ht="22.5" customHeight="1" x14ac:dyDescent="0.15">
      <c r="A16" s="1" t="s">
        <v>93</v>
      </c>
      <c r="B16" s="2">
        <v>8</v>
      </c>
      <c r="C16" s="5" t="s">
        <v>753</v>
      </c>
    </row>
    <row r="17" spans="1:3" ht="22.5" customHeight="1" x14ac:dyDescent="0.15">
      <c r="A17" s="1" t="s">
        <v>78</v>
      </c>
      <c r="B17" s="2">
        <v>1</v>
      </c>
      <c r="C17" s="5" t="s">
        <v>754</v>
      </c>
    </row>
    <row r="18" spans="1:3" ht="22.5" customHeight="1" x14ac:dyDescent="0.15">
      <c r="A18" s="1" t="s">
        <v>78</v>
      </c>
      <c r="B18" s="2">
        <v>2</v>
      </c>
      <c r="C18" s="5" t="s">
        <v>755</v>
      </c>
    </row>
    <row r="19" spans="1:3" ht="22.5" customHeight="1" x14ac:dyDescent="0.15">
      <c r="A19" s="1" t="s">
        <v>78</v>
      </c>
      <c r="B19" s="2">
        <v>3</v>
      </c>
      <c r="C19" s="5" t="s">
        <v>756</v>
      </c>
    </row>
    <row r="20" spans="1:3" ht="22.5" customHeight="1" x14ac:dyDescent="0.15">
      <c r="A20" s="1" t="s">
        <v>78</v>
      </c>
      <c r="B20" s="2">
        <v>4</v>
      </c>
      <c r="C20" s="5" t="s">
        <v>757</v>
      </c>
    </row>
    <row r="21" spans="1:3" ht="22.5" customHeight="1" x14ac:dyDescent="0.15">
      <c r="A21" s="1" t="s">
        <v>78</v>
      </c>
      <c r="B21" s="2">
        <v>5</v>
      </c>
      <c r="C21" s="5" t="s">
        <v>758</v>
      </c>
    </row>
    <row r="22" spans="1:3" ht="22.5" customHeight="1" x14ac:dyDescent="0.15">
      <c r="A22" s="1" t="s">
        <v>78</v>
      </c>
      <c r="B22" s="2">
        <v>6</v>
      </c>
      <c r="C22" s="5" t="s">
        <v>759</v>
      </c>
    </row>
    <row r="23" spans="1:3" ht="22.5" customHeight="1" x14ac:dyDescent="0.15">
      <c r="A23" s="1" t="s">
        <v>760</v>
      </c>
      <c r="B23" s="2">
        <v>1</v>
      </c>
      <c r="C23" s="5" t="s">
        <v>761</v>
      </c>
    </row>
    <row r="24" spans="1:3" ht="22.5" customHeight="1" x14ac:dyDescent="0.15">
      <c r="A24" s="1" t="s">
        <v>760</v>
      </c>
      <c r="B24" s="2">
        <v>2</v>
      </c>
      <c r="C24" s="5" t="s">
        <v>762</v>
      </c>
    </row>
    <row r="25" spans="1:3" ht="22.5" customHeight="1" x14ac:dyDescent="0.15">
      <c r="A25" s="1" t="s">
        <v>760</v>
      </c>
      <c r="B25" s="2">
        <v>3</v>
      </c>
      <c r="C25" s="5" t="s">
        <v>763</v>
      </c>
    </row>
    <row r="26" spans="1:3" ht="22.5" customHeight="1" x14ac:dyDescent="0.15">
      <c r="A26" s="1" t="s">
        <v>760</v>
      </c>
      <c r="B26" s="2">
        <v>4</v>
      </c>
      <c r="C26" s="5" t="s">
        <v>764</v>
      </c>
    </row>
    <row r="27" spans="1:3" ht="22.5" customHeight="1" x14ac:dyDescent="0.15">
      <c r="A27" s="1" t="s">
        <v>760</v>
      </c>
      <c r="B27" s="2">
        <v>5</v>
      </c>
      <c r="C27" s="5" t="s">
        <v>765</v>
      </c>
    </row>
    <row r="28" spans="1:3" ht="22.5" customHeight="1" x14ac:dyDescent="0.15">
      <c r="A28" s="1" t="s">
        <v>760</v>
      </c>
      <c r="B28" s="2">
        <v>6</v>
      </c>
      <c r="C28" s="5" t="s">
        <v>766</v>
      </c>
    </row>
    <row r="29" spans="1:3" ht="22.5" customHeight="1" x14ac:dyDescent="0.15">
      <c r="A29" s="1" t="s">
        <v>767</v>
      </c>
      <c r="B29" s="2">
        <v>1</v>
      </c>
      <c r="C29" s="5" t="s">
        <v>768</v>
      </c>
    </row>
    <row r="30" spans="1:3" ht="22.5" customHeight="1" x14ac:dyDescent="0.15">
      <c r="A30" s="1" t="s">
        <v>767</v>
      </c>
      <c r="B30" s="2">
        <v>2</v>
      </c>
      <c r="C30" s="5" t="s">
        <v>769</v>
      </c>
    </row>
    <row r="31" spans="1:3" ht="22.5" customHeight="1" x14ac:dyDescent="0.15">
      <c r="A31" s="1" t="s">
        <v>767</v>
      </c>
      <c r="B31" s="2">
        <v>3</v>
      </c>
      <c r="C31" s="5" t="s">
        <v>770</v>
      </c>
    </row>
    <row r="32" spans="1:3" ht="22.5" customHeight="1" x14ac:dyDescent="0.15">
      <c r="A32" s="1" t="s">
        <v>767</v>
      </c>
      <c r="B32" s="2">
        <v>4</v>
      </c>
      <c r="C32" s="5" t="s">
        <v>771</v>
      </c>
    </row>
    <row r="33" spans="1:3" ht="22.5" customHeight="1" x14ac:dyDescent="0.15">
      <c r="A33" s="1" t="s">
        <v>767</v>
      </c>
      <c r="B33" s="2">
        <v>5</v>
      </c>
      <c r="C33" s="5" t="s">
        <v>772</v>
      </c>
    </row>
    <row r="34" spans="1:3" ht="22.5" customHeight="1" x14ac:dyDescent="0.15">
      <c r="A34" s="1" t="s">
        <v>767</v>
      </c>
      <c r="B34" s="2">
        <v>6</v>
      </c>
      <c r="C34" s="5" t="s">
        <v>773</v>
      </c>
    </row>
    <row r="35" spans="1:3" ht="22.5" customHeight="1" x14ac:dyDescent="0.15">
      <c r="A35" s="1" t="s">
        <v>774</v>
      </c>
      <c r="B35" s="2">
        <v>1</v>
      </c>
      <c r="C35" s="5" t="s">
        <v>775</v>
      </c>
    </row>
    <row r="36" spans="1:3" ht="22.5" customHeight="1" x14ac:dyDescent="0.15">
      <c r="A36" s="1" t="s">
        <v>774</v>
      </c>
      <c r="B36" s="2">
        <v>2</v>
      </c>
      <c r="C36" s="5" t="s">
        <v>776</v>
      </c>
    </row>
    <row r="37" spans="1:3" ht="22.5" customHeight="1" x14ac:dyDescent="0.15">
      <c r="A37" s="1" t="s">
        <v>774</v>
      </c>
      <c r="B37" s="2">
        <v>3</v>
      </c>
      <c r="C37" s="5" t="s">
        <v>777</v>
      </c>
    </row>
    <row r="38" spans="1:3" ht="22.5" customHeight="1" x14ac:dyDescent="0.15">
      <c r="A38" s="1" t="s">
        <v>774</v>
      </c>
      <c r="B38" s="2">
        <v>4</v>
      </c>
      <c r="C38" s="5" t="s">
        <v>778</v>
      </c>
    </row>
    <row r="39" spans="1:3" ht="22.5" customHeight="1" x14ac:dyDescent="0.15">
      <c r="A39" s="1" t="s">
        <v>774</v>
      </c>
      <c r="B39" s="2">
        <v>5</v>
      </c>
      <c r="C39" s="5" t="s">
        <v>779</v>
      </c>
    </row>
    <row r="40" spans="1:3" ht="22.5" customHeight="1" x14ac:dyDescent="0.15">
      <c r="A40" s="1" t="s">
        <v>774</v>
      </c>
      <c r="B40" s="2">
        <v>6</v>
      </c>
      <c r="C40" s="5" t="s">
        <v>780</v>
      </c>
    </row>
    <row r="41" spans="1:3" ht="22.5" customHeight="1" x14ac:dyDescent="0.15">
      <c r="A41" s="1" t="s">
        <v>774</v>
      </c>
      <c r="B41" s="2">
        <v>7</v>
      </c>
      <c r="C41" s="5" t="s">
        <v>781</v>
      </c>
    </row>
    <row r="42" spans="1:3" ht="22.5" customHeight="1" x14ac:dyDescent="0.15">
      <c r="A42" s="1" t="s">
        <v>774</v>
      </c>
      <c r="B42" s="2">
        <v>8</v>
      </c>
      <c r="C42" s="5" t="s">
        <v>782</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Scores</vt:lpstr>
      <vt:lpstr>Questions</vt:lpstr>
      <vt:lpstr>Content Standards</vt:lpstr>
      <vt:lpstr>Task Models</vt:lpstr>
      <vt:lpstr>Skill Standards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Cole Dushin</cp:lastModifiedBy>
  <dcterms:created xsi:type="dcterms:W3CDTF">2026-06-01T14:03:52Z</dcterms:created>
  <dcterms:modified xsi:type="dcterms:W3CDTF">2026-06-21T08:22:16Z</dcterms:modified>
</cp:coreProperties>
</file>