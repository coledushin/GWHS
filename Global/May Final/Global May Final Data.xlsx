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 state="visible" name="Questions" sheetId="2" r:id="rId6"/>
    <sheet state="hidden" name="Task Models" sheetId="3" r:id="rId7"/>
    <sheet state="hidden" name="Skill Standards" sheetId="4" r:id="rId8"/>
  </sheets>
  <definedNames/>
  <calcPr/>
</workbook>
</file>

<file path=xl/sharedStrings.xml><?xml version="1.0" encoding="utf-8"?>
<sst xmlns="http://schemas.openxmlformats.org/spreadsheetml/2006/main" count="531" uniqueCount="265">
  <si>
    <t>Class</t>
  </si>
  <si>
    <t>Grade</t>
  </si>
  <si>
    <t>Period</t>
  </si>
  <si>
    <t>Student Name</t>
  </si>
  <si>
    <t>ELL?</t>
  </si>
  <si>
    <t>IEP?</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</si>
  <si>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</si>
  <si>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</si>
  <si>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</si>
  <si>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</si>
  <si>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</si>
  <si>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</si>
  <si>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</si>
  <si>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</si>
  <si>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</si>
  <si>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</si>
  <si>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</si>
  <si>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</si>
  <si>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</si>
  <si>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</si>
  <si>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</si>
  <si>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</si>
  <si>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</si>
  <si>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</si>
  <si>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</si>
  <si>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</si>
  <si>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</si>
  <si>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</si>
  <si>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</si>
  <si>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</si>
  <si>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</si>
  <si>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</si>
  <si>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</si>
  <si>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</si>
  <si>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Kovelsky</t>
  </si>
  <si>
    <t xml:space="preserve"> </t>
  </si>
  <si>
    <t>Dushin</t>
  </si>
  <si>
    <t>#</t>
  </si>
  <si>
    <t>Part</t>
  </si>
  <si>
    <t>Stimulus</t>
  </si>
  <si>
    <t>Question</t>
  </si>
  <si>
    <t>Answer</t>
  </si>
  <si>
    <t>Full Answer</t>
  </si>
  <si>
    <t>Stimulus Type</t>
  </si>
  <si>
    <t>Source Type</t>
  </si>
  <si>
    <t>Task Model</t>
  </si>
  <si>
    <t>Skill</t>
  </si>
  <si>
    <t>Content</t>
  </si>
  <si>
    <t>Need OI?</t>
  </si>
  <si>
    <t>% Correct</t>
  </si>
  <si>
    <t>Point Biserial</t>
  </si>
  <si>
    <t>Part I</t>
  </si>
  <si>
    <t>John W. Dower, “Throwing Off  Asia ,” Massachusetts Institute of Technology, 2008</t>
  </si>
  <si>
    <t>What claim is best supported by this passage?</t>
  </si>
  <si>
    <t>Japan experienced a period of cultural development despite its isolation.</t>
  </si>
  <si>
    <t>Text-based</t>
  </si>
  <si>
    <t>Secondary</t>
  </si>
  <si>
    <t>4. Claim Validity (Without Outside Information)</t>
  </si>
  <si>
    <t>10.01b.1</t>
  </si>
  <si>
    <t>No</t>
  </si>
  <si>
    <t>This passage best describes which development in Japanese history?</t>
  </si>
  <si>
    <t>the rule of the Tokugawa Shogunate</t>
  </si>
  <si>
    <t>1. Best Use</t>
  </si>
  <si>
    <t>Yes</t>
  </si>
  <si>
    <t>Declaration of the Rights of Man and of the Citizen, 1789</t>
  </si>
  <si>
    <t>Which group would be most likely to support the ideas presented in this document?</t>
  </si>
  <si>
    <t>the Third Estate</t>
  </si>
  <si>
    <t>Primary</t>
  </si>
  <si>
    <t>14. Stakeholder Issue</t>
  </si>
  <si>
    <t>10.02c.1</t>
  </si>
  <si>
    <t>Which claim is best supported by this document?</t>
  </si>
  <si>
    <t>The rights of all citizens should be respected with fairness and justice.</t>
  </si>
  <si>
    <t>Henry Brun et al., Global History and Geography, Amsco, 2004 (adapted)</t>
  </si>
  <si>
    <t>The situation shown on this map was most infl uenced by the</t>
  </si>
  <si>
    <t>French Revolution</t>
  </si>
  <si>
    <t>Map-based</t>
  </si>
  <si>
    <t>7. Cause</t>
  </si>
  <si>
    <t>10.02c.2</t>
  </si>
  <si>
    <t>Which claim about Latin America is best supported by the information on this map?</t>
  </si>
  <si>
    <t>Nationalism became a growing force during the 19th century.</t>
  </si>
  <si>
    <t>13. Interpret Visual Data</t>
  </si>
  <si>
    <t>“The Industrial Revolution and the Changing Face of Britain,” The British Museum online</t>
  </si>
  <si>
    <t>This passage would be most useful for</t>
  </si>
  <si>
    <t>explaining the economic benefi ts of the Agricultural Revolution in Britain</t>
  </si>
  <si>
    <t>10.03a.1</t>
  </si>
  <si>
    <t>What was one way British farmers responded to the changes described in this passage?</t>
  </si>
  <si>
    <t>Farmers specialized based on their location</t>
  </si>
  <si>
    <t>18. Response to Problem</t>
  </si>
  <si>
    <t>Punch, July 3, 1858</t>
  </si>
  <si>
    <t>Which statement best explains the cartoonist’s perspective of conditions in London during this time period?</t>
  </si>
  <si>
    <t>Industrialization led to contamination of water supplies and illness.</t>
  </si>
  <si>
    <t>Visual-based</t>
  </si>
  <si>
    <t>2. POV</t>
  </si>
  <si>
    <t>10.09c.3</t>
  </si>
  <si>
    <t>What was the cartoonist’s purpose in creating this illustration?</t>
  </si>
  <si>
    <t>to encourage the government to make reforms</t>
  </si>
  <si>
    <t>Kevin Reilly, Worlds of History, Bedford/St. Martin’s, 2007 (adapted)</t>
  </si>
  <si>
    <t>Based on this map, which two countries acquired the most foreign territory?</t>
  </si>
  <si>
    <t>Great Britain and France</t>
  </si>
  <si>
    <t>10.04a.2</t>
  </si>
  <si>
    <t>The situation shown on this map was caused in part by European nations’ desire to</t>
  </si>
  <si>
    <t>obtain raw materials for their industries</t>
  </si>
  <si>
    <t>Philip Dorf, Visualized World History, Oxford, 1948 (adapted)</t>
  </si>
  <si>
    <t>Which empire’s decline is depicted in this illustration?</t>
  </si>
  <si>
    <t>Ottoman Empire</t>
  </si>
  <si>
    <t>10.02d.1</t>
  </si>
  <si>
    <t>The conditions shown in this illustration played a major role in bringing about the</t>
  </si>
  <si>
    <t>start of World War I</t>
  </si>
  <si>
    <t>10.05a.1</t>
  </si>
  <si>
    <t>“Armenians Are Sent to Perish in Desert,” New York Times, August 18, 1915</t>
  </si>
  <si>
    <t>Which group faced treatment most similar to the group addressed in this article?</t>
  </si>
  <si>
    <t>Jews in Nazi Germany</t>
  </si>
  <si>
    <t>10. Compare</t>
  </si>
  <si>
    <t>10.05e.1</t>
  </si>
  <si>
    <t>A historian would fi nd this article most useful for</t>
  </si>
  <si>
    <t>supporting the claim that a genocide took place</t>
  </si>
  <si>
    <t>Speech by Ho Chi Minh, February 18, 1930</t>
  </si>
  <si>
    <t>Which claim is best supported by the evidence in this speech?</t>
  </si>
  <si>
    <t>Ho Chi Minh intended to reclaim what the French had taken from his people.</t>
  </si>
  <si>
    <t>10.07a.2</t>
  </si>
  <si>
    <t>Which statement best describes the author’s purpose in delivering this speech?</t>
  </si>
  <si>
    <t>to explain the goals of a Vietnamese nationalist movement</t>
  </si>
  <si>
    <t>John Hersey, Hiroshima, Alfred A. Knopf, 1946</t>
  </si>
  <si>
    <t>How could a historian best use this passage?</t>
  </si>
  <si>
    <t>to understand how the atomic bomb affected civilians</t>
  </si>
  <si>
    <t>10.05b.1</t>
  </si>
  <si>
    <t>The events described in the passage led to the</t>
  </si>
  <si>
    <t>Japanese surrender in World War II</t>
  </si>
  <si>
    <t>8. Effect</t>
  </si>
  <si>
    <t>New York Times Upfront, December 11, 2017</t>
  </si>
  <si>
    <t>What claim is best supported by the evidence included in this article?</t>
  </si>
  <si>
    <t>Cold War confl icts in Afghanistan contributed to the rise of the Taliban.</t>
  </si>
  <si>
    <t>3. Claim Validity (With Outside Information)</t>
  </si>
  <si>
    <t>10.06b.1</t>
  </si>
  <si>
    <t>The American actions described in this article are an example of which policy?</t>
  </si>
  <si>
    <t>containment</t>
  </si>
  <si>
    <t>Mikhail Gorbachev’s resignation speech, December 25, 1991</t>
  </si>
  <si>
    <t>The policies described by Mikhail Gorbachev in this speech refer to</t>
  </si>
  <si>
    <t>glasnost</t>
  </si>
  <si>
    <t>10.06c.1</t>
  </si>
  <si>
    <t>This speech is most closely associated with the end of which international confl ict?</t>
  </si>
  <si>
    <t>the Cold War</t>
  </si>
  <si>
    <t>10.06c.2</t>
  </si>
  <si>
    <t>Newsweek, October 18, 2010 (adapted)</t>
  </si>
  <si>
    <t>Based on this infographic, which region is experiencing the greatest freshwater shortage?</t>
  </si>
  <si>
    <t>Southwest Asia</t>
  </si>
  <si>
    <t>Sarah Pruitt, “10 Memorable Moments in United Nations History,” The History Channel Online, 2015 (adapted)</t>
  </si>
  <si>
    <t>This timeline would be most useful to a person attempting to prove</t>
  </si>
  <si>
    <t>the range of United Nations efforts maintaining peace and providing humanitarian aid</t>
  </si>
  <si>
    <t>10.09d.1</t>
  </si>
  <si>
    <t>Carlotta Gall, “Erdogan’s Plan to Raise a ‘Pious Generation’ Divides Parents in Turkey,” New York Times, June 18, 2018</t>
  </si>
  <si>
    <t>What is the central issue described in this article?</t>
  </si>
  <si>
    <t>conflict over Turkey’s cultural identity</t>
  </si>
  <si>
    <t>17. Problem</t>
  </si>
  <si>
    <t>10.08b.1</t>
  </si>
  <si>
    <t>Which event led to changes similar to those described in this article?</t>
  </si>
  <si>
    <t>the Islamic Revolution of 1979 in Iran</t>
  </si>
  <si>
    <t>Part II</t>
  </si>
  <si>
    <t>Adam Hochschild, King Leopold’s Ghost, Mariner Books, 1999</t>
  </si>
  <si>
    <t>Explain the geographic context for the historical development described in this passage.</t>
  </si>
  <si>
    <t>9. Impact of Setting</t>
  </si>
  <si>
    <t>10.04a.1</t>
  </si>
  <si>
    <t>Patrice Lumumba, speech at the ceremony of the proclamation of the Congo’s independence, June 30, 1960</t>
  </si>
  <si>
    <t>Based on this passage, explain how the audience affects what Lumumba includes in his speech.</t>
  </si>
  <si>
    <t>10.07b.1</t>
  </si>
  <si>
    <t>—</t>
  </si>
  <si>
    <t>Identify and explain a cause-and-effect relationship between the events and/or ideas found in these documents. Be sure to use evidence from both Documents 1 and 2 in your response.</t>
  </si>
  <si>
    <t>Dr. Sue Gronewold, “The Opium War and Foreign Encroachment,” Asia for Educators, Columbia University</t>
  </si>
  <si>
    <t>Explain the historical circumstances that led to China’s century of “unequal treaties.”</t>
  </si>
  <si>
    <t>Wolfgang Lehmacher, “Why China Could Lead the Next Phase of Globalization,” World Economic Forum, November 22, 2016</t>
  </si>
  <si>
    <t>Based on this document, identify the author’s point of view regarding China’s economy in the 21st century.</t>
  </si>
  <si>
    <t>10.09a.1</t>
  </si>
  <si>
    <t>34a</t>
  </si>
  <si>
    <t>Identify a similarity or a difference in China’s role in the world economy.</t>
  </si>
  <si>
    <t>34b</t>
  </si>
  <si>
    <t>Explain the similarity or difference you identified using evidence from both
documents.</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</si>
  <si>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</si>
  <si>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</si>
  <si>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</si>
  <si>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</si>
  <si>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</si>
  <si>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</si>
  <si>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</si>
  <si>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</si>
  <si>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</si>
  <si>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</si>
  <si>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</si>
  <si>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</si>
  <si>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</si>
  <si>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</si>
  <si>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</si>
  <si>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</si>
  <si>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</si>
  <si>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</si>
  <si>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</si>
  <si>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</si>
  <si>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</si>
  <si>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</si>
  <si>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</si>
  <si>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</si>
  <si>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</si>
  <si>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</si>
  <si>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</si>
  <si>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</si>
  <si>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</si>
  <si>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</si>
  <si>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</si>
  <si>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</si>
  <si>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</si>
  <si>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</si>
  <si>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</si>
  <si>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</si>
  <si>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</si>
  <si>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</si>
  <si>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</si>
  <si>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</si>
  <si>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</si>
  <si>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</si>
  <si>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A. Gathering, Interpreting, and Using Evidence</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</si>
  <si>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</si>
  <si>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</si>
  <si>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</si>
  <si>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</si>
  <si>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</si>
  <si>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</si>
  <si>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</si>
  <si>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B. Chronological Reasoning and Causation</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</si>
  <si>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</si>
  <si>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</si>
  <si>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</si>
  <si>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</si>
  <si>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</si>
  <si>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</si>
  <si>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</si>
  <si>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</si>
  <si>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C. Comparison and Contextualization</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</si>
  <si>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</si>
  <si>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</si>
  <si>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</si>
  <si>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</si>
  <si>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</si>
  <si>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</si>
  <si>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D. Geographic Reasoning</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</si>
  <si>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</si>
  <si>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</si>
  <si>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</si>
  <si>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</si>
  <si>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</si>
  <si>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</si>
  <si>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E. Economics and Economics Systems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</si>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</sst>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color theme="1"/>
      <name val="Roboto"/>
    </font>
    <font>
      <sz val="11.0"/>
      <color theme="1"/>
      <name val="Roboto"/>
    </font>
    <font>
      <color rgb="FF434343"/>
      <name val="Roboto"/>
    </font>
    <font>
      <sz val="10.0"/>
      <color theme="1"/>
      <name val="Arial"/>
      <scheme val="minor"/>
    </font>
    <font>
      <b/>
      <color rgb="FF434343"/>
      <name val="Roboto"/>
    </font>
    <font>
      <color theme="1"/>
      <name val="Arial"/>
      <scheme val="minor"/>
    </font>
    <font>
      <color theme="1"/>
      <name val="Arial"/>
    </font>
    <font>
      <color rgb="FF3D3D3D"/>
      <name val="Roboto"/>
    </font>
    <font>
      <b/>
      <sz val="10.0"/>
      <color theme="1"/>
      <name val="Arial"/>
      <scheme val="minor"/>
    </font>
    <font>
      <sz val="10.0"/>
      <color rgb="FF434343"/>
      <name val="Arial"/>
      <scheme val="minor"/>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12">
    <border/>
    <border>
      <left style="thick">
        <color rgb="FFCCCCCC"/>
      </left>
    </border>
    <border>
      <left style="thick">
        <color rgb="FFD9D9D9"/>
      </left>
    </border>
    <border>
      <left style="thick">
        <color rgb="FFCCCCCC"/>
      </left>
      <right/>
      <top/>
      <bottom/>
    </border>
    <border>
      <left/>
      <right/>
      <top/>
      <bottom/>
    </border>
    <border>
      <left/>
      <right style="thick">
        <color rgb="FFCCCCCC"/>
      </right>
      <top/>
      <bottom/>
    </border>
    <border>
      <right style="thick">
        <color rgb="FFCCCCCC"/>
      </right>
    </border>
    <border>
      <left/>
      <top/>
      <bottom/>
    </border>
    <border>
      <left style="thin">
        <color rgb="FF38416A"/>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38416A"/>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s>
  <cellStyleXfs count="1">
    <xf borderId="0" fillId="0" fontId="0" numFmtId="0" applyAlignment="1" applyFont="1"/>
  </cellStyleXfs>
  <cellXfs count="9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1" fillId="0" fontId="1" numFmtId="0" xfId="0" applyAlignment="1" applyBorder="1" applyFont="1">
      <alignment horizontal="left" readingOrder="0" shrinkToFit="0" vertical="center" wrapText="0"/>
    </xf>
    <xf borderId="1" fillId="0" fontId="1" numFmtId="0" xfId="0" applyAlignment="1" applyBorder="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2" fillId="0" fontId="1" numFmtId="0" xfId="0" applyAlignment="1" applyBorder="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readingOrder="0" shrinkToFit="0" vertical="center" wrapText="0"/>
    </xf>
    <xf borderId="3" fillId="0" fontId="2" numFmtId="3" xfId="0" applyAlignment="1" applyBorder="1" applyFont="1" applyNumberFormat="1">
      <alignment horizontal="center" readingOrder="0" shrinkToFit="0" vertical="center" wrapText="0"/>
    </xf>
    <xf borderId="4" fillId="0" fontId="2" numFmtId="3" xfId="0" applyAlignment="1" applyBorder="1" applyFont="1" applyNumberFormat="1">
      <alignment horizontal="center" readingOrder="0" shrinkToFit="0" vertical="center" wrapText="0"/>
    </xf>
    <xf borderId="0" fillId="0" fontId="2" numFmtId="3" xfId="0" applyAlignment="1" applyFont="1" applyNumberFormat="1">
      <alignment horizontal="center" readingOrder="0" shrinkToFit="0" vertical="center" wrapText="0"/>
    </xf>
    <xf borderId="0" fillId="0" fontId="2" numFmtId="0" xfId="0" applyAlignment="1" applyFont="1">
      <alignment horizontal="center" readingOrder="0" shrinkToFit="0" vertical="center" wrapText="0"/>
    </xf>
    <xf borderId="5" fillId="0" fontId="2" numFmtId="3" xfId="0" applyAlignment="1" applyBorder="1" applyFont="1" applyNumberFormat="1">
      <alignment horizontal="center" readingOrder="0" shrinkToFit="0" vertical="center" wrapText="0"/>
    </xf>
    <xf borderId="0" fillId="0" fontId="1" numFmtId="0" xfId="0" applyAlignment="1" applyFont="1">
      <alignment horizontal="center" readingOrder="0" shrinkToFit="0" vertical="center" wrapText="0"/>
    </xf>
    <xf borderId="1" fillId="0" fontId="2" numFmtId="3" xfId="0" applyAlignment="1" applyBorder="1" applyFont="1" applyNumberFormat="1">
      <alignment horizontal="center" readingOrder="0" shrinkToFit="0" vertical="center" wrapText="0"/>
    </xf>
    <xf borderId="6" fillId="0" fontId="2" numFmtId="3" xfId="0" applyAlignment="1" applyBorder="1" applyFont="1" applyNumberFormat="1">
      <alignment horizontal="center" readingOrder="0" shrinkToFit="0" vertical="center" wrapText="0"/>
    </xf>
    <xf borderId="0" fillId="0" fontId="2" numFmtId="3" xfId="0" applyAlignment="1" applyFont="1" applyNumberFormat="1">
      <alignment horizontal="center" shrinkToFit="0" vertical="center" wrapText="0"/>
    </xf>
    <xf borderId="5" fillId="0" fontId="2" numFmtId="3" xfId="0" applyAlignment="1" applyBorder="1" applyFont="1" applyNumberFormat="1">
      <alignment horizontal="center" shrinkToFit="0" vertical="center" wrapText="0"/>
    </xf>
    <xf borderId="3" fillId="0" fontId="2" numFmtId="3" xfId="0" applyAlignment="1" applyBorder="1" applyFont="1" applyNumberFormat="1">
      <alignment horizontal="center" shrinkToFit="0" vertical="center" wrapText="0"/>
    </xf>
    <xf borderId="4" fillId="0" fontId="2" numFmtId="3" xfId="0" applyAlignment="1" applyBorder="1" applyFont="1" applyNumberFormat="1">
      <alignment horizontal="center" shrinkToFit="0" vertical="center" wrapText="0"/>
    </xf>
    <xf borderId="7" fillId="0" fontId="2" numFmtId="3" xfId="0" applyAlignment="1" applyBorder="1" applyFont="1" applyNumberFormat="1">
      <alignment horizontal="center" shrinkToFit="0" vertical="center" wrapText="0"/>
    </xf>
    <xf borderId="7" fillId="0" fontId="2" numFmtId="0" xfId="0" applyAlignment="1" applyBorder="1" applyFont="1">
      <alignment horizontal="center" shrinkToFit="0" vertical="center" wrapText="0"/>
    </xf>
    <xf borderId="6" fillId="0" fontId="2" numFmtId="3" xfId="0" applyAlignment="1" applyBorder="1" applyFont="1" applyNumberFormat="1">
      <alignment horizontal="center" shrinkToFit="0" vertical="center" wrapText="0"/>
    </xf>
    <xf borderId="7" fillId="0" fontId="2" numFmtId="3" xfId="0" applyAlignment="1" applyBorder="1" applyFont="1" applyNumberFormat="1">
      <alignment horizontal="center" readingOrder="0" shrinkToFit="0" vertical="center" wrapText="0"/>
    </xf>
    <xf borderId="7" fillId="0" fontId="2" numFmtId="0" xfId="0" applyAlignment="1" applyBorder="1" applyFont="1">
      <alignment horizontal="center" readingOrder="0" shrinkToFit="0" vertical="center" wrapText="0"/>
    </xf>
    <xf borderId="1" fillId="0" fontId="2" numFmtId="3" xfId="0" applyAlignment="1" applyBorder="1" applyFont="1" applyNumberFormat="1">
      <alignment horizontal="center" shrinkToFit="0" vertical="center" wrapText="0"/>
    </xf>
    <xf borderId="0" fillId="0" fontId="2" numFmtId="0" xfId="0" applyAlignment="1" applyFont="1">
      <alignment horizontal="center" shrinkToFit="0" vertical="center" wrapText="0"/>
    </xf>
    <xf borderId="1" fillId="0" fontId="1" numFmtId="3" xfId="0" applyAlignment="1" applyBorder="1" applyFont="1" applyNumberFormat="1">
      <alignment horizontal="center" readingOrder="0" shrinkToFit="0" vertical="center" wrapText="0"/>
    </xf>
    <xf borderId="0" fillId="0" fontId="1" numFmtId="3" xfId="0" applyAlignment="1" applyFont="1" applyNumberFormat="1">
      <alignment horizontal="center" readingOrder="0" shrinkToFit="0" vertical="center" wrapText="0"/>
    </xf>
    <xf borderId="0" fillId="0" fontId="3" numFmtId="3"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6" fillId="0" fontId="1" numFmtId="3" xfId="0" applyAlignment="1" applyBorder="1" applyFont="1" applyNumberFormat="1">
      <alignment horizontal="center" readingOrder="0" shrinkToFit="0" vertical="center" wrapText="0"/>
    </xf>
    <xf borderId="0" fillId="0" fontId="1" numFmtId="0" xfId="0" applyFont="1"/>
    <xf borderId="0" fillId="0" fontId="1" numFmtId="0" xfId="0" applyAlignment="1" applyFont="1">
      <alignment horizontal="center"/>
    </xf>
    <xf borderId="2" fillId="0" fontId="1" numFmtId="0" xfId="0" applyBorder="1" applyFont="1"/>
    <xf borderId="1" fillId="0" fontId="1" numFmtId="0" xfId="0" applyAlignment="1" applyBorder="1" applyFont="1">
      <alignment horizontal="center"/>
    </xf>
    <xf borderId="6" fillId="0" fontId="1" numFmtId="0" xfId="0" applyAlignment="1" applyBorder="1" applyFont="1">
      <alignment horizontal="center"/>
    </xf>
    <xf borderId="0" fillId="0" fontId="4" numFmtId="0" xfId="0" applyAlignment="1" applyFont="1">
      <alignment horizontal="center" readingOrder="0" shrinkToFit="0" vertical="center" wrapText="0"/>
    </xf>
    <xf borderId="0" fillId="0" fontId="4" numFmtId="49" xfId="0" applyAlignment="1" applyFont="1" applyNumberFormat="1">
      <alignment horizontal="center" readingOrder="0" shrinkToFit="0" vertical="center" wrapText="0"/>
    </xf>
    <xf borderId="0" fillId="0" fontId="4" numFmtId="0" xfId="0" applyAlignment="1" applyFont="1">
      <alignment horizontal="left" readingOrder="0" shrinkToFit="0" vertical="center" wrapText="1"/>
    </xf>
    <xf borderId="0" fillId="0" fontId="4" numFmtId="49" xfId="0" applyAlignment="1" applyFont="1" applyNumberFormat="1">
      <alignment horizontal="center" readingOrder="0" shrinkToFit="0" vertical="center" wrapText="1"/>
    </xf>
    <xf borderId="0" fillId="0" fontId="4" numFmtId="49" xfId="0" applyAlignment="1" applyFont="1" applyNumberFormat="1">
      <alignment horizontal="left" readingOrder="0" shrinkToFit="0" vertical="center" wrapText="1"/>
    </xf>
    <xf borderId="0" fillId="0" fontId="4" numFmtId="49" xfId="0" applyAlignment="1" applyFont="1" applyNumberFormat="1">
      <alignment horizontal="left" readingOrder="0" shrinkToFit="0" vertical="center" wrapText="0"/>
    </xf>
    <xf borderId="0" fillId="0" fontId="4" numFmtId="0" xfId="0" applyAlignment="1" applyFont="1">
      <alignment horizontal="left" readingOrder="0" shrinkToFit="0" vertical="center" wrapText="0"/>
    </xf>
    <xf borderId="8" fillId="2" fontId="5" numFmtId="0" xfId="0" applyAlignment="1" applyBorder="1" applyFill="1" applyFont="1">
      <alignment horizontal="center" shrinkToFit="0" vertical="center" wrapText="0"/>
    </xf>
    <xf borderId="9" fillId="2" fontId="3" numFmtId="0" xfId="0" applyAlignment="1" applyBorder="1" applyFont="1">
      <alignment horizontal="center" readingOrder="0" shrinkToFit="0" vertical="center" wrapText="0"/>
    </xf>
    <xf borderId="9" fillId="2" fontId="3" numFmtId="0" xfId="0" applyAlignment="1" applyBorder="1" applyFont="1">
      <alignment readingOrder="0" shrinkToFit="0" vertical="center" wrapText="1"/>
    </xf>
    <xf borderId="9" fillId="2" fontId="3" numFmtId="0" xfId="0" applyAlignment="1" applyBorder="1" applyFont="1">
      <alignment horizontal="center" readingOrder="0" shrinkToFit="0" vertical="center" wrapText="1"/>
    </xf>
    <xf borderId="0" fillId="0" fontId="6" numFmtId="0" xfId="0" applyAlignment="1" applyFont="1">
      <alignment readingOrder="0" shrinkToFit="0" vertical="center" wrapText="0"/>
    </xf>
    <xf borderId="9" fillId="2" fontId="3" numFmtId="0" xfId="0" applyAlignment="1" applyBorder="1" applyFont="1">
      <alignment readingOrder="0" shrinkToFit="0" vertical="center" wrapText="1"/>
    </xf>
    <xf borderId="9" fillId="2" fontId="7" numFmtId="0" xfId="0" applyAlignment="1" applyBorder="1" applyFont="1">
      <alignment shrinkToFit="0" vertical="center" wrapText="0"/>
    </xf>
    <xf borderId="9" fillId="2" fontId="3" numFmtId="0" xfId="0" applyAlignment="1" applyBorder="1" applyFont="1">
      <alignment readingOrder="0" shrinkToFit="0" vertical="center" wrapText="0"/>
    </xf>
    <xf borderId="9" fillId="2" fontId="8" numFmtId="0" xfId="0" applyAlignment="1" applyBorder="1" applyFont="1">
      <alignment horizontal="center" readingOrder="0" shrinkToFit="0" vertical="center" wrapText="0"/>
    </xf>
    <xf borderId="0" fillId="0" fontId="4" numFmtId="9" xfId="0" applyAlignment="1" applyFont="1" applyNumberFormat="1">
      <alignment horizontal="center" readingOrder="0" shrinkToFit="0" vertical="center" wrapText="0"/>
    </xf>
    <xf borderId="0" fillId="0" fontId="4" numFmtId="2" xfId="0" applyAlignment="1" applyFont="1" applyNumberFormat="1">
      <alignment horizontal="center" readingOrder="0" shrinkToFit="0" vertical="center" wrapText="0"/>
    </xf>
    <xf borderId="10" fillId="3" fontId="5" numFmtId="0" xfId="0" applyAlignment="1" applyBorder="1" applyFill="1" applyFont="1">
      <alignment horizontal="center" shrinkToFit="0" vertical="center" wrapText="0"/>
    </xf>
    <xf borderId="11" fillId="3" fontId="3" numFmtId="0" xfId="0" applyAlignment="1" applyBorder="1" applyFont="1">
      <alignment readingOrder="0" shrinkToFit="0" vertical="center" wrapText="1"/>
    </xf>
    <xf borderId="11" fillId="3" fontId="3" numFmtId="0" xfId="0" applyAlignment="1" applyBorder="1" applyFont="1">
      <alignment horizontal="center" readingOrder="0" shrinkToFit="0" vertical="center" wrapText="1"/>
    </xf>
    <xf borderId="11" fillId="3" fontId="3" numFmtId="0" xfId="0" applyAlignment="1" applyBorder="1" applyFont="1">
      <alignment readingOrder="0" shrinkToFit="0" vertical="center" wrapText="1"/>
    </xf>
    <xf borderId="11" fillId="3" fontId="7" numFmtId="0" xfId="0" applyAlignment="1" applyBorder="1" applyFont="1">
      <alignment shrinkToFit="0" vertical="center" wrapText="0"/>
    </xf>
    <xf borderId="11" fillId="3" fontId="3" numFmtId="0" xfId="0" applyAlignment="1" applyBorder="1" applyFont="1">
      <alignment readingOrder="0" shrinkToFit="0" vertical="center" wrapText="0"/>
    </xf>
    <xf borderId="11" fillId="3" fontId="8" numFmtId="0" xfId="0" applyAlignment="1" applyBorder="1" applyFont="1">
      <alignment horizontal="center" readingOrder="0" shrinkToFit="0" vertical="center" wrapText="0"/>
    </xf>
    <xf borderId="9" fillId="2" fontId="7" numFmtId="0" xfId="0" applyAlignment="1" applyBorder="1" applyFont="1">
      <alignment readingOrder="0" shrinkToFit="0" vertical="center" wrapText="0"/>
    </xf>
    <xf borderId="11" fillId="3" fontId="7" numFmtId="0" xfId="0" applyAlignment="1" applyBorder="1" applyFont="1">
      <alignment shrinkToFit="0" vertical="center" wrapText="0"/>
    </xf>
    <xf borderId="9" fillId="2" fontId="3" numFmtId="0" xfId="0" applyAlignment="1" applyBorder="1" applyFont="1">
      <alignment readingOrder="0" shrinkToFit="0" vertical="center" wrapText="0"/>
    </xf>
    <xf borderId="11" fillId="3" fontId="3" numFmtId="0" xfId="0" applyAlignment="1" applyBorder="1" applyFont="1">
      <alignment horizontal="center" readingOrder="0" shrinkToFit="0" vertical="center" wrapText="0"/>
    </xf>
    <xf borderId="11" fillId="3" fontId="7" numFmtId="0" xfId="0" applyAlignment="1" applyBorder="1" applyFont="1">
      <alignment readingOrder="0" shrinkToFit="0" vertical="center" wrapText="0"/>
    </xf>
    <xf borderId="9" fillId="2" fontId="3" numFmtId="0" xfId="0" applyAlignment="1" applyBorder="1" applyFont="1">
      <alignment readingOrder="0" shrinkToFit="0" vertical="center" wrapText="0"/>
    </xf>
    <xf borderId="9" fillId="2" fontId="3" numFmtId="0" xfId="0" applyAlignment="1" applyBorder="1" applyFont="1">
      <alignment horizontal="center" readingOrder="0" shrinkToFit="0" vertical="center" wrapText="0"/>
    </xf>
    <xf borderId="9" fillId="2" fontId="3" numFmtId="0" xfId="0" applyAlignment="1" applyBorder="1" applyFont="1">
      <alignment readingOrder="0" shrinkToFit="0" vertical="center" wrapText="1"/>
    </xf>
    <xf borderId="9" fillId="2" fontId="7" numFmtId="0" xfId="0" applyAlignment="1" applyBorder="1" applyFont="1">
      <alignment shrinkToFit="0" vertical="center" wrapText="0"/>
    </xf>
    <xf borderId="11" fillId="3" fontId="3" numFmtId="0" xfId="0" applyAlignment="1" applyBorder="1" applyFont="1">
      <alignment readingOrder="0" shrinkToFit="0" vertical="center" wrapText="0"/>
    </xf>
    <xf borderId="0" fillId="0" fontId="9"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4" numFmtId="0" xfId="0" applyAlignment="1" applyFont="1">
      <alignment readingOrder="0" shrinkToFit="0" vertical="center" wrapText="1"/>
    </xf>
    <xf borderId="0" fillId="0" fontId="4" numFmtId="0" xfId="0" applyAlignment="1" applyFont="1">
      <alignment readingOrder="0" shrinkToFit="0" vertical="center" wrapText="1"/>
    </xf>
    <xf borderId="0" fillId="0" fontId="10" numFmtId="0" xfId="0" applyAlignment="1" applyFont="1">
      <alignment horizontal="center" readingOrder="0" shrinkToFit="0" vertical="center" wrapText="0"/>
    </xf>
    <xf borderId="0" fillId="0" fontId="10" numFmtId="0" xfId="0" applyAlignment="1" applyFont="1">
      <alignment readingOrder="0" shrinkToFit="0" vertical="center" wrapText="1"/>
    </xf>
    <xf borderId="0" fillId="0" fontId="4" numFmtId="0" xfId="0" applyAlignment="1" applyFont="1">
      <alignment readingOrder="0" shrinkToFit="0" vertical="center" wrapText="1"/>
    </xf>
    <xf borderId="0" fillId="0" fontId="4" numFmtId="0" xfId="0" applyAlignment="1" applyFont="1">
      <alignment readingOrder="0" shrinkToFit="0" vertical="center" wrapText="0"/>
    </xf>
    <xf borderId="0" fillId="0" fontId="4" numFmtId="0" xfId="0" applyAlignment="1" applyFont="1">
      <alignment readingOrder="0" shrinkToFit="0" vertical="center" wrapText="0"/>
    </xf>
    <xf borderId="0" fillId="0" fontId="4" numFmtId="0" xfId="0" applyAlignment="1" applyFont="1">
      <alignment horizontal="center" readingOrder="0" shrinkToFit="0" vertical="center" wrapText="0"/>
    </xf>
    <xf borderId="0" fillId="0" fontId="4"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left" readingOrder="0" shrinkToFit="0" vertical="center" wrapText="1"/>
    </xf>
    <xf borderId="0" fillId="0" fontId="6" numFmtId="0" xfId="0" applyAlignment="1" applyFont="1">
      <alignment readingOrder="0" shrinkToFit="0" vertical="center" wrapText="1"/>
    </xf>
    <xf borderId="0" fillId="0" fontId="6" numFmtId="0" xfId="0" applyAlignment="1" applyFont="1">
      <alignment horizontal="left" readingOrder="0" shrinkToFit="0" vertical="center" wrapText="0"/>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000000"/>
      </font>
      <fill>
        <patternFill patternType="solid">
          <fgColor rgb="FFF4CCCC"/>
          <bgColor rgb="FFF4CCCC"/>
        </patternFill>
      </fill>
      <border/>
    </dxf>
    <dxf>
      <font/>
      <fill>
        <patternFill patternType="solid">
          <fgColor rgb="FF4A568D"/>
          <bgColor rgb="FF4A568D"/>
        </patternFill>
      </fill>
      <border/>
    </dxf>
    <dxf>
      <font/>
      <fill>
        <patternFill patternType="solid">
          <fgColor rgb="FFBB463C"/>
          <bgColor rgb="FFBB463C"/>
        </patternFill>
      </fill>
      <border/>
    </dxf>
  </dxfs>
  <tableStyles count="4">
    <tableStyle count="4" pivot="0" name="Scores-style">
      <tableStyleElement dxfId="1" type="headerRow"/>
      <tableStyleElement dxfId="2" type="firstRowStripe"/>
      <tableStyleElement dxfId="3" type="secondRowStripe"/>
      <tableStyleElement dxfId="4" size="0" type="wholeTable"/>
    </tableStyle>
    <tableStyle count="4" pivot="0" name="Questions-style">
      <tableStyleElement dxfId="6" type="headerRow"/>
      <tableStyleElement dxfId="2" type="firstRowStripe"/>
      <tableStyleElement dxfId="3" type="secondRowStripe"/>
      <tableStyleElement dxfId="4" size="0" type="wholeTable"/>
    </tableStyle>
    <tableStyle count="4" pivot="0" name="Task Models-style">
      <tableStyleElement dxfId="1" type="headerRow"/>
      <tableStyleElement dxfId="2" type="firstRowStripe"/>
      <tableStyleElement dxfId="3" type="secondRowStripe"/>
      <tableStyleElement dxfId="4" size="0" type="wholeTable"/>
    </tableStyle>
    <tableStyle count="4" pivot="0" name="Skill Standards-style">
      <tableStyleElement dxfId="7"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AH67" displayName="Scores" name="Scores" id="1">
  <tableColumns count="34">
    <tableColumn name="Class" id="1"/>
    <tableColumn name="Grade" id="2"/>
    <tableColumn name="Period" id="3"/>
    <tableColumn name="Student Name" id="4"/>
    <tableColumn name="ELL?" id="5"/>
    <tableColumn name="IEP?" id="6"/>
    <tableColumn name="1" id="7"/>
    <tableColumn name="2" id="8"/>
    <tableColumn name="3" id="9"/>
    <tableColumn name="4" id="10"/>
    <tableColumn name="5" id="11"/>
    <tableColumn name="6" id="12"/>
    <tableColumn name="7" id="13"/>
    <tableColumn name="8" id="14"/>
    <tableColumn name="9" id="15"/>
    <tableColumn name="10" id="16"/>
    <tableColumn name="11" id="17"/>
    <tableColumn name="12" id="18"/>
    <tableColumn name="13" id="19"/>
    <tableColumn name="14" id="20"/>
    <tableColumn name="15" id="21"/>
    <tableColumn name="16" id="22"/>
    <tableColumn name="17" id="23"/>
    <tableColumn name="18" id="24"/>
    <tableColumn name="19" id="25"/>
    <tableColumn name="20" id="26"/>
    <tableColumn name="21" id="27"/>
    <tableColumn name="22" id="28"/>
    <tableColumn name="23" id="29"/>
    <tableColumn name="24" id="30"/>
    <tableColumn name="25" id="31"/>
    <tableColumn name="26" id="32"/>
    <tableColumn name="27" id="33"/>
    <tableColumn name="28" id="34"/>
  </tableColumns>
  <tableStyleInfo name="Scores-style" showColumnStripes="0" showFirstColumn="1" showLastColumn="1" showRowStripes="1"/>
</table>
</file>

<file path=xl/tables/table2.xml><?xml version="1.0" encoding="utf-8"?>
<table xmlns="http://schemas.openxmlformats.org/spreadsheetml/2006/main" ref="A1:N36" displayName="Questions" name="Questions" id="2">
  <tableColumns count="14">
    <tableColumn name="#" id="1"/>
    <tableColumn name="Part" id="2"/>
    <tableColumn name="Stimulus" id="3"/>
    <tableColumn name="Question" id="4"/>
    <tableColumn name="Answer" id="5"/>
    <tableColumn name="Full Answer" id="6"/>
    <tableColumn name="Stimulus Type" id="7"/>
    <tableColumn name="Source Type" id="8"/>
    <tableColumn name="Task Model" id="9"/>
    <tableColumn name="Skill" id="10"/>
    <tableColumn name="Content" id="11"/>
    <tableColumn name="Need OI?" id="12"/>
    <tableColumn name="% Correct" id="13"/>
    <tableColumn name="Point Biserial" id="14"/>
  </tableColumns>
  <tableStyleInfo name="Questions-style" showColumnStripes="0" showFirstColumn="1" showLastColumn="1" showRowStripes="1"/>
</table>
</file>

<file path=xl/tables/table3.xml><?xml version="1.0" encoding="utf-8"?>
<table xmlns="http://schemas.openxmlformats.org/spreadsheetml/2006/main" ref="A1:D19" displayName="Task_Models" name="Task_Models" id="3">
  <tableColumns count="4">
    <tableColumn name="Number" id="1"/>
    <tableColumn name="Title" id="2"/>
    <tableColumn name="Details" id="3"/>
    <tableColumn name="Lookup Key" id="4"/>
  </tableColumns>
  <tableStyleInfo name="Task Models-style" showColumnStripes="0" showFirstColumn="1" showLastColumn="1" showRowStripes="1"/>
</table>
</file>

<file path=xl/tables/table4.xml><?xml version="1.0" encoding="utf-8"?>
<table xmlns="http://schemas.openxmlformats.org/spreadsheetml/2006/main" ref="A1:C42" displayName="Skill_Standards" name="Skill_Standards" id="4">
  <tableColumns count="3">
    <tableColumn name="Skill" id="1"/>
    <tableColumn name="Subdivision" id="2"/>
    <tableColumn name="Detail" id="3"/>
  </tableColumns>
  <tableStyleInfo name="Skill Standard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3" max="3" width="8.0"/>
    <col customWidth="1" min="4" max="4" width="21.38"/>
    <col customWidth="1" min="7" max="34" width="6.38"/>
  </cols>
  <sheetData>
    <row r="1" ht="28.5" customHeight="1">
      <c r="A1" s="1" t="s">
        <v>0</v>
      </c>
      <c r="B1" s="2" t="s">
        <v>1</v>
      </c>
      <c r="C1" s="2" t="s">
        <v>2</v>
      </c>
      <c r="D1" s="3"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row>
    <row r="2" ht="22.5" customHeight="1">
      <c r="A2" s="5" t="s">
        <v>34</v>
      </c>
      <c r="B2" s="6">
        <v>10.0</v>
      </c>
      <c r="C2" s="6">
        <v>4.0</v>
      </c>
      <c r="D2" s="7">
        <v>1.0</v>
      </c>
      <c r="E2" s="8"/>
      <c r="F2" s="9"/>
      <c r="G2" s="10">
        <v>4.0</v>
      </c>
      <c r="H2" s="11">
        <v>1.0</v>
      </c>
      <c r="I2" s="12">
        <v>3.0</v>
      </c>
      <c r="J2" s="11">
        <v>2.0</v>
      </c>
      <c r="K2" s="12">
        <v>4.0</v>
      </c>
      <c r="L2" s="11">
        <v>4.0</v>
      </c>
      <c r="M2" s="12">
        <v>2.0</v>
      </c>
      <c r="N2" s="12">
        <v>4.0</v>
      </c>
      <c r="O2" s="12">
        <v>1.0</v>
      </c>
      <c r="P2" s="12">
        <v>2.0</v>
      </c>
      <c r="Q2" s="12">
        <v>1.0</v>
      </c>
      <c r="R2" s="12">
        <v>4.0</v>
      </c>
      <c r="S2" s="12">
        <v>3.0</v>
      </c>
      <c r="T2" s="13">
        <v>4.0</v>
      </c>
      <c r="U2" s="12">
        <v>4.0</v>
      </c>
      <c r="V2" s="12">
        <v>2.0</v>
      </c>
      <c r="W2" s="12">
        <v>3.0</v>
      </c>
      <c r="X2" s="12">
        <v>4.0</v>
      </c>
      <c r="Y2" s="12">
        <v>1.0</v>
      </c>
      <c r="Z2" s="12">
        <v>2.0</v>
      </c>
      <c r="AA2" s="13">
        <v>4.0</v>
      </c>
      <c r="AB2" s="12">
        <v>2.0</v>
      </c>
      <c r="AC2" s="12">
        <v>2.0</v>
      </c>
      <c r="AD2" s="12">
        <v>3.0</v>
      </c>
      <c r="AE2" s="12">
        <v>3.0</v>
      </c>
      <c r="AF2" s="12">
        <v>4.0</v>
      </c>
      <c r="AG2" s="12">
        <v>2.0</v>
      </c>
      <c r="AH2" s="14">
        <v>2.0</v>
      </c>
    </row>
    <row r="3" ht="22.5" customHeight="1">
      <c r="A3" s="5" t="s">
        <v>34</v>
      </c>
      <c r="B3" s="6">
        <v>10.0</v>
      </c>
      <c r="C3" s="6">
        <v>4.0</v>
      </c>
      <c r="D3" s="7">
        <v>2.0</v>
      </c>
      <c r="E3" s="8"/>
      <c r="F3" s="15"/>
      <c r="G3" s="16">
        <v>4.0</v>
      </c>
      <c r="H3" s="12">
        <v>1.0</v>
      </c>
      <c r="I3" s="12">
        <v>3.0</v>
      </c>
      <c r="J3" s="11">
        <v>4.0</v>
      </c>
      <c r="K3" s="12">
        <v>1.0</v>
      </c>
      <c r="L3" s="12">
        <v>2.0</v>
      </c>
      <c r="M3" s="12">
        <v>2.0</v>
      </c>
      <c r="N3" s="12">
        <v>3.0</v>
      </c>
      <c r="O3" s="12">
        <v>1.0</v>
      </c>
      <c r="P3" s="12">
        <v>1.0</v>
      </c>
      <c r="Q3" s="12" t="s">
        <v>35</v>
      </c>
      <c r="R3" s="12">
        <v>4.0</v>
      </c>
      <c r="S3" s="12">
        <v>2.0</v>
      </c>
      <c r="T3" s="13">
        <v>2.0</v>
      </c>
      <c r="U3" s="12">
        <v>3.0</v>
      </c>
      <c r="V3" s="12">
        <v>1.0</v>
      </c>
      <c r="W3" s="12">
        <v>4.0</v>
      </c>
      <c r="X3" s="12">
        <v>4.0</v>
      </c>
      <c r="Y3" s="12">
        <v>3.0</v>
      </c>
      <c r="Z3" s="12">
        <v>4.0</v>
      </c>
      <c r="AA3" s="13">
        <v>3.0</v>
      </c>
      <c r="AB3" s="12">
        <v>4.0</v>
      </c>
      <c r="AC3" s="12">
        <v>3.0</v>
      </c>
      <c r="AD3" s="12">
        <v>1.0</v>
      </c>
      <c r="AE3" s="12">
        <v>4.0</v>
      </c>
      <c r="AF3" s="12">
        <v>3.0</v>
      </c>
      <c r="AG3" s="12">
        <v>3.0</v>
      </c>
      <c r="AH3" s="17">
        <v>3.0</v>
      </c>
    </row>
    <row r="4" ht="22.5" customHeight="1">
      <c r="A4" s="5" t="s">
        <v>34</v>
      </c>
      <c r="B4" s="6">
        <v>10.0</v>
      </c>
      <c r="C4" s="6">
        <v>4.0</v>
      </c>
      <c r="D4" s="7">
        <v>3.0</v>
      </c>
      <c r="E4" s="8"/>
      <c r="F4" s="9"/>
      <c r="G4" s="16">
        <v>4.0</v>
      </c>
      <c r="H4" s="12">
        <v>1.0</v>
      </c>
      <c r="I4" s="11">
        <v>3.0</v>
      </c>
      <c r="J4" s="11">
        <v>2.0</v>
      </c>
      <c r="K4" s="12">
        <v>1.0</v>
      </c>
      <c r="L4" s="12">
        <v>3.0</v>
      </c>
      <c r="M4" s="11">
        <v>4.0</v>
      </c>
      <c r="N4" s="12">
        <v>3.0</v>
      </c>
      <c r="O4" s="12">
        <v>1.0</v>
      </c>
      <c r="P4" s="12">
        <v>4.0</v>
      </c>
      <c r="Q4" s="12">
        <v>1.0</v>
      </c>
      <c r="R4" s="12">
        <v>4.0</v>
      </c>
      <c r="S4" s="12">
        <v>2.0</v>
      </c>
      <c r="T4" s="13">
        <v>3.0</v>
      </c>
      <c r="U4" s="12">
        <v>4.0</v>
      </c>
      <c r="V4" s="12">
        <v>3.0</v>
      </c>
      <c r="W4" s="12">
        <v>4.0</v>
      </c>
      <c r="X4" s="12">
        <v>4.0</v>
      </c>
      <c r="Y4" s="12">
        <v>1.0</v>
      </c>
      <c r="Z4" s="12">
        <v>3.0</v>
      </c>
      <c r="AA4" s="13">
        <v>4.0</v>
      </c>
      <c r="AB4" s="12">
        <v>1.0</v>
      </c>
      <c r="AC4" s="12">
        <v>2.0</v>
      </c>
      <c r="AD4" s="12">
        <v>4.0</v>
      </c>
      <c r="AE4" s="12">
        <v>2.0</v>
      </c>
      <c r="AF4" s="12">
        <v>4.0</v>
      </c>
      <c r="AG4" s="12">
        <v>1.0</v>
      </c>
      <c r="AH4" s="17">
        <v>3.0</v>
      </c>
    </row>
    <row r="5" ht="22.5" customHeight="1">
      <c r="A5" s="5" t="s">
        <v>34</v>
      </c>
      <c r="B5" s="6">
        <v>10.0</v>
      </c>
      <c r="C5" s="6">
        <v>4.0</v>
      </c>
      <c r="D5" s="7">
        <v>4.0</v>
      </c>
      <c r="E5" s="8"/>
      <c r="F5" s="8"/>
      <c r="G5" s="10">
        <v>4.0</v>
      </c>
      <c r="H5" s="12">
        <v>1.0</v>
      </c>
      <c r="I5" s="11">
        <v>3.0</v>
      </c>
      <c r="J5" s="12">
        <v>2.0</v>
      </c>
      <c r="K5" s="12">
        <v>1.0</v>
      </c>
      <c r="L5" s="12">
        <v>2.0</v>
      </c>
      <c r="M5" s="11">
        <v>4.0</v>
      </c>
      <c r="N5" s="12">
        <v>2.0</v>
      </c>
      <c r="O5" s="12">
        <v>1.0</v>
      </c>
      <c r="P5" s="12">
        <v>4.0</v>
      </c>
      <c r="Q5" s="12">
        <v>2.0</v>
      </c>
      <c r="R5" s="12">
        <v>2.0</v>
      </c>
      <c r="S5" s="12">
        <v>3.0</v>
      </c>
      <c r="T5" s="13">
        <v>2.0</v>
      </c>
      <c r="U5" s="12">
        <v>1.0</v>
      </c>
      <c r="V5" s="12">
        <v>2.0</v>
      </c>
      <c r="W5" s="12">
        <v>1.0</v>
      </c>
      <c r="X5" s="12">
        <v>3.0</v>
      </c>
      <c r="Y5" s="12">
        <v>4.0</v>
      </c>
      <c r="Z5" s="12">
        <v>1.0</v>
      </c>
      <c r="AA5" s="13">
        <v>3.0</v>
      </c>
      <c r="AB5" s="12">
        <v>2.0</v>
      </c>
      <c r="AC5" s="12">
        <v>1.0</v>
      </c>
      <c r="AD5" s="12">
        <v>3.0</v>
      </c>
      <c r="AE5" s="12">
        <v>1.0</v>
      </c>
      <c r="AF5" s="12">
        <v>3.0</v>
      </c>
      <c r="AG5" s="12">
        <v>2.0</v>
      </c>
      <c r="AH5" s="14">
        <v>2.0</v>
      </c>
    </row>
    <row r="6" ht="22.5" customHeight="1">
      <c r="A6" s="5" t="s">
        <v>34</v>
      </c>
      <c r="B6" s="6">
        <v>10.0</v>
      </c>
      <c r="C6" s="6">
        <v>4.0</v>
      </c>
      <c r="D6" s="7">
        <v>5.0</v>
      </c>
      <c r="E6" s="8"/>
      <c r="F6" s="8"/>
      <c r="G6" s="16">
        <v>4.0</v>
      </c>
      <c r="H6" s="12">
        <v>1.0</v>
      </c>
      <c r="I6" s="12">
        <v>3.0</v>
      </c>
      <c r="J6" s="11">
        <v>2.0</v>
      </c>
      <c r="K6" s="12">
        <v>3.0</v>
      </c>
      <c r="L6" s="12">
        <v>3.0</v>
      </c>
      <c r="M6" s="12">
        <v>2.0</v>
      </c>
      <c r="N6" s="12">
        <v>3.0</v>
      </c>
      <c r="O6" s="12">
        <v>3.0</v>
      </c>
      <c r="P6" s="12">
        <v>4.0</v>
      </c>
      <c r="Q6" s="12">
        <v>1.0</v>
      </c>
      <c r="R6" s="12">
        <v>4.0</v>
      </c>
      <c r="S6" s="12">
        <v>2.0</v>
      </c>
      <c r="T6" s="13">
        <v>3.0</v>
      </c>
      <c r="U6" s="12">
        <v>4.0</v>
      </c>
      <c r="V6" s="12">
        <v>3.0</v>
      </c>
      <c r="W6" s="12">
        <v>4.0</v>
      </c>
      <c r="X6" s="12">
        <v>4.0</v>
      </c>
      <c r="Y6" s="12">
        <v>1.0</v>
      </c>
      <c r="Z6" s="12">
        <v>3.0</v>
      </c>
      <c r="AA6" s="13">
        <v>3.0</v>
      </c>
      <c r="AB6" s="12">
        <v>2.0</v>
      </c>
      <c r="AC6" s="12">
        <v>1.0</v>
      </c>
      <c r="AD6" s="12">
        <v>3.0</v>
      </c>
      <c r="AE6" s="12">
        <v>2.0</v>
      </c>
      <c r="AF6" s="12">
        <v>1.0</v>
      </c>
      <c r="AG6" s="18"/>
      <c r="AH6" s="19"/>
    </row>
    <row r="7" ht="22.5" customHeight="1">
      <c r="A7" s="5" t="s">
        <v>34</v>
      </c>
      <c r="B7" s="6">
        <v>10.0</v>
      </c>
      <c r="C7" s="6">
        <v>4.0</v>
      </c>
      <c r="D7" s="7">
        <v>6.0</v>
      </c>
      <c r="E7" s="8"/>
      <c r="F7" s="8"/>
      <c r="G7" s="10">
        <v>2.0</v>
      </c>
      <c r="H7" s="12">
        <v>3.0</v>
      </c>
      <c r="I7" s="11">
        <v>3.0</v>
      </c>
      <c r="J7" s="12">
        <v>2.0</v>
      </c>
      <c r="K7" s="12">
        <v>3.0</v>
      </c>
      <c r="L7" s="11">
        <v>3.0</v>
      </c>
      <c r="M7" s="12">
        <v>2.0</v>
      </c>
      <c r="N7" s="12">
        <v>3.0</v>
      </c>
      <c r="O7" s="12">
        <v>1.0</v>
      </c>
      <c r="P7" s="12">
        <v>3.0</v>
      </c>
      <c r="Q7" s="12">
        <v>1.0</v>
      </c>
      <c r="R7" s="12">
        <v>4.0</v>
      </c>
      <c r="S7" s="12">
        <v>3.0</v>
      </c>
      <c r="T7" s="13">
        <v>3.0</v>
      </c>
      <c r="U7" s="12">
        <v>4.0</v>
      </c>
      <c r="V7" s="12">
        <v>3.0</v>
      </c>
      <c r="W7" s="12">
        <v>4.0</v>
      </c>
      <c r="X7" s="12">
        <v>3.0</v>
      </c>
      <c r="Y7" s="12">
        <v>1.0</v>
      </c>
      <c r="Z7" s="12">
        <v>3.0</v>
      </c>
      <c r="AA7" s="13">
        <v>4.0</v>
      </c>
      <c r="AB7" s="12">
        <v>2.0</v>
      </c>
      <c r="AC7" s="12">
        <v>3.0</v>
      </c>
      <c r="AD7" s="12">
        <v>4.0</v>
      </c>
      <c r="AE7" s="12">
        <v>2.0</v>
      </c>
      <c r="AF7" s="12">
        <v>4.0</v>
      </c>
      <c r="AG7" s="12">
        <v>2.0</v>
      </c>
      <c r="AH7" s="17">
        <v>2.0</v>
      </c>
    </row>
    <row r="8" ht="22.5" customHeight="1">
      <c r="A8" s="5" t="s">
        <v>34</v>
      </c>
      <c r="B8" s="6">
        <v>10.0</v>
      </c>
      <c r="C8" s="6">
        <v>4.0</v>
      </c>
      <c r="D8" s="7">
        <v>7.0</v>
      </c>
      <c r="E8" s="8"/>
      <c r="F8" s="8"/>
      <c r="G8" s="16">
        <v>4.0</v>
      </c>
      <c r="H8" s="12">
        <v>1.0</v>
      </c>
      <c r="I8" s="11">
        <v>3.0</v>
      </c>
      <c r="J8" s="11">
        <v>2.0</v>
      </c>
      <c r="K8" s="12">
        <v>1.0</v>
      </c>
      <c r="L8" s="12">
        <v>1.0</v>
      </c>
      <c r="M8" s="12">
        <v>2.0</v>
      </c>
      <c r="N8" s="12">
        <v>4.0</v>
      </c>
      <c r="O8" s="12">
        <v>1.0</v>
      </c>
      <c r="P8" s="12">
        <v>3.0</v>
      </c>
      <c r="Q8" s="12">
        <v>1.0</v>
      </c>
      <c r="R8" s="12">
        <v>4.0</v>
      </c>
      <c r="S8" s="12">
        <v>1.0</v>
      </c>
      <c r="T8" s="13">
        <v>2.0</v>
      </c>
      <c r="U8" s="12">
        <v>4.0</v>
      </c>
      <c r="V8" s="12">
        <v>3.0</v>
      </c>
      <c r="W8" s="12">
        <v>4.0</v>
      </c>
      <c r="X8" s="12">
        <v>4.0</v>
      </c>
      <c r="Y8" s="12">
        <v>1.0</v>
      </c>
      <c r="Z8" s="12">
        <v>3.0</v>
      </c>
      <c r="AA8" s="13">
        <v>4.0</v>
      </c>
      <c r="AB8" s="12">
        <v>2.0</v>
      </c>
      <c r="AC8" s="12">
        <v>2.0</v>
      </c>
      <c r="AD8" s="12">
        <v>1.0</v>
      </c>
      <c r="AE8" s="12">
        <v>3.0</v>
      </c>
      <c r="AF8" s="12">
        <v>1.0</v>
      </c>
      <c r="AG8" s="12">
        <v>2.0</v>
      </c>
      <c r="AH8" s="17">
        <v>2.0</v>
      </c>
    </row>
    <row r="9" ht="22.5" customHeight="1">
      <c r="A9" s="5" t="s">
        <v>34</v>
      </c>
      <c r="B9" s="6">
        <v>10.0</v>
      </c>
      <c r="C9" s="6">
        <v>4.0</v>
      </c>
      <c r="D9" s="7">
        <v>8.0</v>
      </c>
      <c r="E9" s="8"/>
      <c r="F9" s="8"/>
      <c r="G9" s="10">
        <v>4.0</v>
      </c>
      <c r="H9" s="12">
        <v>1.0</v>
      </c>
      <c r="I9" s="11">
        <v>3.0</v>
      </c>
      <c r="J9" s="11">
        <v>2.0</v>
      </c>
      <c r="K9" s="12">
        <v>1.0</v>
      </c>
      <c r="L9" s="11">
        <v>3.0</v>
      </c>
      <c r="M9" s="12">
        <v>2.0</v>
      </c>
      <c r="N9" s="11">
        <v>3.0</v>
      </c>
      <c r="O9" s="12">
        <v>3.0</v>
      </c>
      <c r="P9" s="12">
        <v>4.0</v>
      </c>
      <c r="Q9" s="12">
        <v>1.0</v>
      </c>
      <c r="R9" s="12">
        <v>1.0</v>
      </c>
      <c r="S9" s="12">
        <v>2.0</v>
      </c>
      <c r="T9" s="13">
        <v>3.0</v>
      </c>
      <c r="U9" s="12">
        <v>4.0</v>
      </c>
      <c r="V9" s="12">
        <v>2.0</v>
      </c>
      <c r="W9" s="12">
        <v>1.0</v>
      </c>
      <c r="X9" s="12">
        <v>3.0</v>
      </c>
      <c r="Y9" s="12">
        <v>2.0</v>
      </c>
      <c r="Z9" s="12">
        <v>4.0</v>
      </c>
      <c r="AA9" s="13">
        <v>1.0</v>
      </c>
      <c r="AB9" s="12">
        <v>3.0</v>
      </c>
      <c r="AC9" s="12">
        <v>4.0</v>
      </c>
      <c r="AD9" s="12">
        <v>3.0</v>
      </c>
      <c r="AE9" s="12">
        <v>2.0</v>
      </c>
      <c r="AF9" s="12">
        <v>1.0</v>
      </c>
      <c r="AG9" s="12">
        <v>1.0</v>
      </c>
      <c r="AH9" s="17">
        <v>3.0</v>
      </c>
    </row>
    <row r="10" ht="22.5" customHeight="1">
      <c r="A10" s="5" t="s">
        <v>34</v>
      </c>
      <c r="B10" s="6">
        <v>10.0</v>
      </c>
      <c r="C10" s="6">
        <v>4.0</v>
      </c>
      <c r="D10" s="7">
        <v>9.0</v>
      </c>
      <c r="E10" s="8"/>
      <c r="F10" s="8"/>
      <c r="G10" s="20"/>
      <c r="H10" s="18"/>
      <c r="I10" s="21"/>
      <c r="J10" s="21"/>
      <c r="K10" s="21"/>
      <c r="L10" s="21"/>
      <c r="M10" s="18"/>
      <c r="N10" s="21"/>
      <c r="O10" s="22"/>
      <c r="P10" s="22"/>
      <c r="Q10" s="22"/>
      <c r="R10" s="22"/>
      <c r="S10" s="22"/>
      <c r="T10" s="23"/>
      <c r="U10" s="22"/>
      <c r="V10" s="22"/>
      <c r="W10" s="22"/>
      <c r="X10" s="22"/>
      <c r="Y10" s="22"/>
      <c r="Z10" s="22"/>
      <c r="AA10" s="23"/>
      <c r="AB10" s="22"/>
      <c r="AC10" s="22"/>
      <c r="AD10" s="22"/>
      <c r="AE10" s="22"/>
      <c r="AF10" s="22"/>
      <c r="AG10" s="22"/>
      <c r="AH10" s="19"/>
    </row>
    <row r="11" ht="22.5" customHeight="1">
      <c r="A11" s="5" t="s">
        <v>34</v>
      </c>
      <c r="B11" s="6">
        <v>10.0</v>
      </c>
      <c r="C11" s="6">
        <v>4.0</v>
      </c>
      <c r="D11" s="7">
        <v>10.0</v>
      </c>
      <c r="E11" s="8"/>
      <c r="F11" s="8"/>
      <c r="G11" s="16">
        <v>4.0</v>
      </c>
      <c r="H11" s="12">
        <v>1.0</v>
      </c>
      <c r="I11" s="12">
        <v>3.0</v>
      </c>
      <c r="J11" s="12">
        <v>2.0</v>
      </c>
      <c r="K11" s="12">
        <v>1.0</v>
      </c>
      <c r="L11" s="12">
        <v>3.0</v>
      </c>
      <c r="M11" s="12">
        <v>2.0</v>
      </c>
      <c r="N11" s="12">
        <v>3.0</v>
      </c>
      <c r="O11" s="12">
        <v>1.0</v>
      </c>
      <c r="P11" s="12">
        <v>4.0</v>
      </c>
      <c r="Q11" s="12">
        <v>1.0</v>
      </c>
      <c r="R11" s="12">
        <v>4.0</v>
      </c>
      <c r="S11" s="12">
        <v>2.0</v>
      </c>
      <c r="T11" s="13">
        <v>2.0</v>
      </c>
      <c r="U11" s="12">
        <v>4.0</v>
      </c>
      <c r="V11" s="12">
        <v>3.0</v>
      </c>
      <c r="W11" s="12">
        <v>4.0</v>
      </c>
      <c r="X11" s="12">
        <v>4.0</v>
      </c>
      <c r="Y11" s="12">
        <v>1.0</v>
      </c>
      <c r="Z11" s="12">
        <v>3.0</v>
      </c>
      <c r="AA11" s="13">
        <v>4.0</v>
      </c>
      <c r="AB11" s="12">
        <v>2.0</v>
      </c>
      <c r="AC11" s="12">
        <v>3.0</v>
      </c>
      <c r="AD11" s="12">
        <v>3.0</v>
      </c>
      <c r="AE11" s="12">
        <v>2.0</v>
      </c>
      <c r="AF11" s="12">
        <v>4.0</v>
      </c>
      <c r="AG11" s="12">
        <v>1.0</v>
      </c>
      <c r="AH11" s="17">
        <v>2.0</v>
      </c>
    </row>
    <row r="12" ht="22.5" customHeight="1">
      <c r="A12" s="5" t="s">
        <v>34</v>
      </c>
      <c r="B12" s="6">
        <v>10.0</v>
      </c>
      <c r="C12" s="6">
        <v>4.0</v>
      </c>
      <c r="D12" s="7">
        <v>11.0</v>
      </c>
      <c r="E12" s="8"/>
      <c r="F12" s="8"/>
      <c r="G12" s="10">
        <v>4.0</v>
      </c>
      <c r="H12" s="12">
        <v>1.0</v>
      </c>
      <c r="I12" s="12">
        <v>3.0</v>
      </c>
      <c r="J12" s="11">
        <v>2.0</v>
      </c>
      <c r="K12" s="11">
        <v>3.0</v>
      </c>
      <c r="L12" s="12">
        <v>1.0</v>
      </c>
      <c r="M12" s="12">
        <v>2.0</v>
      </c>
      <c r="N12" s="11">
        <v>1.0</v>
      </c>
      <c r="O12" s="12">
        <v>1.0</v>
      </c>
      <c r="P12" s="12">
        <v>4.0</v>
      </c>
      <c r="Q12" s="12">
        <v>1.0</v>
      </c>
      <c r="R12" s="12">
        <v>4.0</v>
      </c>
      <c r="S12" s="12">
        <v>3.0</v>
      </c>
      <c r="T12" s="13">
        <v>2.0</v>
      </c>
      <c r="U12" s="12">
        <v>4.0</v>
      </c>
      <c r="V12" s="12">
        <v>3.0</v>
      </c>
      <c r="W12" s="12">
        <v>4.0</v>
      </c>
      <c r="X12" s="12">
        <v>4.0</v>
      </c>
      <c r="Y12" s="12">
        <v>1.0</v>
      </c>
      <c r="Z12" s="12">
        <v>3.0</v>
      </c>
      <c r="AA12" s="13">
        <v>4.0</v>
      </c>
      <c r="AB12" s="12">
        <v>2.0</v>
      </c>
      <c r="AC12" s="12">
        <v>4.0</v>
      </c>
      <c r="AD12" s="12">
        <v>3.0</v>
      </c>
      <c r="AE12" s="18"/>
      <c r="AF12" s="18"/>
      <c r="AG12" s="18"/>
      <c r="AH12" s="24"/>
    </row>
    <row r="13" ht="22.5" customHeight="1">
      <c r="A13" s="5" t="s">
        <v>34</v>
      </c>
      <c r="B13" s="6">
        <v>10.0</v>
      </c>
      <c r="C13" s="6">
        <v>4.0</v>
      </c>
      <c r="D13" s="7">
        <v>12.0</v>
      </c>
      <c r="E13" s="8"/>
      <c r="F13" s="9"/>
      <c r="G13" s="16">
        <v>2.0</v>
      </c>
      <c r="H13" s="12">
        <v>4.0</v>
      </c>
      <c r="I13" s="11">
        <v>3.0</v>
      </c>
      <c r="J13" s="12">
        <v>1.0</v>
      </c>
      <c r="K13" s="11">
        <v>3.0</v>
      </c>
      <c r="L13" s="11">
        <v>1.0</v>
      </c>
      <c r="M13" s="12">
        <v>2.0</v>
      </c>
      <c r="N13" s="11">
        <v>3.0</v>
      </c>
      <c r="O13" s="25">
        <v>3.0</v>
      </c>
      <c r="P13" s="25">
        <v>4.0</v>
      </c>
      <c r="Q13" s="25">
        <v>3.0</v>
      </c>
      <c r="R13" s="25">
        <v>1.0</v>
      </c>
      <c r="S13" s="25">
        <v>2.0</v>
      </c>
      <c r="T13" s="26">
        <v>3.0</v>
      </c>
      <c r="U13" s="25">
        <v>2.0</v>
      </c>
      <c r="V13" s="25">
        <v>3.0</v>
      </c>
      <c r="W13" s="25">
        <v>1.0</v>
      </c>
      <c r="X13" s="25">
        <v>2.0</v>
      </c>
      <c r="Y13" s="25">
        <v>3.0</v>
      </c>
      <c r="Z13" s="25">
        <v>3.0</v>
      </c>
      <c r="AA13" s="26">
        <v>3.0</v>
      </c>
      <c r="AB13" s="25">
        <v>3.0</v>
      </c>
      <c r="AC13" s="22"/>
      <c r="AD13" s="25">
        <v>3.0</v>
      </c>
      <c r="AE13" s="25">
        <v>4.0</v>
      </c>
      <c r="AF13" s="25">
        <v>2.0</v>
      </c>
      <c r="AG13" s="25">
        <v>3.0</v>
      </c>
      <c r="AH13" s="19"/>
    </row>
    <row r="14" ht="22.5" customHeight="1">
      <c r="A14" s="5" t="s">
        <v>34</v>
      </c>
      <c r="B14" s="6">
        <v>10.0</v>
      </c>
      <c r="C14" s="6">
        <v>4.0</v>
      </c>
      <c r="D14" s="7">
        <v>13.0</v>
      </c>
      <c r="E14" s="8"/>
      <c r="F14" s="8"/>
      <c r="G14" s="10">
        <v>3.0</v>
      </c>
      <c r="H14" s="12">
        <v>3.0</v>
      </c>
      <c r="I14" s="11">
        <v>3.0</v>
      </c>
      <c r="J14" s="11">
        <v>2.0</v>
      </c>
      <c r="K14" s="11">
        <v>4.0</v>
      </c>
      <c r="L14" s="11">
        <v>4.0</v>
      </c>
      <c r="M14" s="12">
        <v>1.0</v>
      </c>
      <c r="N14" s="11">
        <v>4.0</v>
      </c>
      <c r="O14" s="12">
        <v>1.0</v>
      </c>
      <c r="P14" s="12">
        <v>2.0</v>
      </c>
      <c r="Q14" s="12">
        <v>2.0</v>
      </c>
      <c r="R14" s="12">
        <v>1.0</v>
      </c>
      <c r="S14" s="12">
        <v>3.0</v>
      </c>
      <c r="T14" s="13">
        <v>3.0</v>
      </c>
      <c r="U14" s="12">
        <v>1.0</v>
      </c>
      <c r="V14" s="12">
        <v>1.0</v>
      </c>
      <c r="W14" s="12">
        <v>1.0</v>
      </c>
      <c r="X14" s="12">
        <v>1.0</v>
      </c>
      <c r="Y14" s="12">
        <v>1.0</v>
      </c>
      <c r="Z14" s="12">
        <v>2.0</v>
      </c>
      <c r="AA14" s="13">
        <v>1.0</v>
      </c>
      <c r="AB14" s="12">
        <v>2.0</v>
      </c>
      <c r="AC14" s="12">
        <v>2.0</v>
      </c>
      <c r="AD14" s="12">
        <v>3.0</v>
      </c>
      <c r="AE14" s="12">
        <v>3.0</v>
      </c>
      <c r="AF14" s="12">
        <v>1.0</v>
      </c>
      <c r="AG14" s="12">
        <v>3.0</v>
      </c>
      <c r="AH14" s="17">
        <v>1.0</v>
      </c>
    </row>
    <row r="15" ht="22.5" customHeight="1">
      <c r="A15" s="5" t="s">
        <v>34</v>
      </c>
      <c r="B15" s="6">
        <v>10.0</v>
      </c>
      <c r="C15" s="6">
        <v>4.0</v>
      </c>
      <c r="D15" s="7">
        <v>14.0</v>
      </c>
      <c r="E15" s="8"/>
      <c r="F15" s="9"/>
      <c r="G15" s="10">
        <v>4.0</v>
      </c>
      <c r="H15" s="12">
        <v>3.0</v>
      </c>
      <c r="I15" s="11">
        <v>3.0</v>
      </c>
      <c r="J15" s="12">
        <v>2.0</v>
      </c>
      <c r="K15" s="12">
        <v>1.0</v>
      </c>
      <c r="L15" s="12">
        <v>1.0</v>
      </c>
      <c r="M15" s="12">
        <v>4.0</v>
      </c>
      <c r="N15" s="11">
        <v>2.0</v>
      </c>
      <c r="O15" s="25">
        <v>3.0</v>
      </c>
      <c r="P15" s="25">
        <v>4.0</v>
      </c>
      <c r="Q15" s="25">
        <v>1.0</v>
      </c>
      <c r="R15" s="25">
        <v>1.0</v>
      </c>
      <c r="S15" s="25">
        <v>3.0</v>
      </c>
      <c r="T15" s="26">
        <v>3.0</v>
      </c>
      <c r="U15" s="25">
        <v>4.0</v>
      </c>
      <c r="V15" s="25">
        <v>3.0</v>
      </c>
      <c r="W15" s="25">
        <v>4.0</v>
      </c>
      <c r="X15" s="25">
        <v>3.0</v>
      </c>
      <c r="Y15" s="25">
        <v>1.0</v>
      </c>
      <c r="Z15" s="25">
        <v>3.0</v>
      </c>
      <c r="AA15" s="26">
        <v>4.0</v>
      </c>
      <c r="AB15" s="25">
        <v>3.0</v>
      </c>
      <c r="AC15" s="22"/>
      <c r="AD15" s="25">
        <v>3.0</v>
      </c>
      <c r="AE15" s="25">
        <v>2.0</v>
      </c>
      <c r="AF15" s="25">
        <v>4.0</v>
      </c>
      <c r="AG15" s="25">
        <v>1.0</v>
      </c>
      <c r="AH15" s="14">
        <v>2.0</v>
      </c>
    </row>
    <row r="16" ht="22.5" customHeight="1">
      <c r="A16" s="5" t="s">
        <v>34</v>
      </c>
      <c r="B16" s="6">
        <v>10.0</v>
      </c>
      <c r="C16" s="6">
        <v>4.0</v>
      </c>
      <c r="D16" s="7">
        <v>15.0</v>
      </c>
      <c r="E16" s="8"/>
      <c r="F16" s="9"/>
      <c r="G16" s="16">
        <v>4.0</v>
      </c>
      <c r="H16" s="12">
        <v>1.0</v>
      </c>
      <c r="I16" s="11">
        <v>3.0</v>
      </c>
      <c r="J16" s="12">
        <v>2.0</v>
      </c>
      <c r="K16" s="11">
        <v>1.0</v>
      </c>
      <c r="L16" s="12">
        <v>2.0</v>
      </c>
      <c r="M16" s="12">
        <v>2.0</v>
      </c>
      <c r="N16" s="12">
        <v>3.0</v>
      </c>
      <c r="O16" s="12">
        <v>1.0</v>
      </c>
      <c r="P16" s="12">
        <v>3.0</v>
      </c>
      <c r="Q16" s="12">
        <v>1.0</v>
      </c>
      <c r="R16" s="12">
        <v>4.0</v>
      </c>
      <c r="S16" s="12">
        <v>2.0</v>
      </c>
      <c r="T16" s="13">
        <v>1.0</v>
      </c>
      <c r="U16" s="12">
        <v>4.0</v>
      </c>
      <c r="V16" s="12">
        <v>3.0</v>
      </c>
      <c r="W16" s="12">
        <v>4.0</v>
      </c>
      <c r="X16" s="12">
        <v>3.0</v>
      </c>
      <c r="Y16" s="12">
        <v>1.0</v>
      </c>
      <c r="Z16" s="12">
        <v>3.0</v>
      </c>
      <c r="AA16" s="13">
        <v>4.0</v>
      </c>
      <c r="AB16" s="12">
        <v>2.0</v>
      </c>
      <c r="AC16" s="12">
        <v>4.0</v>
      </c>
      <c r="AD16" s="12">
        <v>3.0</v>
      </c>
      <c r="AE16" s="12">
        <v>2.0</v>
      </c>
      <c r="AF16" s="12">
        <v>1.0</v>
      </c>
      <c r="AG16" s="12">
        <v>1.0</v>
      </c>
      <c r="AH16" s="17">
        <v>1.0</v>
      </c>
    </row>
    <row r="17" ht="22.5" customHeight="1">
      <c r="A17" s="5" t="s">
        <v>34</v>
      </c>
      <c r="B17" s="6">
        <v>10.0</v>
      </c>
      <c r="C17" s="6">
        <v>4.0</v>
      </c>
      <c r="D17" s="7">
        <v>16.0</v>
      </c>
      <c r="E17" s="8"/>
      <c r="F17" s="8"/>
      <c r="G17" s="16">
        <v>4.0</v>
      </c>
      <c r="H17" s="11">
        <v>1.0</v>
      </c>
      <c r="I17" s="11">
        <v>3.0</v>
      </c>
      <c r="J17" s="12">
        <v>2.0</v>
      </c>
      <c r="K17" s="11">
        <v>1.0</v>
      </c>
      <c r="L17" s="11">
        <v>2.0</v>
      </c>
      <c r="M17" s="12">
        <v>1.0</v>
      </c>
      <c r="N17" s="12">
        <v>4.0</v>
      </c>
      <c r="O17" s="12">
        <v>3.0</v>
      </c>
      <c r="P17" s="12">
        <v>4.0</v>
      </c>
      <c r="Q17" s="12">
        <v>1.0</v>
      </c>
      <c r="R17" s="12">
        <v>1.0</v>
      </c>
      <c r="S17" s="12">
        <v>3.0</v>
      </c>
      <c r="T17" s="13">
        <v>2.0</v>
      </c>
      <c r="U17" s="12">
        <v>3.0</v>
      </c>
      <c r="V17" s="12">
        <v>3.0</v>
      </c>
      <c r="W17" s="12">
        <v>1.0</v>
      </c>
      <c r="X17" s="12">
        <v>3.0</v>
      </c>
      <c r="Y17" s="12">
        <v>1.0</v>
      </c>
      <c r="Z17" s="12">
        <v>2.0</v>
      </c>
      <c r="AA17" s="13">
        <v>3.0</v>
      </c>
      <c r="AB17" s="12">
        <v>2.0</v>
      </c>
      <c r="AC17" s="12">
        <v>4.0</v>
      </c>
      <c r="AD17" s="12">
        <v>3.0</v>
      </c>
      <c r="AE17" s="12">
        <v>1.0</v>
      </c>
      <c r="AF17" s="12">
        <v>3.0</v>
      </c>
      <c r="AG17" s="12">
        <v>2.0</v>
      </c>
      <c r="AH17" s="17">
        <v>2.0</v>
      </c>
    </row>
    <row r="18" ht="22.5" customHeight="1">
      <c r="A18" s="5" t="s">
        <v>34</v>
      </c>
      <c r="B18" s="6">
        <v>10.0</v>
      </c>
      <c r="C18" s="6">
        <v>4.0</v>
      </c>
      <c r="D18" s="7">
        <v>17.0</v>
      </c>
      <c r="E18" s="8"/>
      <c r="F18" s="15"/>
      <c r="G18" s="16"/>
      <c r="H18" s="12"/>
      <c r="I18" s="11"/>
      <c r="J18" s="12"/>
      <c r="K18" s="12"/>
      <c r="L18" s="12"/>
      <c r="M18" s="12"/>
      <c r="N18" s="12"/>
      <c r="O18" s="12"/>
      <c r="P18" s="12"/>
      <c r="Q18" s="12"/>
      <c r="R18" s="12"/>
      <c r="S18" s="12"/>
      <c r="T18" s="13"/>
      <c r="U18" s="12"/>
      <c r="V18" s="12"/>
      <c r="W18" s="12"/>
      <c r="X18" s="12"/>
      <c r="Y18" s="12"/>
      <c r="Z18" s="12"/>
      <c r="AA18" s="13"/>
      <c r="AB18" s="12"/>
      <c r="AC18" s="12"/>
      <c r="AD18" s="12"/>
      <c r="AE18" s="12"/>
      <c r="AF18" s="12"/>
      <c r="AG18" s="12"/>
      <c r="AH18" s="17"/>
    </row>
    <row r="19" ht="22.5" customHeight="1">
      <c r="A19" s="5" t="s">
        <v>34</v>
      </c>
      <c r="B19" s="6">
        <v>10.0</v>
      </c>
      <c r="C19" s="6">
        <v>4.0</v>
      </c>
      <c r="D19" s="7">
        <v>18.0</v>
      </c>
      <c r="E19" s="8"/>
      <c r="F19" s="9"/>
      <c r="G19" s="16">
        <v>4.0</v>
      </c>
      <c r="H19" s="12">
        <v>1.0</v>
      </c>
      <c r="I19" s="11">
        <v>3.0</v>
      </c>
      <c r="J19" s="11">
        <v>1.0</v>
      </c>
      <c r="K19" s="12">
        <v>1.0</v>
      </c>
      <c r="L19" s="12">
        <v>4.0</v>
      </c>
      <c r="M19" s="12">
        <v>2.0</v>
      </c>
      <c r="N19" s="11">
        <v>4.0</v>
      </c>
      <c r="O19" s="25">
        <v>3.0</v>
      </c>
      <c r="P19" s="25">
        <v>3.0</v>
      </c>
      <c r="Q19" s="25">
        <v>1.0</v>
      </c>
      <c r="R19" s="25">
        <v>4.0</v>
      </c>
      <c r="S19" s="25">
        <v>2.0</v>
      </c>
      <c r="T19" s="26">
        <v>4.0</v>
      </c>
      <c r="U19" s="25">
        <v>1.0</v>
      </c>
      <c r="V19" s="25">
        <v>3.0</v>
      </c>
      <c r="W19" s="25">
        <v>1.0</v>
      </c>
      <c r="X19" s="25">
        <v>3.0</v>
      </c>
      <c r="Y19" s="25">
        <v>3.0</v>
      </c>
      <c r="Z19" s="25">
        <v>1.0</v>
      </c>
      <c r="AA19" s="26">
        <v>2.0</v>
      </c>
      <c r="AB19" s="25">
        <v>3.0</v>
      </c>
      <c r="AC19" s="25">
        <v>1.0</v>
      </c>
      <c r="AD19" s="25">
        <v>3.0</v>
      </c>
      <c r="AE19" s="25">
        <v>4.0</v>
      </c>
      <c r="AF19" s="25">
        <v>2.0</v>
      </c>
      <c r="AG19" s="25">
        <v>1.0</v>
      </c>
      <c r="AH19" s="14">
        <v>3.0</v>
      </c>
    </row>
    <row r="20" ht="22.5" customHeight="1">
      <c r="A20" s="5" t="s">
        <v>34</v>
      </c>
      <c r="B20" s="6">
        <v>10.0</v>
      </c>
      <c r="C20" s="6">
        <v>4.0</v>
      </c>
      <c r="D20" s="7">
        <v>19.0</v>
      </c>
      <c r="E20" s="8"/>
      <c r="F20" s="8"/>
      <c r="G20" s="16">
        <v>4.0</v>
      </c>
      <c r="H20" s="12">
        <v>1.0</v>
      </c>
      <c r="I20" s="11">
        <v>3.0</v>
      </c>
      <c r="J20" s="12">
        <v>2.0</v>
      </c>
      <c r="K20" s="12">
        <v>1.0</v>
      </c>
      <c r="L20" s="12">
        <v>2.0</v>
      </c>
      <c r="M20" s="12">
        <v>2.0</v>
      </c>
      <c r="N20" s="11">
        <v>3.0</v>
      </c>
      <c r="O20" s="12">
        <v>1.0</v>
      </c>
      <c r="P20" s="12">
        <v>2.0</v>
      </c>
      <c r="Q20" s="12">
        <v>1.0</v>
      </c>
      <c r="R20" s="12">
        <v>4.0</v>
      </c>
      <c r="S20" s="12">
        <v>3.0</v>
      </c>
      <c r="T20" s="13">
        <v>2.0</v>
      </c>
      <c r="U20" s="12">
        <v>4.0</v>
      </c>
      <c r="V20" s="12">
        <v>3.0</v>
      </c>
      <c r="W20" s="12">
        <v>4.0</v>
      </c>
      <c r="X20" s="12">
        <v>3.0</v>
      </c>
      <c r="Y20" s="12">
        <v>1.0</v>
      </c>
      <c r="Z20" s="12">
        <v>3.0</v>
      </c>
      <c r="AA20" s="13">
        <v>3.0</v>
      </c>
      <c r="AB20" s="12">
        <v>2.0</v>
      </c>
      <c r="AC20" s="12">
        <v>3.0</v>
      </c>
      <c r="AD20" s="12">
        <v>3.0</v>
      </c>
      <c r="AE20" s="12">
        <v>3.0</v>
      </c>
      <c r="AF20" s="12">
        <v>4.0</v>
      </c>
      <c r="AG20" s="12">
        <v>2.0</v>
      </c>
      <c r="AH20" s="17">
        <v>3.0</v>
      </c>
    </row>
    <row r="21" ht="22.5" customHeight="1">
      <c r="A21" s="5" t="s">
        <v>34</v>
      </c>
      <c r="B21" s="6">
        <v>10.0</v>
      </c>
      <c r="C21" s="6">
        <v>4.0</v>
      </c>
      <c r="D21" s="7">
        <v>20.0</v>
      </c>
      <c r="E21" s="8"/>
      <c r="F21" s="8"/>
      <c r="G21" s="16">
        <v>3.0</v>
      </c>
      <c r="H21" s="12">
        <v>3.0</v>
      </c>
      <c r="I21" s="11">
        <v>1.0</v>
      </c>
      <c r="J21" s="12">
        <v>2.0</v>
      </c>
      <c r="K21" s="12">
        <v>3.0</v>
      </c>
      <c r="L21" s="11">
        <v>2.0</v>
      </c>
      <c r="M21" s="12">
        <v>2.0</v>
      </c>
      <c r="N21" s="11">
        <v>4.0</v>
      </c>
      <c r="O21" s="12">
        <v>1.0</v>
      </c>
      <c r="P21" s="12">
        <v>4.0</v>
      </c>
      <c r="Q21" s="12">
        <v>1.0</v>
      </c>
      <c r="R21" s="12">
        <v>2.0</v>
      </c>
      <c r="S21" s="12">
        <v>3.0</v>
      </c>
      <c r="T21" s="13">
        <v>1.0</v>
      </c>
      <c r="U21" s="12">
        <v>1.0</v>
      </c>
      <c r="V21" s="12">
        <v>4.0</v>
      </c>
      <c r="W21" s="12">
        <v>2.0</v>
      </c>
      <c r="X21" s="12">
        <v>1.0</v>
      </c>
      <c r="Y21" s="12">
        <v>1.0</v>
      </c>
      <c r="Z21" s="12">
        <v>3.0</v>
      </c>
      <c r="AA21" s="13">
        <v>4.0</v>
      </c>
      <c r="AB21" s="12">
        <v>3.0</v>
      </c>
      <c r="AC21" s="12">
        <v>3.0</v>
      </c>
      <c r="AD21" s="12">
        <v>1.0</v>
      </c>
      <c r="AE21" s="12">
        <v>1.0</v>
      </c>
      <c r="AF21" s="12">
        <v>4.0</v>
      </c>
      <c r="AG21" s="12">
        <v>2.0</v>
      </c>
      <c r="AH21" s="17">
        <v>3.0</v>
      </c>
    </row>
    <row r="22" ht="22.5" customHeight="1">
      <c r="A22" s="5" t="s">
        <v>34</v>
      </c>
      <c r="B22" s="6">
        <v>10.0</v>
      </c>
      <c r="C22" s="6">
        <v>4.0</v>
      </c>
      <c r="D22" s="7">
        <v>21.0</v>
      </c>
      <c r="E22" s="8"/>
      <c r="F22" s="8"/>
      <c r="G22" s="16">
        <v>4.0</v>
      </c>
      <c r="H22" s="12">
        <v>1.0</v>
      </c>
      <c r="I22" s="12">
        <v>3.0</v>
      </c>
      <c r="J22" s="11">
        <v>2.0</v>
      </c>
      <c r="K22" s="11">
        <v>3.0</v>
      </c>
      <c r="L22" s="12">
        <v>1.0</v>
      </c>
      <c r="M22" s="12">
        <v>2.0</v>
      </c>
      <c r="N22" s="11">
        <v>1.0</v>
      </c>
      <c r="O22" s="12">
        <v>1.0</v>
      </c>
      <c r="P22" s="12">
        <v>3.0</v>
      </c>
      <c r="Q22" s="12">
        <v>1.0</v>
      </c>
      <c r="R22" s="12">
        <v>4.0</v>
      </c>
      <c r="S22" s="12">
        <v>2.0</v>
      </c>
      <c r="T22" s="13">
        <v>2.0</v>
      </c>
      <c r="U22" s="12">
        <v>3.0</v>
      </c>
      <c r="V22" s="12">
        <v>1.0</v>
      </c>
      <c r="W22" s="12">
        <v>2.0</v>
      </c>
      <c r="X22" s="12">
        <v>4.0</v>
      </c>
      <c r="Y22" s="12">
        <v>1.0</v>
      </c>
      <c r="Z22" s="12">
        <v>3.0</v>
      </c>
      <c r="AA22" s="13">
        <v>4.0</v>
      </c>
      <c r="AB22" s="12">
        <v>2.0</v>
      </c>
      <c r="AC22" s="12">
        <v>2.0</v>
      </c>
      <c r="AD22" s="12">
        <v>3.0</v>
      </c>
      <c r="AE22" s="12">
        <v>4.0</v>
      </c>
      <c r="AF22" s="12">
        <v>4.0</v>
      </c>
      <c r="AG22" s="12">
        <v>3.0</v>
      </c>
      <c r="AH22" s="17">
        <v>2.0</v>
      </c>
    </row>
    <row r="23" ht="22.5" customHeight="1">
      <c r="A23" s="5" t="s">
        <v>34</v>
      </c>
      <c r="B23" s="6">
        <v>10.0</v>
      </c>
      <c r="C23" s="6">
        <v>4.0</v>
      </c>
      <c r="D23" s="7">
        <v>22.0</v>
      </c>
      <c r="E23" s="8"/>
      <c r="F23" s="15"/>
      <c r="G23" s="16">
        <v>4.0</v>
      </c>
      <c r="H23" s="12">
        <v>1.0</v>
      </c>
      <c r="I23" s="12">
        <v>3.0</v>
      </c>
      <c r="J23" s="12">
        <v>2.0</v>
      </c>
      <c r="K23" s="11">
        <v>3.0</v>
      </c>
      <c r="L23" s="12">
        <v>1.0</v>
      </c>
      <c r="M23" s="12">
        <v>2.0</v>
      </c>
      <c r="N23" s="11">
        <v>1.0</v>
      </c>
      <c r="O23" s="12">
        <v>1.0</v>
      </c>
      <c r="P23" s="12">
        <v>3.0</v>
      </c>
      <c r="Q23" s="12">
        <v>1.0</v>
      </c>
      <c r="R23" s="12">
        <v>4.0</v>
      </c>
      <c r="S23" s="12">
        <v>2.0</v>
      </c>
      <c r="T23" s="13">
        <v>2.0</v>
      </c>
      <c r="U23" s="12">
        <v>3.0</v>
      </c>
      <c r="V23" s="12">
        <v>1.0</v>
      </c>
      <c r="W23" s="12">
        <v>2.0</v>
      </c>
      <c r="X23" s="12">
        <v>4.0</v>
      </c>
      <c r="Y23" s="12">
        <v>1.0</v>
      </c>
      <c r="Z23" s="12">
        <v>3.0</v>
      </c>
      <c r="AA23" s="13">
        <v>4.0</v>
      </c>
      <c r="AB23" s="12">
        <v>2.0</v>
      </c>
      <c r="AC23" s="12">
        <v>2.0</v>
      </c>
      <c r="AD23" s="12">
        <v>3.0</v>
      </c>
      <c r="AE23" s="12">
        <v>4.0</v>
      </c>
      <c r="AF23" s="12">
        <v>4.0</v>
      </c>
      <c r="AG23" s="12">
        <v>3.0</v>
      </c>
      <c r="AH23" s="17">
        <v>2.0</v>
      </c>
    </row>
    <row r="24" ht="22.5" customHeight="1">
      <c r="A24" s="5" t="s">
        <v>34</v>
      </c>
      <c r="B24" s="6">
        <v>10.0</v>
      </c>
      <c r="C24" s="6">
        <v>4.0</v>
      </c>
      <c r="D24" s="7">
        <v>23.0</v>
      </c>
      <c r="E24" s="8"/>
      <c r="F24" s="9"/>
      <c r="G24" s="27"/>
      <c r="H24" s="18"/>
      <c r="I24" s="21"/>
      <c r="J24" s="18"/>
      <c r="K24" s="21"/>
      <c r="L24" s="21"/>
      <c r="M24" s="18"/>
      <c r="N24" s="21"/>
      <c r="O24" s="18"/>
      <c r="P24" s="18"/>
      <c r="Q24" s="18"/>
      <c r="R24" s="18"/>
      <c r="S24" s="18"/>
      <c r="T24" s="28"/>
      <c r="U24" s="18"/>
      <c r="V24" s="18"/>
      <c r="W24" s="18"/>
      <c r="X24" s="18"/>
      <c r="Y24" s="18"/>
      <c r="Z24" s="18"/>
      <c r="AA24" s="28"/>
      <c r="AB24" s="18"/>
      <c r="AC24" s="18"/>
      <c r="AD24" s="18"/>
      <c r="AE24" s="18"/>
      <c r="AF24" s="18"/>
      <c r="AG24" s="18"/>
      <c r="AH24" s="24"/>
    </row>
    <row r="25" ht="22.5" customHeight="1">
      <c r="A25" s="5" t="s">
        <v>34</v>
      </c>
      <c r="B25" s="6">
        <v>10.0</v>
      </c>
      <c r="C25" s="6">
        <v>4.0</v>
      </c>
      <c r="D25" s="7">
        <v>24.0</v>
      </c>
      <c r="E25" s="8"/>
      <c r="F25" s="15"/>
      <c r="G25" s="16">
        <v>4.0</v>
      </c>
      <c r="H25" s="12">
        <v>1.0</v>
      </c>
      <c r="I25" s="11">
        <v>3.0</v>
      </c>
      <c r="J25" s="12">
        <v>2.0</v>
      </c>
      <c r="K25" s="12">
        <v>4.0</v>
      </c>
      <c r="L25" s="11">
        <v>1.0</v>
      </c>
      <c r="M25" s="12">
        <v>2.0</v>
      </c>
      <c r="N25" s="11">
        <v>1.0</v>
      </c>
      <c r="O25" s="12">
        <v>1.0</v>
      </c>
      <c r="P25" s="12">
        <v>4.0</v>
      </c>
      <c r="Q25" s="12">
        <v>1.0</v>
      </c>
      <c r="R25" s="12">
        <v>4.0</v>
      </c>
      <c r="S25" s="12">
        <v>3.0</v>
      </c>
      <c r="T25" s="13">
        <v>2.0</v>
      </c>
      <c r="U25" s="12">
        <v>4.0</v>
      </c>
      <c r="V25" s="12">
        <v>3.0</v>
      </c>
      <c r="W25" s="12">
        <v>4.0</v>
      </c>
      <c r="X25" s="12">
        <v>4.0</v>
      </c>
      <c r="Y25" s="12">
        <v>1.0</v>
      </c>
      <c r="Z25" s="12">
        <v>3.0</v>
      </c>
      <c r="AA25" s="13">
        <v>4.0</v>
      </c>
      <c r="AB25" s="12">
        <v>2.0</v>
      </c>
      <c r="AC25" s="12">
        <v>4.0</v>
      </c>
      <c r="AD25" s="12">
        <v>3.0</v>
      </c>
      <c r="AE25" s="12">
        <v>2.0</v>
      </c>
      <c r="AF25" s="12">
        <v>4.0</v>
      </c>
      <c r="AG25" s="12">
        <v>2.0</v>
      </c>
      <c r="AH25" s="17">
        <v>2.0</v>
      </c>
    </row>
    <row r="26" ht="22.5" customHeight="1">
      <c r="A26" s="5" t="s">
        <v>34</v>
      </c>
      <c r="B26" s="6">
        <v>10.0</v>
      </c>
      <c r="C26" s="6">
        <v>4.0</v>
      </c>
      <c r="D26" s="7">
        <v>25.0</v>
      </c>
      <c r="E26" s="8"/>
      <c r="F26" s="9"/>
      <c r="G26" s="10">
        <v>4.0</v>
      </c>
      <c r="H26" s="11">
        <v>1.0</v>
      </c>
      <c r="I26" s="11">
        <v>3.0</v>
      </c>
      <c r="J26" s="11">
        <v>2.0</v>
      </c>
      <c r="K26" s="12">
        <v>1.0</v>
      </c>
      <c r="L26" s="11">
        <v>3.0</v>
      </c>
      <c r="M26" s="12">
        <v>2.0</v>
      </c>
      <c r="N26" s="11">
        <v>2.0</v>
      </c>
      <c r="O26" s="12">
        <v>3.0</v>
      </c>
      <c r="P26" s="12">
        <v>3.0</v>
      </c>
      <c r="Q26" s="12">
        <v>1.0</v>
      </c>
      <c r="R26" s="12">
        <v>4.0</v>
      </c>
      <c r="S26" s="12">
        <v>3.0</v>
      </c>
      <c r="T26" s="13">
        <v>3.0</v>
      </c>
      <c r="U26" s="12">
        <v>4.0</v>
      </c>
      <c r="V26" s="12">
        <v>3.0</v>
      </c>
      <c r="W26" s="12">
        <v>4.0</v>
      </c>
      <c r="X26" s="12">
        <v>3.0</v>
      </c>
      <c r="Y26" s="12">
        <v>1.0</v>
      </c>
      <c r="Z26" s="12">
        <v>3.0</v>
      </c>
      <c r="AA26" s="13">
        <v>1.0</v>
      </c>
      <c r="AB26" s="12">
        <v>3.0</v>
      </c>
      <c r="AC26" s="12">
        <v>4.0</v>
      </c>
      <c r="AD26" s="12">
        <v>4.0</v>
      </c>
      <c r="AE26" s="12">
        <v>1.0</v>
      </c>
      <c r="AF26" s="12">
        <v>2.0</v>
      </c>
      <c r="AG26" s="12">
        <v>2.0</v>
      </c>
      <c r="AH26" s="17">
        <v>3.0</v>
      </c>
    </row>
    <row r="27" ht="22.5" customHeight="1">
      <c r="A27" s="5" t="s">
        <v>34</v>
      </c>
      <c r="B27" s="6">
        <v>10.0</v>
      </c>
      <c r="C27" s="6">
        <v>4.0</v>
      </c>
      <c r="D27" s="7">
        <v>26.0</v>
      </c>
      <c r="E27" s="8"/>
      <c r="F27" s="15"/>
      <c r="G27" s="29">
        <v>4.0</v>
      </c>
      <c r="H27" s="30">
        <v>1.0</v>
      </c>
      <c r="I27" s="31">
        <v>3.0</v>
      </c>
      <c r="J27" s="30">
        <v>2.0</v>
      </c>
      <c r="K27" s="30">
        <v>1.0</v>
      </c>
      <c r="L27" s="30">
        <v>3.0</v>
      </c>
      <c r="M27" s="30">
        <v>4.0</v>
      </c>
      <c r="N27" s="30">
        <v>4.0</v>
      </c>
      <c r="O27" s="30">
        <v>1.0</v>
      </c>
      <c r="P27" s="30">
        <v>3.0</v>
      </c>
      <c r="Q27" s="30">
        <v>1.0</v>
      </c>
      <c r="R27" s="30">
        <v>4.0</v>
      </c>
      <c r="S27" s="30">
        <v>3.0</v>
      </c>
      <c r="T27" s="32">
        <v>2.0</v>
      </c>
      <c r="U27" s="30">
        <v>4.0</v>
      </c>
      <c r="V27" s="30">
        <v>3.0</v>
      </c>
      <c r="W27" s="30">
        <v>4.0</v>
      </c>
      <c r="X27" s="30">
        <v>3.0</v>
      </c>
      <c r="Y27" s="30">
        <v>1.0</v>
      </c>
      <c r="Z27" s="30">
        <v>3.0</v>
      </c>
      <c r="AA27" s="32">
        <v>4.0</v>
      </c>
      <c r="AB27" s="30">
        <v>2.0</v>
      </c>
      <c r="AC27" s="30">
        <v>2.0</v>
      </c>
      <c r="AD27" s="30">
        <v>3.0</v>
      </c>
      <c r="AE27" s="30">
        <v>1.0</v>
      </c>
      <c r="AF27" s="30">
        <v>4.0</v>
      </c>
      <c r="AG27" s="30">
        <v>1.0</v>
      </c>
      <c r="AH27" s="33">
        <v>2.0</v>
      </c>
    </row>
    <row r="28" ht="22.5" customHeight="1">
      <c r="A28" s="5" t="s">
        <v>34</v>
      </c>
      <c r="B28" s="6">
        <v>10.0</v>
      </c>
      <c r="C28" s="6">
        <v>4.0</v>
      </c>
      <c r="D28" s="7">
        <v>27.0</v>
      </c>
      <c r="E28" s="8"/>
      <c r="F28" s="9"/>
      <c r="G28" s="29"/>
      <c r="H28" s="30"/>
      <c r="I28" s="30"/>
      <c r="J28" s="30"/>
      <c r="K28" s="30"/>
      <c r="L28" s="30"/>
      <c r="M28" s="30"/>
      <c r="N28" s="30"/>
      <c r="O28" s="30"/>
      <c r="P28" s="30"/>
      <c r="Q28" s="30"/>
      <c r="R28" s="30"/>
      <c r="S28" s="30"/>
      <c r="T28" s="32"/>
      <c r="U28" s="30"/>
      <c r="V28" s="30"/>
      <c r="W28" s="30"/>
      <c r="X28" s="30"/>
      <c r="Y28" s="30"/>
      <c r="Z28" s="30"/>
      <c r="AA28" s="32"/>
      <c r="AB28" s="30"/>
      <c r="AC28" s="30"/>
      <c r="AD28" s="30"/>
      <c r="AE28" s="30"/>
      <c r="AF28" s="30"/>
      <c r="AG28" s="30"/>
      <c r="AH28" s="33"/>
    </row>
    <row r="29" ht="22.5" customHeight="1">
      <c r="A29" s="5" t="s">
        <v>34</v>
      </c>
      <c r="B29" s="6">
        <v>10.0</v>
      </c>
      <c r="C29" s="6">
        <v>4.0</v>
      </c>
      <c r="D29" s="7">
        <v>28.0</v>
      </c>
      <c r="E29" s="8"/>
      <c r="F29" s="8"/>
      <c r="G29" s="29">
        <v>4.0</v>
      </c>
      <c r="H29" s="30">
        <v>3.0</v>
      </c>
      <c r="I29" s="30">
        <v>4.0</v>
      </c>
      <c r="J29" s="30">
        <v>2.0</v>
      </c>
      <c r="K29" s="30">
        <v>3.0</v>
      </c>
      <c r="L29" s="30">
        <v>3.0</v>
      </c>
      <c r="M29" s="30">
        <v>1.0</v>
      </c>
      <c r="N29" s="30">
        <v>3.0</v>
      </c>
      <c r="O29" s="30">
        <v>1.0</v>
      </c>
      <c r="P29" s="30">
        <v>4.0</v>
      </c>
      <c r="Q29" s="30">
        <v>1.0</v>
      </c>
      <c r="R29" s="30">
        <v>4.0</v>
      </c>
      <c r="S29" s="30">
        <v>3.0</v>
      </c>
      <c r="T29" s="32">
        <v>2.0</v>
      </c>
      <c r="U29" s="30">
        <v>3.0</v>
      </c>
      <c r="V29" s="30">
        <v>3.0</v>
      </c>
      <c r="W29" s="30">
        <v>4.0</v>
      </c>
      <c r="X29" s="30">
        <v>3.0</v>
      </c>
      <c r="Y29" s="30">
        <v>1.0</v>
      </c>
      <c r="Z29" s="30">
        <v>3.0</v>
      </c>
      <c r="AA29" s="32">
        <v>4.0</v>
      </c>
      <c r="AB29" s="30">
        <v>2.0</v>
      </c>
      <c r="AC29" s="30">
        <v>4.0</v>
      </c>
      <c r="AD29" s="30">
        <v>3.0</v>
      </c>
      <c r="AE29" s="30">
        <v>1.0</v>
      </c>
      <c r="AF29" s="30">
        <v>4.0</v>
      </c>
      <c r="AG29" s="30">
        <v>2.0</v>
      </c>
      <c r="AH29" s="33">
        <v>2.0</v>
      </c>
    </row>
    <row r="30" ht="22.5" customHeight="1">
      <c r="A30" s="5" t="s">
        <v>34</v>
      </c>
      <c r="B30" s="6">
        <v>10.0</v>
      </c>
      <c r="C30" s="6">
        <v>4.0</v>
      </c>
      <c r="D30" s="7">
        <v>29.0</v>
      </c>
      <c r="E30" s="8"/>
      <c r="F30" s="8"/>
      <c r="G30" s="29">
        <v>4.0</v>
      </c>
      <c r="H30" s="30">
        <v>1.0</v>
      </c>
      <c r="I30" s="30">
        <v>2.0</v>
      </c>
      <c r="J30" s="30">
        <v>4.0</v>
      </c>
      <c r="K30" s="30">
        <v>4.0</v>
      </c>
      <c r="L30" s="30">
        <v>3.0</v>
      </c>
      <c r="M30" s="30">
        <v>2.0</v>
      </c>
      <c r="N30" s="30">
        <v>3.0</v>
      </c>
      <c r="O30" s="30">
        <v>1.0</v>
      </c>
      <c r="P30" s="30">
        <v>3.0</v>
      </c>
      <c r="Q30" s="30">
        <v>4.0</v>
      </c>
      <c r="R30" s="30">
        <v>2.0</v>
      </c>
      <c r="S30" s="30">
        <v>3.0</v>
      </c>
      <c r="T30" s="32">
        <v>1.0</v>
      </c>
      <c r="U30" s="30">
        <v>2.0</v>
      </c>
      <c r="V30" s="30">
        <v>2.0</v>
      </c>
      <c r="W30" s="30">
        <v>1.0</v>
      </c>
      <c r="X30" s="30">
        <v>3.0</v>
      </c>
      <c r="Y30" s="30">
        <v>1.0</v>
      </c>
      <c r="Z30" s="30">
        <v>4.0</v>
      </c>
      <c r="AA30" s="32">
        <v>1.0</v>
      </c>
      <c r="AB30" s="30">
        <v>4.0</v>
      </c>
      <c r="AC30" s="30">
        <v>4.0</v>
      </c>
      <c r="AD30" s="30">
        <v>3.0</v>
      </c>
      <c r="AE30" s="30">
        <v>3.0</v>
      </c>
      <c r="AF30" s="30">
        <v>2.0</v>
      </c>
      <c r="AG30" s="30">
        <v>1.0</v>
      </c>
      <c r="AH30" s="33"/>
    </row>
    <row r="31" ht="22.5" customHeight="1">
      <c r="A31" s="5" t="s">
        <v>34</v>
      </c>
      <c r="B31" s="6">
        <v>10.0</v>
      </c>
      <c r="C31" s="6">
        <v>4.0</v>
      </c>
      <c r="D31" s="7">
        <v>30.0</v>
      </c>
      <c r="E31" s="8"/>
      <c r="F31" s="8"/>
      <c r="G31" s="29">
        <v>1.0</v>
      </c>
      <c r="H31" s="30">
        <v>1.0</v>
      </c>
      <c r="I31" s="30">
        <v>3.0</v>
      </c>
      <c r="J31" s="30">
        <v>2.0</v>
      </c>
      <c r="K31" s="30">
        <v>3.0</v>
      </c>
      <c r="L31" s="30">
        <v>1.0</v>
      </c>
      <c r="M31" s="30">
        <v>2.0</v>
      </c>
      <c r="N31" s="30">
        <v>4.0</v>
      </c>
      <c r="O31" s="30">
        <v>3.0</v>
      </c>
      <c r="P31" s="30">
        <v>4.0</v>
      </c>
      <c r="Q31" s="30">
        <v>1.0</v>
      </c>
      <c r="R31" s="30">
        <v>1.0</v>
      </c>
      <c r="S31" s="30">
        <v>3.0</v>
      </c>
      <c r="T31" s="32">
        <v>4.0</v>
      </c>
      <c r="U31" s="30">
        <v>1.0</v>
      </c>
      <c r="V31" s="30">
        <v>2.0</v>
      </c>
      <c r="W31" s="30">
        <v>1.0</v>
      </c>
      <c r="X31" s="30">
        <v>3.0</v>
      </c>
      <c r="Y31" s="30">
        <v>3.0</v>
      </c>
      <c r="Z31" s="30">
        <v>4.0</v>
      </c>
      <c r="AA31" s="32">
        <v>4.0</v>
      </c>
      <c r="AB31" s="30">
        <v>2.0</v>
      </c>
      <c r="AC31" s="30">
        <v>3.0</v>
      </c>
      <c r="AD31" s="30">
        <v>3.0</v>
      </c>
      <c r="AE31" s="30">
        <v>2.0</v>
      </c>
      <c r="AF31" s="30">
        <v>4.0</v>
      </c>
      <c r="AG31" s="30">
        <v>1.0</v>
      </c>
      <c r="AH31" s="33">
        <v>3.0</v>
      </c>
    </row>
    <row r="32" ht="22.5" customHeight="1">
      <c r="A32" s="5" t="s">
        <v>34</v>
      </c>
      <c r="B32" s="6">
        <v>10.0</v>
      </c>
      <c r="C32" s="6">
        <v>4.0</v>
      </c>
      <c r="D32" s="7">
        <v>31.0</v>
      </c>
      <c r="E32" s="8"/>
      <c r="F32" s="9"/>
      <c r="G32" s="29">
        <v>4.0</v>
      </c>
      <c r="H32" s="30">
        <v>1.0</v>
      </c>
      <c r="I32" s="30">
        <v>3.0</v>
      </c>
      <c r="J32" s="30">
        <v>2.0</v>
      </c>
      <c r="K32" s="30">
        <v>1.0</v>
      </c>
      <c r="L32" s="30">
        <v>3.0</v>
      </c>
      <c r="M32" s="30">
        <v>2.0</v>
      </c>
      <c r="N32" s="30">
        <v>1.0</v>
      </c>
      <c r="O32" s="30">
        <v>1.0</v>
      </c>
      <c r="P32" s="30">
        <v>3.0</v>
      </c>
      <c r="Q32" s="30">
        <v>1.0</v>
      </c>
      <c r="R32" s="30">
        <v>4.0</v>
      </c>
      <c r="S32" s="30">
        <v>3.0</v>
      </c>
      <c r="T32" s="32">
        <v>4.0</v>
      </c>
      <c r="U32" s="30">
        <v>4.0</v>
      </c>
      <c r="V32" s="30">
        <v>3.0</v>
      </c>
      <c r="W32" s="30">
        <v>4.0</v>
      </c>
      <c r="X32" s="30">
        <v>3.0</v>
      </c>
      <c r="Y32" s="30">
        <v>1.0</v>
      </c>
      <c r="Z32" s="30">
        <v>3.0</v>
      </c>
      <c r="AA32" s="32">
        <v>4.0</v>
      </c>
      <c r="AB32" s="30">
        <v>2.0</v>
      </c>
      <c r="AC32" s="30">
        <v>3.0</v>
      </c>
      <c r="AD32" s="30">
        <v>3.0</v>
      </c>
      <c r="AE32" s="30">
        <v>2.0</v>
      </c>
      <c r="AF32" s="30">
        <v>4.0</v>
      </c>
      <c r="AG32" s="30">
        <v>1.0</v>
      </c>
      <c r="AH32" s="33">
        <v>2.0</v>
      </c>
    </row>
    <row r="33" ht="22.5" customHeight="1">
      <c r="A33" s="5" t="s">
        <v>36</v>
      </c>
      <c r="B33" s="6">
        <v>10.0</v>
      </c>
      <c r="C33" s="6">
        <v>1.0</v>
      </c>
      <c r="D33" s="7">
        <v>32.0</v>
      </c>
      <c r="E33" s="8"/>
      <c r="F33" s="8"/>
      <c r="G33" s="29">
        <v>3.0</v>
      </c>
      <c r="H33" s="30">
        <v>3.0</v>
      </c>
      <c r="I33" s="30">
        <v>3.0</v>
      </c>
      <c r="J33" s="30">
        <v>2.0</v>
      </c>
      <c r="K33" s="30">
        <v>3.0</v>
      </c>
      <c r="L33" s="30">
        <v>3.0</v>
      </c>
      <c r="M33" s="30">
        <v>2.0</v>
      </c>
      <c r="N33" s="30">
        <v>3.0</v>
      </c>
      <c r="O33" s="30">
        <v>1.0</v>
      </c>
      <c r="P33" s="30">
        <v>3.0</v>
      </c>
      <c r="Q33" s="30">
        <v>1.0</v>
      </c>
      <c r="R33" s="30">
        <v>4.0</v>
      </c>
      <c r="S33" s="30">
        <v>2.0</v>
      </c>
      <c r="T33" s="32">
        <v>2.0</v>
      </c>
      <c r="U33" s="30">
        <v>3.0</v>
      </c>
      <c r="V33" s="30">
        <v>4.0</v>
      </c>
      <c r="W33" s="30">
        <v>4.0</v>
      </c>
      <c r="X33" s="30">
        <v>1.0</v>
      </c>
      <c r="Y33" s="30">
        <v>1.0</v>
      </c>
      <c r="Z33" s="30">
        <v>3.0</v>
      </c>
      <c r="AA33" s="32">
        <v>4.0</v>
      </c>
      <c r="AB33" s="30">
        <v>2.0</v>
      </c>
      <c r="AC33" s="30">
        <v>2.0</v>
      </c>
      <c r="AD33" s="30">
        <v>3.0</v>
      </c>
      <c r="AE33" s="30">
        <v>2.0</v>
      </c>
      <c r="AF33" s="30">
        <v>4.0</v>
      </c>
      <c r="AG33" s="30">
        <v>1.0</v>
      </c>
      <c r="AH33" s="33">
        <v>3.0</v>
      </c>
    </row>
    <row r="34" ht="22.5" customHeight="1">
      <c r="A34" s="5" t="s">
        <v>36</v>
      </c>
      <c r="B34" s="6">
        <v>10.0</v>
      </c>
      <c r="C34" s="6">
        <v>1.0</v>
      </c>
      <c r="D34" s="7">
        <v>33.0</v>
      </c>
      <c r="E34" s="8"/>
      <c r="F34" s="9"/>
      <c r="G34" s="29">
        <v>4.0</v>
      </c>
      <c r="H34" s="30">
        <v>1.0</v>
      </c>
      <c r="I34" s="30">
        <v>3.0</v>
      </c>
      <c r="J34" s="30">
        <v>2.0</v>
      </c>
      <c r="K34" s="30">
        <v>4.0</v>
      </c>
      <c r="L34" s="30">
        <v>2.0</v>
      </c>
      <c r="M34" s="30">
        <v>2.0</v>
      </c>
      <c r="N34" s="30">
        <v>3.0</v>
      </c>
      <c r="O34" s="30">
        <v>3.0</v>
      </c>
      <c r="P34" s="30">
        <v>4.0</v>
      </c>
      <c r="Q34" s="30">
        <v>1.0</v>
      </c>
      <c r="R34" s="30">
        <v>4.0</v>
      </c>
      <c r="S34" s="30">
        <v>4.0</v>
      </c>
      <c r="T34" s="32">
        <v>2.0</v>
      </c>
      <c r="U34" s="30">
        <v>4.0</v>
      </c>
      <c r="V34" s="30">
        <v>3.0</v>
      </c>
      <c r="W34" s="30">
        <v>4.0</v>
      </c>
      <c r="X34" s="30">
        <v>3.0</v>
      </c>
      <c r="Y34" s="30">
        <v>1.0</v>
      </c>
      <c r="Z34" s="30">
        <v>3.0</v>
      </c>
      <c r="AA34" s="32">
        <v>4.0</v>
      </c>
      <c r="AB34" s="30">
        <v>2.0</v>
      </c>
      <c r="AC34" s="30">
        <v>4.0</v>
      </c>
      <c r="AD34" s="30">
        <v>3.0</v>
      </c>
      <c r="AE34" s="30">
        <v>2.0</v>
      </c>
      <c r="AF34" s="30">
        <v>4.0</v>
      </c>
      <c r="AG34" s="30">
        <v>1.0</v>
      </c>
      <c r="AH34" s="33">
        <v>3.0</v>
      </c>
    </row>
    <row r="35" ht="22.5" customHeight="1">
      <c r="A35" s="5" t="s">
        <v>36</v>
      </c>
      <c r="B35" s="6">
        <v>10.0</v>
      </c>
      <c r="C35" s="6">
        <v>1.0</v>
      </c>
      <c r="D35" s="7">
        <v>34.0</v>
      </c>
      <c r="E35" s="8"/>
      <c r="F35" s="8"/>
      <c r="G35" s="29">
        <v>4.0</v>
      </c>
      <c r="H35" s="30">
        <v>4.0</v>
      </c>
      <c r="I35" s="30">
        <v>1.0</v>
      </c>
      <c r="J35" s="30">
        <v>1.0</v>
      </c>
      <c r="K35" s="30">
        <v>2.0</v>
      </c>
      <c r="L35" s="30"/>
      <c r="M35" s="30">
        <v>2.0</v>
      </c>
      <c r="N35" s="30">
        <v>3.0</v>
      </c>
      <c r="O35" s="30">
        <v>3.0</v>
      </c>
      <c r="P35" s="30">
        <v>4.0</v>
      </c>
      <c r="Q35" s="30">
        <v>1.0</v>
      </c>
      <c r="R35" s="30">
        <v>2.0</v>
      </c>
      <c r="S35" s="30">
        <v>1.0</v>
      </c>
      <c r="T35" s="32">
        <v>2.0</v>
      </c>
      <c r="U35" s="30"/>
      <c r="V35" s="30">
        <v>4.0</v>
      </c>
      <c r="W35" s="30"/>
      <c r="X35" s="30"/>
      <c r="Y35" s="30"/>
      <c r="Z35" s="30"/>
      <c r="AA35" s="32"/>
      <c r="AB35" s="30"/>
      <c r="AC35" s="30"/>
      <c r="AD35" s="30"/>
      <c r="AE35" s="30"/>
      <c r="AF35" s="30"/>
      <c r="AG35" s="30"/>
      <c r="AH35" s="33"/>
    </row>
    <row r="36" ht="22.5" customHeight="1">
      <c r="A36" s="5" t="s">
        <v>36</v>
      </c>
      <c r="B36" s="6">
        <v>10.0</v>
      </c>
      <c r="C36" s="6">
        <v>1.0</v>
      </c>
      <c r="D36" s="7">
        <v>35.0</v>
      </c>
      <c r="E36" s="8"/>
      <c r="F36" s="8"/>
      <c r="G36" s="29">
        <v>4.0</v>
      </c>
      <c r="H36" s="30">
        <v>3.0</v>
      </c>
      <c r="I36" s="30">
        <v>3.0</v>
      </c>
      <c r="J36" s="30">
        <v>2.0</v>
      </c>
      <c r="K36" s="30">
        <v>1.0</v>
      </c>
      <c r="L36" s="30">
        <v>2.0</v>
      </c>
      <c r="M36" s="30">
        <v>4.0</v>
      </c>
      <c r="N36" s="30">
        <v>3.0</v>
      </c>
      <c r="O36" s="30">
        <v>1.0</v>
      </c>
      <c r="P36" s="30">
        <v>4.0</v>
      </c>
      <c r="Q36" s="30">
        <v>1.0</v>
      </c>
      <c r="R36" s="30">
        <v>4.0</v>
      </c>
      <c r="S36" s="30">
        <v>3.0</v>
      </c>
      <c r="T36" s="32">
        <v>2.0</v>
      </c>
      <c r="U36" s="30">
        <v>4.0</v>
      </c>
      <c r="V36" s="30">
        <v>3.0</v>
      </c>
      <c r="W36" s="30">
        <v>4.0</v>
      </c>
      <c r="X36" s="30">
        <v>3.0</v>
      </c>
      <c r="Y36" s="30">
        <v>1.0</v>
      </c>
      <c r="Z36" s="30">
        <v>3.0</v>
      </c>
      <c r="AA36" s="32">
        <v>2.0</v>
      </c>
      <c r="AB36" s="30">
        <v>1.0</v>
      </c>
      <c r="AC36" s="30">
        <v>2.0</v>
      </c>
      <c r="AD36" s="30">
        <v>1.0</v>
      </c>
      <c r="AE36" s="30">
        <v>2.0</v>
      </c>
      <c r="AF36" s="30">
        <v>4.0</v>
      </c>
      <c r="AG36" s="30">
        <v>2.0</v>
      </c>
      <c r="AH36" s="33">
        <v>3.0</v>
      </c>
    </row>
    <row r="37" ht="22.5" customHeight="1">
      <c r="A37" s="5" t="s">
        <v>36</v>
      </c>
      <c r="B37" s="6">
        <v>10.0</v>
      </c>
      <c r="C37" s="6">
        <v>1.0</v>
      </c>
      <c r="D37" s="7">
        <v>36.0</v>
      </c>
      <c r="E37" s="8"/>
      <c r="F37" s="8"/>
      <c r="G37" s="29">
        <v>4.0</v>
      </c>
      <c r="H37" s="30">
        <v>1.0</v>
      </c>
      <c r="I37" s="30">
        <v>3.0</v>
      </c>
      <c r="J37" s="30">
        <v>1.0</v>
      </c>
      <c r="K37" s="30">
        <v>2.0</v>
      </c>
      <c r="L37" s="30">
        <v>1.0</v>
      </c>
      <c r="M37" s="30">
        <v>2.0</v>
      </c>
      <c r="N37" s="30">
        <v>3.0</v>
      </c>
      <c r="O37" s="30">
        <v>1.0</v>
      </c>
      <c r="P37" s="30">
        <v>4.0</v>
      </c>
      <c r="Q37" s="30">
        <v>1.0</v>
      </c>
      <c r="R37" s="30">
        <v>4.0</v>
      </c>
      <c r="S37" s="30">
        <v>2.0</v>
      </c>
      <c r="T37" s="32">
        <v>2.0</v>
      </c>
      <c r="U37" s="30">
        <v>4.0</v>
      </c>
      <c r="V37" s="30">
        <v>3.0</v>
      </c>
      <c r="W37" s="30"/>
      <c r="X37" s="30"/>
      <c r="Y37" s="30">
        <v>1.0</v>
      </c>
      <c r="Z37" s="30">
        <v>3.0</v>
      </c>
      <c r="AA37" s="32"/>
      <c r="AB37" s="30"/>
      <c r="AC37" s="30"/>
      <c r="AD37" s="30"/>
      <c r="AE37" s="30"/>
      <c r="AF37" s="30"/>
      <c r="AG37" s="30"/>
      <c r="AH37" s="33"/>
    </row>
    <row r="38" ht="22.5" customHeight="1">
      <c r="A38" s="5" t="s">
        <v>36</v>
      </c>
      <c r="B38" s="6">
        <v>10.0</v>
      </c>
      <c r="C38" s="6">
        <v>1.0</v>
      </c>
      <c r="D38" s="7">
        <v>37.0</v>
      </c>
      <c r="E38" s="8"/>
      <c r="F38" s="8"/>
      <c r="G38" s="29">
        <v>4.0</v>
      </c>
      <c r="H38" s="30">
        <v>1.0</v>
      </c>
      <c r="I38" s="30">
        <v>3.0</v>
      </c>
      <c r="J38" s="30">
        <v>2.0</v>
      </c>
      <c r="K38" s="30">
        <v>1.0</v>
      </c>
      <c r="L38" s="30">
        <v>1.0</v>
      </c>
      <c r="M38" s="30">
        <v>4.0</v>
      </c>
      <c r="N38" s="30">
        <v>3.0</v>
      </c>
      <c r="O38" s="30">
        <v>1.0</v>
      </c>
      <c r="P38" s="30">
        <v>3.0</v>
      </c>
      <c r="Q38" s="30">
        <v>1.0</v>
      </c>
      <c r="R38" s="30">
        <v>4.0</v>
      </c>
      <c r="S38" s="30">
        <v>3.0</v>
      </c>
      <c r="T38" s="32">
        <v>4.0</v>
      </c>
      <c r="U38" s="30">
        <v>4.0</v>
      </c>
      <c r="V38" s="30">
        <v>3.0</v>
      </c>
      <c r="W38" s="30">
        <v>4.0</v>
      </c>
      <c r="X38" s="30">
        <v>3.0</v>
      </c>
      <c r="Y38" s="30">
        <v>1.0</v>
      </c>
      <c r="Z38" s="30">
        <v>3.0</v>
      </c>
      <c r="AA38" s="32">
        <v>4.0</v>
      </c>
      <c r="AB38" s="30">
        <v>2.0</v>
      </c>
      <c r="AC38" s="30">
        <v>4.0</v>
      </c>
      <c r="AD38" s="30">
        <v>1.0</v>
      </c>
      <c r="AE38" s="30">
        <v>3.0</v>
      </c>
      <c r="AF38" s="30">
        <v>4.0</v>
      </c>
      <c r="AG38" s="30">
        <v>1.0</v>
      </c>
      <c r="AH38" s="33">
        <v>2.0</v>
      </c>
    </row>
    <row r="39" ht="22.5" customHeight="1">
      <c r="A39" s="5" t="s">
        <v>36</v>
      </c>
      <c r="B39" s="6">
        <v>10.0</v>
      </c>
      <c r="C39" s="6">
        <v>1.0</v>
      </c>
      <c r="D39" s="7">
        <v>38.0</v>
      </c>
      <c r="E39" s="8"/>
      <c r="F39" s="8"/>
      <c r="G39" s="29">
        <v>4.0</v>
      </c>
      <c r="H39" s="30">
        <v>1.0</v>
      </c>
      <c r="I39" s="30">
        <v>3.0</v>
      </c>
      <c r="J39" s="30">
        <v>2.0</v>
      </c>
      <c r="K39" s="30">
        <v>1.0</v>
      </c>
      <c r="L39" s="30">
        <v>2.0</v>
      </c>
      <c r="M39" s="30">
        <v>2.0</v>
      </c>
      <c r="N39" s="30">
        <v>3.0</v>
      </c>
      <c r="O39" s="30">
        <v>1.0</v>
      </c>
      <c r="P39" s="30">
        <v>4.0</v>
      </c>
      <c r="Q39" s="30">
        <v>1.0</v>
      </c>
      <c r="R39" s="30">
        <v>4.0</v>
      </c>
      <c r="S39" s="30">
        <v>2.0</v>
      </c>
      <c r="T39" s="32">
        <v>2.0</v>
      </c>
      <c r="U39" s="30">
        <v>4.0</v>
      </c>
      <c r="V39" s="30">
        <v>3.0</v>
      </c>
      <c r="W39" s="30">
        <v>3.0</v>
      </c>
      <c r="X39" s="30">
        <v>3.0</v>
      </c>
      <c r="Y39" s="30">
        <v>1.0</v>
      </c>
      <c r="Z39" s="30">
        <v>3.0</v>
      </c>
      <c r="AA39" s="32">
        <v>4.0</v>
      </c>
      <c r="AB39" s="30">
        <v>1.0</v>
      </c>
      <c r="AC39" s="30">
        <v>2.0</v>
      </c>
      <c r="AD39" s="30">
        <v>3.0</v>
      </c>
      <c r="AE39" s="30">
        <v>1.0</v>
      </c>
      <c r="AF39" s="30">
        <v>4.0</v>
      </c>
      <c r="AG39" s="30">
        <v>2.0</v>
      </c>
      <c r="AH39" s="33">
        <v>2.0</v>
      </c>
    </row>
    <row r="40" ht="22.5" customHeight="1">
      <c r="A40" s="5" t="s">
        <v>36</v>
      </c>
      <c r="B40" s="6">
        <v>10.0</v>
      </c>
      <c r="C40" s="6">
        <v>1.0</v>
      </c>
      <c r="D40" s="7">
        <v>39.0</v>
      </c>
      <c r="E40" s="8"/>
      <c r="F40" s="9"/>
      <c r="G40" s="29">
        <v>4.0</v>
      </c>
      <c r="H40" s="30">
        <v>1.0</v>
      </c>
      <c r="I40" s="30">
        <v>3.0</v>
      </c>
      <c r="J40" s="30">
        <v>2.0</v>
      </c>
      <c r="K40" s="30">
        <v>1.0</v>
      </c>
      <c r="L40" s="30">
        <v>1.0</v>
      </c>
      <c r="M40" s="30">
        <v>2.0</v>
      </c>
      <c r="N40" s="30">
        <v>4.0</v>
      </c>
      <c r="O40" s="30">
        <v>1.0</v>
      </c>
      <c r="P40" s="30">
        <v>3.0</v>
      </c>
      <c r="Q40" s="30">
        <v>1.0</v>
      </c>
      <c r="R40" s="30">
        <v>4.0</v>
      </c>
      <c r="S40" s="30">
        <v>2.0</v>
      </c>
      <c r="T40" s="32">
        <v>2.0</v>
      </c>
      <c r="U40" s="30">
        <v>4.0</v>
      </c>
      <c r="V40" s="30">
        <v>3.0</v>
      </c>
      <c r="W40" s="30">
        <v>4.0</v>
      </c>
      <c r="X40" s="30">
        <v>3.0</v>
      </c>
      <c r="Y40" s="30">
        <v>1.0</v>
      </c>
      <c r="Z40" s="30">
        <v>3.0</v>
      </c>
      <c r="AA40" s="32">
        <v>4.0</v>
      </c>
      <c r="AB40" s="30">
        <v>2.0</v>
      </c>
      <c r="AC40" s="30">
        <v>2.0</v>
      </c>
      <c r="AD40" s="30">
        <v>3.0</v>
      </c>
      <c r="AE40" s="30">
        <v>2.0</v>
      </c>
      <c r="AF40" s="30">
        <v>4.0</v>
      </c>
      <c r="AG40" s="30">
        <v>1.0</v>
      </c>
      <c r="AH40" s="33">
        <v>2.0</v>
      </c>
    </row>
    <row r="41" ht="22.5" customHeight="1">
      <c r="A41" s="5" t="s">
        <v>36</v>
      </c>
      <c r="B41" s="6">
        <v>10.0</v>
      </c>
      <c r="C41" s="6">
        <v>1.0</v>
      </c>
      <c r="D41" s="7">
        <v>40.0</v>
      </c>
      <c r="E41" s="8"/>
      <c r="F41" s="9"/>
      <c r="G41" s="29">
        <v>4.0</v>
      </c>
      <c r="H41" s="30">
        <v>1.0</v>
      </c>
      <c r="I41" s="30">
        <v>3.0</v>
      </c>
      <c r="J41" s="30">
        <v>2.0</v>
      </c>
      <c r="K41" s="30">
        <v>4.0</v>
      </c>
      <c r="L41" s="30">
        <v>4.0</v>
      </c>
      <c r="M41" s="30">
        <v>2.0</v>
      </c>
      <c r="N41" s="30">
        <v>2.0</v>
      </c>
      <c r="O41" s="30">
        <v>1.0</v>
      </c>
      <c r="P41" s="30">
        <v>4.0</v>
      </c>
      <c r="Q41" s="30">
        <v>1.0</v>
      </c>
      <c r="R41" s="30">
        <v>3.0</v>
      </c>
      <c r="S41" s="30">
        <v>3.0</v>
      </c>
      <c r="T41" s="32">
        <v>2.0</v>
      </c>
      <c r="U41" s="30">
        <v>3.0</v>
      </c>
      <c r="V41" s="30">
        <v>3.0</v>
      </c>
      <c r="W41" s="30">
        <v>4.0</v>
      </c>
      <c r="X41" s="30">
        <v>2.0</v>
      </c>
      <c r="Y41" s="30">
        <v>3.0</v>
      </c>
      <c r="Z41" s="30">
        <v>3.0</v>
      </c>
      <c r="AA41" s="32">
        <v>2.0</v>
      </c>
      <c r="AB41" s="30">
        <v>2.0</v>
      </c>
      <c r="AC41" s="30">
        <v>2.0</v>
      </c>
      <c r="AD41" s="30">
        <v>3.0</v>
      </c>
      <c r="AE41" s="30">
        <v>3.0</v>
      </c>
      <c r="AF41" s="30">
        <v>4.0</v>
      </c>
      <c r="AG41" s="30">
        <v>2.0</v>
      </c>
      <c r="AH41" s="33">
        <v>4.0</v>
      </c>
    </row>
    <row r="42" ht="22.5" customHeight="1">
      <c r="A42" s="5" t="s">
        <v>36</v>
      </c>
      <c r="B42" s="6">
        <v>10.0</v>
      </c>
      <c r="C42" s="6">
        <v>1.0</v>
      </c>
      <c r="D42" s="7">
        <v>41.0</v>
      </c>
      <c r="E42" s="8"/>
      <c r="F42" s="9"/>
      <c r="G42" s="29">
        <v>4.0</v>
      </c>
      <c r="H42" s="30">
        <v>3.0</v>
      </c>
      <c r="I42" s="30">
        <v>3.0</v>
      </c>
      <c r="J42" s="30">
        <v>2.0</v>
      </c>
      <c r="K42" s="30">
        <v>3.0</v>
      </c>
      <c r="L42" s="30">
        <v>3.0</v>
      </c>
      <c r="M42" s="30">
        <v>2.0</v>
      </c>
      <c r="N42" s="30">
        <v>3.0</v>
      </c>
      <c r="O42" s="30">
        <v>1.0</v>
      </c>
      <c r="P42" s="30">
        <v>4.0</v>
      </c>
      <c r="Q42" s="30">
        <v>1.0</v>
      </c>
      <c r="R42" s="30">
        <v>4.0</v>
      </c>
      <c r="S42" s="30">
        <v>2.0</v>
      </c>
      <c r="T42" s="32">
        <v>2.0</v>
      </c>
      <c r="U42" s="30">
        <v>1.0</v>
      </c>
      <c r="V42" s="30">
        <v>3.0</v>
      </c>
      <c r="W42" s="30">
        <v>4.0</v>
      </c>
      <c r="X42" s="30">
        <v>3.0</v>
      </c>
      <c r="Y42" s="30">
        <v>1.0</v>
      </c>
      <c r="Z42" s="30">
        <v>3.0</v>
      </c>
      <c r="AA42" s="32">
        <v>4.0</v>
      </c>
      <c r="AB42" s="30">
        <v>2.0</v>
      </c>
      <c r="AC42" s="30">
        <v>2.0</v>
      </c>
      <c r="AD42" s="30">
        <v>3.0</v>
      </c>
      <c r="AE42" s="30">
        <v>2.0</v>
      </c>
      <c r="AF42" s="30">
        <v>4.0</v>
      </c>
      <c r="AG42" s="30">
        <v>3.0</v>
      </c>
      <c r="AH42" s="33">
        <v>1.0</v>
      </c>
    </row>
    <row r="43" ht="22.5" customHeight="1">
      <c r="A43" s="5" t="s">
        <v>36</v>
      </c>
      <c r="B43" s="6">
        <v>10.0</v>
      </c>
      <c r="C43" s="6">
        <v>1.0</v>
      </c>
      <c r="D43" s="7">
        <v>42.0</v>
      </c>
      <c r="E43" s="8"/>
      <c r="F43" s="8"/>
      <c r="G43" s="29">
        <v>4.0</v>
      </c>
      <c r="H43" s="30">
        <v>1.0</v>
      </c>
      <c r="I43" s="30">
        <v>3.0</v>
      </c>
      <c r="J43" s="30">
        <v>2.0</v>
      </c>
      <c r="K43" s="30">
        <v>1.0</v>
      </c>
      <c r="L43" s="30">
        <v>3.0</v>
      </c>
      <c r="M43" s="30">
        <v>1.0</v>
      </c>
      <c r="N43" s="30">
        <v>2.0</v>
      </c>
      <c r="O43" s="30">
        <v>1.0</v>
      </c>
      <c r="P43" s="30">
        <v>3.0</v>
      </c>
      <c r="Q43" s="30">
        <v>1.0</v>
      </c>
      <c r="R43" s="30">
        <v>3.0</v>
      </c>
      <c r="S43" s="30">
        <v>2.0</v>
      </c>
      <c r="T43" s="32">
        <v>2.0</v>
      </c>
      <c r="U43" s="30">
        <v>1.0</v>
      </c>
      <c r="V43" s="30">
        <v>3.0</v>
      </c>
      <c r="W43" s="30">
        <v>4.0</v>
      </c>
      <c r="X43" s="30">
        <v>3.0</v>
      </c>
      <c r="Y43" s="30">
        <v>1.0</v>
      </c>
      <c r="Z43" s="30">
        <v>3.0</v>
      </c>
      <c r="AA43" s="32">
        <v>4.0</v>
      </c>
      <c r="AB43" s="30">
        <v>2.0</v>
      </c>
      <c r="AC43" s="30">
        <v>2.0</v>
      </c>
      <c r="AD43" s="30">
        <v>3.0</v>
      </c>
      <c r="AE43" s="30">
        <v>2.0</v>
      </c>
      <c r="AF43" s="30">
        <v>4.0</v>
      </c>
      <c r="AG43" s="30"/>
      <c r="AH43" s="33"/>
    </row>
    <row r="44" ht="22.5" customHeight="1">
      <c r="A44" s="5" t="s">
        <v>36</v>
      </c>
      <c r="B44" s="6">
        <v>10.0</v>
      </c>
      <c r="C44" s="6">
        <v>1.0</v>
      </c>
      <c r="D44" s="7">
        <v>43.0</v>
      </c>
      <c r="E44" s="8"/>
      <c r="F44" s="8"/>
      <c r="G44" s="29">
        <v>2.0</v>
      </c>
      <c r="H44" s="30">
        <v>3.0</v>
      </c>
      <c r="I44" s="30">
        <v>3.0</v>
      </c>
      <c r="J44" s="30">
        <v>2.0</v>
      </c>
      <c r="K44" s="30">
        <v>2.0</v>
      </c>
      <c r="L44" s="30">
        <v>4.0</v>
      </c>
      <c r="M44" s="30">
        <v>1.0</v>
      </c>
      <c r="N44" s="30">
        <v>1.0</v>
      </c>
      <c r="O44" s="30">
        <v>3.0</v>
      </c>
      <c r="P44" s="30">
        <v>1.0</v>
      </c>
      <c r="Q44" s="30">
        <v>1.0</v>
      </c>
      <c r="R44" s="30">
        <v>4.0</v>
      </c>
      <c r="S44" s="30">
        <v>1.0</v>
      </c>
      <c r="T44" s="32">
        <v>3.0</v>
      </c>
      <c r="U44" s="30">
        <v>4.0</v>
      </c>
      <c r="V44" s="30">
        <v>3.0</v>
      </c>
      <c r="W44" s="30">
        <v>2.0</v>
      </c>
      <c r="X44" s="30">
        <v>2.0</v>
      </c>
      <c r="Y44" s="30">
        <v>3.0</v>
      </c>
      <c r="Z44" s="30">
        <v>2.0</v>
      </c>
      <c r="AA44" s="32">
        <v>3.0</v>
      </c>
      <c r="AB44" s="30">
        <v>2.0</v>
      </c>
      <c r="AC44" s="30">
        <v>3.0</v>
      </c>
      <c r="AD44" s="30">
        <v>2.0</v>
      </c>
      <c r="AE44" s="30">
        <v>2.0</v>
      </c>
      <c r="AF44" s="30">
        <v>3.0</v>
      </c>
      <c r="AG44" s="30">
        <v>2.0</v>
      </c>
      <c r="AH44" s="33">
        <v>3.0</v>
      </c>
    </row>
    <row r="45" ht="22.5" customHeight="1">
      <c r="A45" s="5" t="s">
        <v>36</v>
      </c>
      <c r="B45" s="6">
        <v>10.0</v>
      </c>
      <c r="C45" s="6">
        <v>1.0</v>
      </c>
      <c r="D45" s="7">
        <v>44.0</v>
      </c>
      <c r="E45" s="8"/>
      <c r="F45" s="9"/>
      <c r="G45" s="29">
        <v>4.0</v>
      </c>
      <c r="H45" s="30">
        <v>1.0</v>
      </c>
      <c r="I45" s="30">
        <v>3.0</v>
      </c>
      <c r="J45" s="30">
        <v>2.0</v>
      </c>
      <c r="K45" s="30">
        <v>3.0</v>
      </c>
      <c r="L45" s="30">
        <v>2.0</v>
      </c>
      <c r="M45" s="30">
        <v>2.0</v>
      </c>
      <c r="N45" s="30">
        <v>3.0</v>
      </c>
      <c r="O45" s="30">
        <v>1.0</v>
      </c>
      <c r="P45" s="30">
        <v>3.0</v>
      </c>
      <c r="Q45" s="30">
        <v>1.0</v>
      </c>
      <c r="R45" s="30">
        <v>4.0</v>
      </c>
      <c r="S45" s="30">
        <v>2.0</v>
      </c>
      <c r="T45" s="32">
        <v>3.0</v>
      </c>
      <c r="U45" s="30">
        <v>4.0</v>
      </c>
      <c r="V45" s="30">
        <v>3.0</v>
      </c>
      <c r="W45" s="30">
        <v>4.0</v>
      </c>
      <c r="X45" s="30">
        <v>3.0</v>
      </c>
      <c r="Y45" s="30">
        <v>1.0</v>
      </c>
      <c r="Z45" s="30">
        <v>3.0</v>
      </c>
      <c r="AA45" s="32">
        <v>4.0</v>
      </c>
      <c r="AB45" s="30">
        <v>2.0</v>
      </c>
      <c r="AC45" s="30">
        <v>2.0</v>
      </c>
      <c r="AD45" s="30">
        <v>3.0</v>
      </c>
      <c r="AE45" s="30">
        <v>2.0</v>
      </c>
      <c r="AF45" s="30">
        <v>4.0</v>
      </c>
      <c r="AG45" s="30">
        <v>1.0</v>
      </c>
      <c r="AH45" s="33">
        <v>4.0</v>
      </c>
    </row>
    <row r="46" ht="22.5" customHeight="1">
      <c r="A46" s="5" t="s">
        <v>36</v>
      </c>
      <c r="B46" s="6">
        <v>10.0</v>
      </c>
      <c r="C46" s="6">
        <v>1.0</v>
      </c>
      <c r="D46" s="7">
        <v>45.0</v>
      </c>
      <c r="E46" s="8"/>
      <c r="F46" s="8"/>
      <c r="G46" s="29">
        <v>4.0</v>
      </c>
      <c r="H46" s="30">
        <v>3.0</v>
      </c>
      <c r="I46" s="30">
        <v>3.0</v>
      </c>
      <c r="J46" s="30">
        <v>2.0</v>
      </c>
      <c r="K46" s="30">
        <v>3.0</v>
      </c>
      <c r="L46" s="30">
        <v>3.0</v>
      </c>
      <c r="M46" s="30">
        <v>2.0</v>
      </c>
      <c r="N46" s="30">
        <v>3.0</v>
      </c>
      <c r="O46" s="30">
        <v>1.0</v>
      </c>
      <c r="P46" s="30">
        <v>4.0</v>
      </c>
      <c r="Q46" s="30">
        <v>1.0</v>
      </c>
      <c r="R46" s="30">
        <v>4.0</v>
      </c>
      <c r="S46" s="30">
        <v>2.0</v>
      </c>
      <c r="T46" s="32">
        <v>2.0</v>
      </c>
      <c r="U46" s="30">
        <v>1.0</v>
      </c>
      <c r="V46" s="30">
        <v>3.0</v>
      </c>
      <c r="W46" s="30">
        <v>4.0</v>
      </c>
      <c r="X46" s="30">
        <v>3.0</v>
      </c>
      <c r="Y46" s="30">
        <v>1.0</v>
      </c>
      <c r="Z46" s="30">
        <v>3.0</v>
      </c>
      <c r="AA46" s="32">
        <v>4.0</v>
      </c>
      <c r="AB46" s="30">
        <v>2.0</v>
      </c>
      <c r="AC46" s="30">
        <v>2.0</v>
      </c>
      <c r="AD46" s="30">
        <v>3.0</v>
      </c>
      <c r="AE46" s="30">
        <v>2.0</v>
      </c>
      <c r="AF46" s="30">
        <v>4.0</v>
      </c>
      <c r="AG46" s="30">
        <v>2.0</v>
      </c>
      <c r="AH46" s="33">
        <v>3.0</v>
      </c>
    </row>
    <row r="47" ht="22.5" customHeight="1">
      <c r="A47" s="5" t="s">
        <v>36</v>
      </c>
      <c r="B47" s="6">
        <v>10.0</v>
      </c>
      <c r="C47" s="6">
        <v>1.0</v>
      </c>
      <c r="D47" s="7">
        <v>46.0</v>
      </c>
      <c r="E47" s="8"/>
      <c r="F47" s="9"/>
      <c r="G47" s="29">
        <v>4.0</v>
      </c>
      <c r="H47" s="30">
        <v>3.0</v>
      </c>
      <c r="I47" s="30">
        <v>3.0</v>
      </c>
      <c r="J47" s="30">
        <v>2.0</v>
      </c>
      <c r="K47" s="30">
        <v>1.0</v>
      </c>
      <c r="L47" s="30">
        <v>2.0</v>
      </c>
      <c r="M47" s="30">
        <v>2.0</v>
      </c>
      <c r="N47" s="30">
        <v>4.0</v>
      </c>
      <c r="O47" s="30">
        <v>1.0</v>
      </c>
      <c r="P47" s="30">
        <v>2.0</v>
      </c>
      <c r="Q47" s="30">
        <v>1.0</v>
      </c>
      <c r="R47" s="30">
        <v>3.0</v>
      </c>
      <c r="S47" s="30">
        <v>2.0</v>
      </c>
      <c r="T47" s="32">
        <v>4.0</v>
      </c>
      <c r="U47" s="30">
        <v>4.0</v>
      </c>
      <c r="V47" s="30">
        <v>3.0</v>
      </c>
      <c r="W47" s="30">
        <v>3.0</v>
      </c>
      <c r="X47" s="30">
        <v>4.0</v>
      </c>
      <c r="Y47" s="30">
        <v>3.0</v>
      </c>
      <c r="Z47" s="30">
        <v>2.0</v>
      </c>
      <c r="AA47" s="32">
        <v>4.0</v>
      </c>
      <c r="AB47" s="30">
        <v>2.0</v>
      </c>
      <c r="AC47" s="30">
        <v>1.0</v>
      </c>
      <c r="AD47" s="30">
        <v>2.0</v>
      </c>
      <c r="AE47" s="30">
        <v>3.0</v>
      </c>
      <c r="AF47" s="30">
        <v>1.0</v>
      </c>
      <c r="AG47" s="30">
        <v>2.0</v>
      </c>
      <c r="AH47" s="33"/>
    </row>
    <row r="48" ht="22.5" customHeight="1">
      <c r="A48" s="5" t="s">
        <v>36</v>
      </c>
      <c r="B48" s="6">
        <v>10.0</v>
      </c>
      <c r="C48" s="6">
        <v>1.0</v>
      </c>
      <c r="D48" s="7">
        <v>47.0</v>
      </c>
      <c r="E48" s="8"/>
      <c r="F48" s="8"/>
      <c r="G48" s="29">
        <v>1.0</v>
      </c>
      <c r="H48" s="30">
        <v>3.0</v>
      </c>
      <c r="I48" s="30">
        <v>3.0</v>
      </c>
      <c r="J48" s="30">
        <v>2.0</v>
      </c>
      <c r="K48" s="30">
        <v>1.0</v>
      </c>
      <c r="L48" s="30">
        <v>1.0</v>
      </c>
      <c r="M48" s="30">
        <v>4.0</v>
      </c>
      <c r="N48" s="30">
        <v>3.0</v>
      </c>
      <c r="O48" s="30">
        <v>1.0</v>
      </c>
      <c r="P48" s="30">
        <v>3.0</v>
      </c>
      <c r="Q48" s="30">
        <v>1.0</v>
      </c>
      <c r="R48" s="30">
        <v>4.0</v>
      </c>
      <c r="S48" s="30">
        <v>3.0</v>
      </c>
      <c r="T48" s="32">
        <v>4.0</v>
      </c>
      <c r="U48" s="30">
        <v>4.0</v>
      </c>
      <c r="V48" s="30">
        <v>3.0</v>
      </c>
      <c r="W48" s="30">
        <v>4.0</v>
      </c>
      <c r="X48" s="30">
        <v>3.0</v>
      </c>
      <c r="Y48" s="30">
        <v>1.0</v>
      </c>
      <c r="Z48" s="30">
        <v>3.0</v>
      </c>
      <c r="AA48" s="32">
        <v>4.0</v>
      </c>
      <c r="AB48" s="30">
        <v>2.0</v>
      </c>
      <c r="AC48" s="30">
        <v>4.0</v>
      </c>
      <c r="AD48" s="30">
        <v>1.0</v>
      </c>
      <c r="AE48" s="30">
        <v>3.0</v>
      </c>
      <c r="AF48" s="30">
        <v>4.0</v>
      </c>
      <c r="AG48" s="30">
        <v>2.0</v>
      </c>
      <c r="AH48" s="33"/>
    </row>
    <row r="49" ht="22.5" customHeight="1">
      <c r="A49" s="5" t="s">
        <v>36</v>
      </c>
      <c r="B49" s="6">
        <v>10.0</v>
      </c>
      <c r="C49" s="6">
        <v>1.0</v>
      </c>
      <c r="D49" s="7">
        <v>48.0</v>
      </c>
      <c r="E49" s="15"/>
      <c r="F49" s="8"/>
      <c r="G49" s="29">
        <v>4.0</v>
      </c>
      <c r="H49" s="30">
        <v>1.0</v>
      </c>
      <c r="I49" s="30">
        <v>3.0</v>
      </c>
      <c r="J49" s="30">
        <v>2.0</v>
      </c>
      <c r="K49" s="30">
        <v>1.0</v>
      </c>
      <c r="L49" s="30">
        <v>3.0</v>
      </c>
      <c r="M49" s="30">
        <v>2.0</v>
      </c>
      <c r="N49" s="30">
        <v>3.0</v>
      </c>
      <c r="O49" s="30">
        <v>1.0</v>
      </c>
      <c r="P49" s="30">
        <v>4.0</v>
      </c>
      <c r="Q49" s="30">
        <v>1.0</v>
      </c>
      <c r="R49" s="30">
        <v>4.0</v>
      </c>
      <c r="S49" s="30">
        <v>2.0</v>
      </c>
      <c r="T49" s="32">
        <v>2.0</v>
      </c>
      <c r="U49" s="30">
        <v>4.0</v>
      </c>
      <c r="V49" s="30">
        <v>3.0</v>
      </c>
      <c r="W49" s="30">
        <v>4.0</v>
      </c>
      <c r="X49" s="30">
        <v>4.0</v>
      </c>
      <c r="Y49" s="30">
        <v>1.0</v>
      </c>
      <c r="Z49" s="30">
        <v>3.0</v>
      </c>
      <c r="AA49" s="32">
        <v>4.0</v>
      </c>
      <c r="AB49" s="30">
        <v>2.0</v>
      </c>
      <c r="AC49" s="30">
        <v>2.0</v>
      </c>
      <c r="AD49" s="30">
        <v>3.0</v>
      </c>
      <c r="AE49" s="30">
        <v>1.0</v>
      </c>
      <c r="AF49" s="30">
        <v>4.0</v>
      </c>
      <c r="AG49" s="30">
        <v>2.0</v>
      </c>
      <c r="AH49" s="33">
        <v>2.0</v>
      </c>
    </row>
    <row r="50" ht="22.5" customHeight="1">
      <c r="A50" s="5" t="s">
        <v>36</v>
      </c>
      <c r="B50" s="6">
        <v>10.0</v>
      </c>
      <c r="C50" s="6">
        <v>1.0</v>
      </c>
      <c r="D50" s="7">
        <v>49.0</v>
      </c>
      <c r="E50" s="9"/>
      <c r="F50" s="8"/>
      <c r="G50" s="29">
        <v>3.0</v>
      </c>
      <c r="H50" s="30">
        <v>4.0</v>
      </c>
      <c r="I50" s="30">
        <v>1.0</v>
      </c>
      <c r="J50" s="30">
        <v>2.0</v>
      </c>
      <c r="K50" s="30">
        <v>1.0</v>
      </c>
      <c r="L50" s="30">
        <v>3.0</v>
      </c>
      <c r="M50" s="30">
        <v>2.0</v>
      </c>
      <c r="N50" s="30">
        <v>3.0</v>
      </c>
      <c r="O50" s="30">
        <v>1.0</v>
      </c>
      <c r="P50" s="30">
        <v>4.0</v>
      </c>
      <c r="Q50" s="30">
        <v>1.0</v>
      </c>
      <c r="R50" s="30">
        <v>4.0</v>
      </c>
      <c r="S50" s="30">
        <v>4.0</v>
      </c>
      <c r="T50" s="32">
        <v>2.0</v>
      </c>
      <c r="U50" s="30">
        <v>4.0</v>
      </c>
      <c r="V50" s="30">
        <v>3.0</v>
      </c>
      <c r="W50" s="30">
        <v>2.0</v>
      </c>
      <c r="X50" s="30">
        <v>2.0</v>
      </c>
      <c r="Y50" s="30">
        <v>1.0</v>
      </c>
      <c r="Z50" s="30">
        <v>3.0</v>
      </c>
      <c r="AA50" s="32">
        <v>4.0</v>
      </c>
      <c r="AB50" s="30">
        <v>4.0</v>
      </c>
      <c r="AC50" s="30">
        <v>3.0</v>
      </c>
      <c r="AD50" s="30">
        <v>3.0</v>
      </c>
      <c r="AE50" s="30">
        <v>2.0</v>
      </c>
      <c r="AF50" s="30">
        <v>1.0</v>
      </c>
      <c r="AG50" s="30">
        <v>2.0</v>
      </c>
      <c r="AH50" s="33">
        <v>2.0</v>
      </c>
    </row>
    <row r="51" ht="22.5" customHeight="1">
      <c r="A51" s="5" t="s">
        <v>36</v>
      </c>
      <c r="B51" s="6">
        <v>10.0</v>
      </c>
      <c r="C51" s="6">
        <v>8.0</v>
      </c>
      <c r="D51" s="7">
        <v>50.0</v>
      </c>
      <c r="E51" s="8"/>
      <c r="F51" s="9"/>
      <c r="G51" s="29">
        <v>2.0</v>
      </c>
      <c r="H51" s="30">
        <v>1.0</v>
      </c>
      <c r="I51" s="30">
        <v>3.0</v>
      </c>
      <c r="J51" s="30">
        <v>2.0</v>
      </c>
      <c r="K51" s="30">
        <v>1.0</v>
      </c>
      <c r="L51" s="30">
        <v>3.0</v>
      </c>
      <c r="M51" s="30">
        <v>2.0</v>
      </c>
      <c r="N51" s="30">
        <v>3.0</v>
      </c>
      <c r="O51" s="30">
        <v>1.0</v>
      </c>
      <c r="P51" s="30">
        <v>3.0</v>
      </c>
      <c r="Q51" s="30">
        <v>1.0</v>
      </c>
      <c r="R51" s="30">
        <v>4.0</v>
      </c>
      <c r="S51" s="30">
        <v>2.0</v>
      </c>
      <c r="T51" s="32">
        <v>2.0</v>
      </c>
      <c r="U51" s="30">
        <v>4.0</v>
      </c>
      <c r="V51" s="30">
        <v>3.0</v>
      </c>
      <c r="W51" s="30">
        <v>4.0</v>
      </c>
      <c r="X51" s="30">
        <v>3.0</v>
      </c>
      <c r="Y51" s="30">
        <v>1.0</v>
      </c>
      <c r="Z51" s="30">
        <v>3.0</v>
      </c>
      <c r="AA51" s="32">
        <v>4.0</v>
      </c>
      <c r="AB51" s="30">
        <v>2.0</v>
      </c>
      <c r="AC51" s="30">
        <v>3.0</v>
      </c>
      <c r="AD51" s="30">
        <v>3.0</v>
      </c>
      <c r="AE51" s="30">
        <v>2.0</v>
      </c>
      <c r="AF51" s="30">
        <v>4.0</v>
      </c>
      <c r="AG51" s="30">
        <v>4.0</v>
      </c>
      <c r="AH51" s="33">
        <v>2.0</v>
      </c>
    </row>
    <row r="52" ht="22.5" customHeight="1">
      <c r="A52" s="5" t="s">
        <v>36</v>
      </c>
      <c r="B52" s="6">
        <v>10.0</v>
      </c>
      <c r="C52" s="6">
        <v>8.0</v>
      </c>
      <c r="D52" s="7">
        <v>51.0</v>
      </c>
      <c r="E52" s="8"/>
      <c r="F52" s="9"/>
      <c r="G52" s="29">
        <v>4.0</v>
      </c>
      <c r="H52" s="30">
        <v>1.0</v>
      </c>
      <c r="I52" s="30">
        <v>3.0</v>
      </c>
      <c r="J52" s="30">
        <v>2.0</v>
      </c>
      <c r="K52" s="30">
        <v>1.0</v>
      </c>
      <c r="L52" s="30">
        <v>4.0</v>
      </c>
      <c r="M52" s="30">
        <v>3.0</v>
      </c>
      <c r="N52" s="30">
        <v>2.0</v>
      </c>
      <c r="O52" s="30">
        <v>3.0</v>
      </c>
      <c r="P52" s="30">
        <v>2.0</v>
      </c>
      <c r="Q52" s="30">
        <v>2.0</v>
      </c>
      <c r="R52" s="30">
        <v>3.0</v>
      </c>
      <c r="S52" s="30">
        <v>1.0</v>
      </c>
      <c r="T52" s="32">
        <v>3.0</v>
      </c>
      <c r="U52" s="30">
        <v>1.0</v>
      </c>
      <c r="V52" s="30">
        <v>3.0</v>
      </c>
      <c r="W52" s="30">
        <v>4.0</v>
      </c>
      <c r="X52" s="30">
        <v>1.0</v>
      </c>
      <c r="Y52" s="30">
        <v>2.0</v>
      </c>
      <c r="Z52" s="30">
        <v>3.0</v>
      </c>
      <c r="AA52" s="32">
        <v>2.0</v>
      </c>
      <c r="AB52" s="30">
        <v>4.0</v>
      </c>
      <c r="AC52" s="30">
        <v>1.0</v>
      </c>
      <c r="AD52" s="30">
        <v>2.0</v>
      </c>
      <c r="AE52" s="30">
        <v>2.0</v>
      </c>
      <c r="AF52" s="30">
        <v>1.0</v>
      </c>
      <c r="AG52" s="30">
        <v>3.0</v>
      </c>
      <c r="AH52" s="33">
        <v>2.0</v>
      </c>
    </row>
    <row r="53" ht="22.5" customHeight="1">
      <c r="A53" s="5" t="s">
        <v>36</v>
      </c>
      <c r="B53" s="6">
        <v>10.0</v>
      </c>
      <c r="C53" s="6">
        <v>8.0</v>
      </c>
      <c r="D53" s="7">
        <v>52.0</v>
      </c>
      <c r="E53" s="9"/>
      <c r="F53" s="9"/>
      <c r="G53" s="29">
        <v>4.0</v>
      </c>
      <c r="H53" s="30">
        <v>1.0</v>
      </c>
      <c r="I53" s="30">
        <v>3.0</v>
      </c>
      <c r="J53" s="30">
        <v>2.0</v>
      </c>
      <c r="K53" s="30">
        <v>1.0</v>
      </c>
      <c r="L53" s="30">
        <v>3.0</v>
      </c>
      <c r="M53" s="30">
        <v>2.0</v>
      </c>
      <c r="N53" s="30">
        <v>3.0</v>
      </c>
      <c r="O53" s="30">
        <v>1.0</v>
      </c>
      <c r="P53" s="30">
        <v>3.0</v>
      </c>
      <c r="Q53" s="30">
        <v>1.0</v>
      </c>
      <c r="R53" s="30">
        <v>4.0</v>
      </c>
      <c r="S53" s="30">
        <v>2.0</v>
      </c>
      <c r="T53" s="32">
        <v>2.0</v>
      </c>
      <c r="U53" s="30">
        <v>4.0</v>
      </c>
      <c r="V53" s="30">
        <v>3.0</v>
      </c>
      <c r="W53" s="30">
        <v>4.0</v>
      </c>
      <c r="X53" s="30">
        <v>3.0</v>
      </c>
      <c r="Y53" s="30">
        <v>1.0</v>
      </c>
      <c r="Z53" s="30">
        <v>3.0</v>
      </c>
      <c r="AA53" s="32">
        <v>4.0</v>
      </c>
      <c r="AB53" s="30">
        <v>2.0</v>
      </c>
      <c r="AC53" s="30">
        <v>3.0</v>
      </c>
      <c r="AD53" s="30">
        <v>3.0</v>
      </c>
      <c r="AE53" s="30">
        <v>2.0</v>
      </c>
      <c r="AF53" s="30">
        <v>1.0</v>
      </c>
      <c r="AG53" s="30">
        <v>1.0</v>
      </c>
      <c r="AH53" s="33">
        <v>2.0</v>
      </c>
    </row>
    <row r="54" ht="22.5" customHeight="1">
      <c r="A54" s="5" t="s">
        <v>36</v>
      </c>
      <c r="B54" s="6">
        <v>10.0</v>
      </c>
      <c r="C54" s="6">
        <v>8.0</v>
      </c>
      <c r="D54" s="7">
        <v>53.0</v>
      </c>
      <c r="E54" s="8"/>
      <c r="F54" s="9"/>
      <c r="G54" s="29">
        <v>4.0</v>
      </c>
      <c r="H54" s="30">
        <v>1.0</v>
      </c>
      <c r="I54" s="30">
        <v>3.0</v>
      </c>
      <c r="J54" s="30">
        <v>2.0</v>
      </c>
      <c r="K54" s="30">
        <v>1.0</v>
      </c>
      <c r="L54" s="30">
        <v>3.0</v>
      </c>
      <c r="M54" s="30">
        <v>2.0</v>
      </c>
      <c r="N54" s="30">
        <v>3.0</v>
      </c>
      <c r="O54" s="30">
        <v>1.0</v>
      </c>
      <c r="P54" s="30">
        <v>3.0</v>
      </c>
      <c r="Q54" s="30">
        <v>1.0</v>
      </c>
      <c r="R54" s="30">
        <v>4.0</v>
      </c>
      <c r="S54" s="30">
        <v>2.0</v>
      </c>
      <c r="T54" s="32">
        <v>1.0</v>
      </c>
      <c r="U54" s="30">
        <v>4.0</v>
      </c>
      <c r="V54" s="30">
        <v>2.0</v>
      </c>
      <c r="W54" s="30">
        <v>4.0</v>
      </c>
      <c r="X54" s="30">
        <v>3.0</v>
      </c>
      <c r="Y54" s="30">
        <v>3.0</v>
      </c>
      <c r="Z54" s="30">
        <v>3.0</v>
      </c>
      <c r="AA54" s="32">
        <v>4.0</v>
      </c>
      <c r="AB54" s="30">
        <v>2.0</v>
      </c>
      <c r="AC54" s="30">
        <v>2.0</v>
      </c>
      <c r="AD54" s="30">
        <v>3.0</v>
      </c>
      <c r="AE54" s="30">
        <v>4.0</v>
      </c>
      <c r="AF54" s="30">
        <v>4.0</v>
      </c>
      <c r="AG54" s="30">
        <v>1.0</v>
      </c>
      <c r="AH54" s="33">
        <v>2.0</v>
      </c>
    </row>
    <row r="55" ht="22.5" customHeight="1">
      <c r="A55" s="5" t="s">
        <v>36</v>
      </c>
      <c r="B55" s="6">
        <v>10.0</v>
      </c>
      <c r="C55" s="6">
        <v>8.0</v>
      </c>
      <c r="D55" s="7">
        <v>54.0</v>
      </c>
      <c r="E55" s="8"/>
      <c r="F55" s="8"/>
      <c r="G55" s="29">
        <v>1.0</v>
      </c>
      <c r="H55" s="30">
        <v>1.0</v>
      </c>
      <c r="I55" s="30">
        <v>3.0</v>
      </c>
      <c r="J55" s="30">
        <v>2.0</v>
      </c>
      <c r="K55" s="30">
        <v>4.0</v>
      </c>
      <c r="L55" s="30">
        <v>3.0</v>
      </c>
      <c r="M55" s="30">
        <v>4.0</v>
      </c>
      <c r="N55" s="30">
        <v>3.0</v>
      </c>
      <c r="O55" s="30">
        <v>1.0</v>
      </c>
      <c r="P55" s="30">
        <v>4.0</v>
      </c>
      <c r="Q55" s="30">
        <v>1.0</v>
      </c>
      <c r="R55" s="30">
        <v>4.0</v>
      </c>
      <c r="S55" s="30">
        <v>2.0</v>
      </c>
      <c r="T55" s="32">
        <v>4.0</v>
      </c>
      <c r="U55" s="30">
        <v>4.0</v>
      </c>
      <c r="V55" s="30">
        <v>3.0</v>
      </c>
      <c r="W55" s="30">
        <v>4.0</v>
      </c>
      <c r="X55" s="30">
        <v>3.0</v>
      </c>
      <c r="Y55" s="30">
        <v>1.0</v>
      </c>
      <c r="Z55" s="30">
        <v>3.0</v>
      </c>
      <c r="AA55" s="32">
        <v>4.0</v>
      </c>
      <c r="AB55" s="30">
        <v>2.0</v>
      </c>
      <c r="AC55" s="30">
        <v>1.0</v>
      </c>
      <c r="AD55" s="30">
        <v>3.0</v>
      </c>
      <c r="AE55" s="30">
        <v>1.0</v>
      </c>
      <c r="AF55" s="30">
        <v>4.0</v>
      </c>
      <c r="AG55" s="30">
        <v>2.0</v>
      </c>
      <c r="AH55" s="33">
        <v>1.0</v>
      </c>
    </row>
    <row r="56" ht="22.5" customHeight="1">
      <c r="A56" s="5" t="s">
        <v>36</v>
      </c>
      <c r="B56" s="6">
        <v>10.0</v>
      </c>
      <c r="C56" s="6">
        <v>8.0</v>
      </c>
      <c r="D56" s="7">
        <v>55.0</v>
      </c>
      <c r="E56" s="8"/>
      <c r="F56" s="8"/>
      <c r="G56" s="29">
        <v>4.0</v>
      </c>
      <c r="H56" s="30">
        <v>1.0</v>
      </c>
      <c r="I56" s="30">
        <v>3.0</v>
      </c>
      <c r="J56" s="30">
        <v>2.0</v>
      </c>
      <c r="K56" s="30">
        <v>1.0</v>
      </c>
      <c r="L56" s="30">
        <v>3.0</v>
      </c>
      <c r="M56" s="30">
        <v>2.0</v>
      </c>
      <c r="N56" s="30">
        <v>3.0</v>
      </c>
      <c r="O56" s="30">
        <v>1.0</v>
      </c>
      <c r="P56" s="30">
        <v>3.0</v>
      </c>
      <c r="Q56" s="30">
        <v>3.0</v>
      </c>
      <c r="R56" s="30">
        <v>4.0</v>
      </c>
      <c r="S56" s="30">
        <v>2.0</v>
      </c>
      <c r="T56" s="32">
        <v>2.0</v>
      </c>
      <c r="U56" s="30">
        <v>4.0</v>
      </c>
      <c r="V56" s="30">
        <v>3.0</v>
      </c>
      <c r="W56" s="30">
        <v>4.0</v>
      </c>
      <c r="X56" s="30">
        <v>3.0</v>
      </c>
      <c r="Y56" s="30">
        <v>1.0</v>
      </c>
      <c r="Z56" s="30">
        <v>3.0</v>
      </c>
      <c r="AA56" s="32">
        <v>4.0</v>
      </c>
      <c r="AB56" s="30">
        <v>2.0</v>
      </c>
      <c r="AC56" s="30">
        <v>3.0</v>
      </c>
      <c r="AD56" s="30">
        <v>3.0</v>
      </c>
      <c r="AE56" s="30">
        <v>2.0</v>
      </c>
      <c r="AF56" s="30">
        <v>4.0</v>
      </c>
      <c r="AG56" s="30">
        <v>1.0</v>
      </c>
      <c r="AH56" s="33">
        <v>2.0</v>
      </c>
    </row>
    <row r="57" ht="22.5" customHeight="1">
      <c r="A57" s="5" t="s">
        <v>36</v>
      </c>
      <c r="B57" s="6">
        <v>10.0</v>
      </c>
      <c r="C57" s="6">
        <v>8.0</v>
      </c>
      <c r="D57" s="7">
        <v>56.0</v>
      </c>
      <c r="E57" s="8"/>
      <c r="F57" s="8"/>
      <c r="G57" s="29">
        <v>4.0</v>
      </c>
      <c r="H57" s="30">
        <v>1.0</v>
      </c>
      <c r="I57" s="30">
        <v>3.0</v>
      </c>
      <c r="J57" s="30">
        <v>2.0</v>
      </c>
      <c r="K57" s="30">
        <v>1.0</v>
      </c>
      <c r="L57" s="30">
        <v>3.0</v>
      </c>
      <c r="M57" s="30">
        <v>2.0</v>
      </c>
      <c r="N57" s="30">
        <v>3.0</v>
      </c>
      <c r="O57" s="30">
        <v>1.0</v>
      </c>
      <c r="P57" s="30">
        <v>3.0</v>
      </c>
      <c r="Q57" s="30">
        <v>1.0</v>
      </c>
      <c r="R57" s="30">
        <v>4.0</v>
      </c>
      <c r="S57" s="30">
        <v>2.0</v>
      </c>
      <c r="T57" s="32">
        <v>2.0</v>
      </c>
      <c r="U57" s="30">
        <v>4.0</v>
      </c>
      <c r="V57" s="30">
        <v>4.0</v>
      </c>
      <c r="W57" s="30">
        <v>4.0</v>
      </c>
      <c r="X57" s="30">
        <v>3.0</v>
      </c>
      <c r="Y57" s="30">
        <v>1.0</v>
      </c>
      <c r="Z57" s="30">
        <v>3.0</v>
      </c>
      <c r="AA57" s="32">
        <v>4.0</v>
      </c>
      <c r="AB57" s="30">
        <v>2.0</v>
      </c>
      <c r="AC57" s="30">
        <v>3.0</v>
      </c>
      <c r="AD57" s="30">
        <v>3.0</v>
      </c>
      <c r="AE57" s="30">
        <v>1.0</v>
      </c>
      <c r="AF57" s="30">
        <v>4.0</v>
      </c>
      <c r="AG57" s="30">
        <v>2.0</v>
      </c>
      <c r="AH57" s="33">
        <v>1.0</v>
      </c>
    </row>
    <row r="58" ht="22.5" customHeight="1">
      <c r="A58" s="5" t="s">
        <v>36</v>
      </c>
      <c r="B58" s="6">
        <v>10.0</v>
      </c>
      <c r="C58" s="6">
        <v>8.0</v>
      </c>
      <c r="D58" s="7">
        <v>57.0</v>
      </c>
      <c r="E58" s="9"/>
      <c r="F58" s="8"/>
      <c r="G58" s="29">
        <v>2.0</v>
      </c>
      <c r="H58" s="30">
        <v>1.0</v>
      </c>
      <c r="I58" s="30">
        <v>3.0</v>
      </c>
      <c r="J58" s="30">
        <v>2.0</v>
      </c>
      <c r="K58" s="30">
        <v>1.0</v>
      </c>
      <c r="L58" s="30">
        <v>3.0</v>
      </c>
      <c r="M58" s="30">
        <v>2.0</v>
      </c>
      <c r="N58" s="30">
        <v>3.0</v>
      </c>
      <c r="O58" s="30">
        <v>1.0</v>
      </c>
      <c r="P58" s="30">
        <v>4.0</v>
      </c>
      <c r="Q58" s="30">
        <v>1.0</v>
      </c>
      <c r="R58" s="30">
        <v>3.0</v>
      </c>
      <c r="S58" s="30">
        <v>2.0</v>
      </c>
      <c r="T58" s="32">
        <v>2.0</v>
      </c>
      <c r="U58" s="30">
        <v>4.0</v>
      </c>
      <c r="V58" s="30">
        <v>3.0</v>
      </c>
      <c r="W58" s="30">
        <v>4.0</v>
      </c>
      <c r="X58" s="30">
        <v>3.0</v>
      </c>
      <c r="Y58" s="30">
        <v>2.0</v>
      </c>
      <c r="Z58" s="30">
        <v>1.0</v>
      </c>
      <c r="AA58" s="32">
        <v>4.0</v>
      </c>
      <c r="AB58" s="30">
        <v>2.0</v>
      </c>
      <c r="AC58" s="30">
        <v>3.0</v>
      </c>
      <c r="AD58" s="30">
        <v>3.0</v>
      </c>
      <c r="AE58" s="30">
        <v>1.0</v>
      </c>
      <c r="AF58" s="30">
        <v>4.0</v>
      </c>
      <c r="AG58" s="30">
        <v>2.0</v>
      </c>
      <c r="AH58" s="33">
        <v>1.0</v>
      </c>
    </row>
    <row r="59" ht="22.5" customHeight="1">
      <c r="A59" s="5" t="s">
        <v>36</v>
      </c>
      <c r="B59" s="6">
        <v>10.0</v>
      </c>
      <c r="C59" s="6">
        <v>8.0</v>
      </c>
      <c r="D59" s="7">
        <v>58.0</v>
      </c>
      <c r="E59" s="8"/>
      <c r="F59" s="8"/>
      <c r="G59" s="29">
        <v>4.0</v>
      </c>
      <c r="H59" s="30">
        <v>1.0</v>
      </c>
      <c r="I59" s="30">
        <v>3.0</v>
      </c>
      <c r="J59" s="30">
        <v>2.0</v>
      </c>
      <c r="K59" s="30">
        <v>1.0</v>
      </c>
      <c r="L59" s="30">
        <v>3.0</v>
      </c>
      <c r="M59" s="30">
        <v>2.0</v>
      </c>
      <c r="N59" s="30">
        <v>3.0</v>
      </c>
      <c r="O59" s="30">
        <v>1.0</v>
      </c>
      <c r="P59" s="30">
        <v>3.0</v>
      </c>
      <c r="Q59" s="30">
        <v>1.0</v>
      </c>
      <c r="R59" s="30">
        <v>4.0</v>
      </c>
      <c r="S59" s="30">
        <v>2.0</v>
      </c>
      <c r="T59" s="32">
        <v>1.0</v>
      </c>
      <c r="U59" s="30">
        <v>4.0</v>
      </c>
      <c r="V59" s="30">
        <v>2.0</v>
      </c>
      <c r="W59" s="30">
        <v>4.0</v>
      </c>
      <c r="X59" s="30">
        <v>3.0</v>
      </c>
      <c r="Y59" s="30">
        <v>1.0</v>
      </c>
      <c r="Z59" s="30">
        <v>3.0</v>
      </c>
      <c r="AA59" s="32">
        <v>4.0</v>
      </c>
      <c r="AB59" s="30">
        <v>2.0</v>
      </c>
      <c r="AC59" s="30">
        <v>2.0</v>
      </c>
      <c r="AD59" s="30">
        <v>3.0</v>
      </c>
      <c r="AE59" s="30">
        <v>2.0</v>
      </c>
      <c r="AF59" s="30">
        <v>4.0</v>
      </c>
      <c r="AG59" s="30">
        <v>1.0</v>
      </c>
      <c r="AH59" s="33">
        <v>2.0</v>
      </c>
    </row>
    <row r="60" ht="22.5" customHeight="1">
      <c r="A60" s="5" t="s">
        <v>36</v>
      </c>
      <c r="B60" s="6">
        <v>10.0</v>
      </c>
      <c r="C60" s="6">
        <v>8.0</v>
      </c>
      <c r="D60" s="7">
        <v>59.0</v>
      </c>
      <c r="E60" s="8"/>
      <c r="F60" s="9"/>
      <c r="G60" s="29">
        <v>2.0</v>
      </c>
      <c r="H60" s="30">
        <v>1.0</v>
      </c>
      <c r="I60" s="30">
        <v>3.0</v>
      </c>
      <c r="J60" s="30">
        <v>2.0</v>
      </c>
      <c r="K60" s="30">
        <v>4.0</v>
      </c>
      <c r="L60" s="30">
        <v>3.0</v>
      </c>
      <c r="M60" s="30">
        <v>2.0</v>
      </c>
      <c r="N60" s="30">
        <v>3.0</v>
      </c>
      <c r="O60" s="30">
        <v>2.0</v>
      </c>
      <c r="P60" s="30">
        <v>4.0</v>
      </c>
      <c r="Q60" s="30">
        <v>1.0</v>
      </c>
      <c r="R60" s="30">
        <v>4.0</v>
      </c>
      <c r="S60" s="30">
        <v>2.0</v>
      </c>
      <c r="T60" s="32">
        <v>4.0</v>
      </c>
      <c r="U60" s="30">
        <v>4.0</v>
      </c>
      <c r="V60" s="30">
        <v>1.0</v>
      </c>
      <c r="W60" s="30">
        <v>4.0</v>
      </c>
      <c r="X60" s="30">
        <v>3.0</v>
      </c>
      <c r="Y60" s="30">
        <v>1.0</v>
      </c>
      <c r="Z60" s="30">
        <v>3.0</v>
      </c>
      <c r="AA60" s="32">
        <v>4.0</v>
      </c>
      <c r="AB60" s="30">
        <v>2.0</v>
      </c>
      <c r="AC60" s="30">
        <v>4.0</v>
      </c>
      <c r="AD60" s="30">
        <v>1.0</v>
      </c>
      <c r="AE60" s="30">
        <v>3.0</v>
      </c>
      <c r="AF60" s="30">
        <v>4.0</v>
      </c>
      <c r="AG60" s="30">
        <v>3.0</v>
      </c>
      <c r="AH60" s="33">
        <v>2.0</v>
      </c>
    </row>
    <row r="61" ht="22.5" customHeight="1">
      <c r="A61" s="5" t="s">
        <v>36</v>
      </c>
      <c r="B61" s="6">
        <v>10.0</v>
      </c>
      <c r="C61" s="6">
        <v>8.0</v>
      </c>
      <c r="D61" s="7">
        <v>60.0</v>
      </c>
      <c r="E61" s="8"/>
      <c r="F61" s="9"/>
      <c r="G61" s="29">
        <v>4.0</v>
      </c>
      <c r="H61" s="30">
        <v>1.0</v>
      </c>
      <c r="I61" s="30">
        <v>3.0</v>
      </c>
      <c r="J61" s="30">
        <v>2.0</v>
      </c>
      <c r="K61" s="30">
        <v>1.0</v>
      </c>
      <c r="L61" s="30">
        <v>3.0</v>
      </c>
      <c r="M61" s="30">
        <v>2.0</v>
      </c>
      <c r="N61" s="30">
        <v>3.0</v>
      </c>
      <c r="O61" s="30">
        <v>1.0</v>
      </c>
      <c r="P61" s="30">
        <v>3.0</v>
      </c>
      <c r="Q61" s="30">
        <v>1.0</v>
      </c>
      <c r="R61" s="30">
        <v>4.0</v>
      </c>
      <c r="S61" s="30">
        <v>2.0</v>
      </c>
      <c r="T61" s="32">
        <v>2.0</v>
      </c>
      <c r="U61" s="30">
        <v>4.0</v>
      </c>
      <c r="V61" s="30">
        <v>3.0</v>
      </c>
      <c r="W61" s="30">
        <v>4.0</v>
      </c>
      <c r="X61" s="30">
        <v>3.0</v>
      </c>
      <c r="Y61" s="30">
        <v>1.0</v>
      </c>
      <c r="Z61" s="30">
        <v>3.0</v>
      </c>
      <c r="AA61" s="32">
        <v>4.0</v>
      </c>
      <c r="AB61" s="30">
        <v>2.0</v>
      </c>
      <c r="AC61" s="30">
        <v>2.0</v>
      </c>
      <c r="AD61" s="30">
        <v>3.0</v>
      </c>
      <c r="AE61" s="30">
        <v>2.0</v>
      </c>
      <c r="AF61" s="30">
        <v>4.0</v>
      </c>
      <c r="AG61" s="30">
        <v>1.0</v>
      </c>
      <c r="AH61" s="33">
        <v>2.0</v>
      </c>
    </row>
    <row r="62" ht="22.5" customHeight="1">
      <c r="A62" s="5" t="s">
        <v>36</v>
      </c>
      <c r="B62" s="6">
        <v>10.0</v>
      </c>
      <c r="C62" s="6">
        <v>8.0</v>
      </c>
      <c r="D62" s="7">
        <v>61.0</v>
      </c>
      <c r="E62" s="8"/>
      <c r="F62" s="8"/>
      <c r="G62" s="29">
        <v>4.0</v>
      </c>
      <c r="H62" s="30">
        <v>1.0</v>
      </c>
      <c r="I62" s="30">
        <v>3.0</v>
      </c>
      <c r="J62" s="30">
        <v>2.0</v>
      </c>
      <c r="K62" s="30">
        <v>1.0</v>
      </c>
      <c r="L62" s="30">
        <v>3.0</v>
      </c>
      <c r="M62" s="30">
        <v>2.0</v>
      </c>
      <c r="N62" s="30">
        <v>3.0</v>
      </c>
      <c r="O62" s="30">
        <v>1.0</v>
      </c>
      <c r="P62" s="30">
        <v>3.0</v>
      </c>
      <c r="Q62" s="30">
        <v>1.0</v>
      </c>
      <c r="R62" s="30">
        <v>4.0</v>
      </c>
      <c r="S62" s="30">
        <v>2.0</v>
      </c>
      <c r="T62" s="32">
        <v>1.0</v>
      </c>
      <c r="U62" s="30">
        <v>4.0</v>
      </c>
      <c r="V62" s="30">
        <v>2.0</v>
      </c>
      <c r="W62" s="30">
        <v>4.0</v>
      </c>
      <c r="X62" s="30">
        <v>3.0</v>
      </c>
      <c r="Y62" s="30">
        <v>3.0</v>
      </c>
      <c r="Z62" s="30">
        <v>3.0</v>
      </c>
      <c r="AA62" s="32">
        <v>4.0</v>
      </c>
      <c r="AB62" s="30">
        <v>2.0</v>
      </c>
      <c r="AC62" s="30">
        <v>2.0</v>
      </c>
      <c r="AD62" s="30">
        <v>3.0</v>
      </c>
      <c r="AE62" s="30">
        <v>4.0</v>
      </c>
      <c r="AF62" s="30">
        <v>4.0</v>
      </c>
      <c r="AG62" s="30">
        <v>1.0</v>
      </c>
      <c r="AH62" s="33">
        <v>2.0</v>
      </c>
    </row>
    <row r="63" ht="22.5" customHeight="1">
      <c r="A63" s="5" t="s">
        <v>36</v>
      </c>
      <c r="B63" s="6">
        <v>10.0</v>
      </c>
      <c r="C63" s="6">
        <v>8.0</v>
      </c>
      <c r="D63" s="7">
        <v>62.0</v>
      </c>
      <c r="E63" s="8"/>
      <c r="F63" s="9"/>
      <c r="G63" s="29">
        <v>2.0</v>
      </c>
      <c r="H63" s="30">
        <v>3.0</v>
      </c>
      <c r="I63" s="30">
        <v>3.0</v>
      </c>
      <c r="J63" s="30">
        <v>2.0</v>
      </c>
      <c r="K63" s="30">
        <v>1.0</v>
      </c>
      <c r="L63" s="30">
        <v>3.0</v>
      </c>
      <c r="M63" s="30">
        <v>2.0</v>
      </c>
      <c r="N63" s="30">
        <v>3.0</v>
      </c>
      <c r="O63" s="30">
        <v>1.0</v>
      </c>
      <c r="P63" s="30">
        <v>4.0</v>
      </c>
      <c r="Q63" s="30">
        <v>1.0</v>
      </c>
      <c r="R63" s="30">
        <v>2.0</v>
      </c>
      <c r="S63" s="30">
        <v>2.0</v>
      </c>
      <c r="T63" s="32">
        <v>2.0</v>
      </c>
      <c r="U63" s="30">
        <v>4.0</v>
      </c>
      <c r="V63" s="30">
        <v>3.0</v>
      </c>
      <c r="W63" s="30">
        <v>4.0</v>
      </c>
      <c r="X63" s="30">
        <v>3.0</v>
      </c>
      <c r="Y63" s="30">
        <v>1.0</v>
      </c>
      <c r="Z63" s="30">
        <v>2.0</v>
      </c>
      <c r="AA63" s="32">
        <v>4.0</v>
      </c>
      <c r="AB63" s="30">
        <v>2.0</v>
      </c>
      <c r="AC63" s="30">
        <v>3.0</v>
      </c>
      <c r="AD63" s="30">
        <v>3.0</v>
      </c>
      <c r="AE63" s="30">
        <v>1.0</v>
      </c>
      <c r="AF63" s="30">
        <v>14.0</v>
      </c>
      <c r="AG63" s="30">
        <v>2.0</v>
      </c>
      <c r="AH63" s="33">
        <v>1.0</v>
      </c>
    </row>
    <row r="64" ht="22.5" customHeight="1">
      <c r="A64" s="5" t="s">
        <v>36</v>
      </c>
      <c r="B64" s="6">
        <v>10.0</v>
      </c>
      <c r="C64" s="6">
        <v>8.0</v>
      </c>
      <c r="D64" s="7">
        <v>63.0</v>
      </c>
      <c r="E64" s="9"/>
      <c r="F64" s="9"/>
      <c r="G64" s="29">
        <v>4.0</v>
      </c>
      <c r="H64" s="30">
        <v>1.0</v>
      </c>
      <c r="I64" s="30">
        <v>2.0</v>
      </c>
      <c r="J64" s="30">
        <v>2.0</v>
      </c>
      <c r="K64" s="30">
        <v>4.0</v>
      </c>
      <c r="L64" s="30">
        <v>4.0</v>
      </c>
      <c r="M64" s="30">
        <v>2.0</v>
      </c>
      <c r="N64" s="30">
        <v>3.0</v>
      </c>
      <c r="O64" s="30">
        <v>1.0</v>
      </c>
      <c r="P64" s="30">
        <v>4.0</v>
      </c>
      <c r="Q64" s="30">
        <v>1.0</v>
      </c>
      <c r="R64" s="30">
        <v>4.0</v>
      </c>
      <c r="S64" s="30">
        <v>3.0</v>
      </c>
      <c r="T64" s="32">
        <v>2.0</v>
      </c>
      <c r="U64" s="30">
        <v>3.0</v>
      </c>
      <c r="V64" s="30">
        <v>3.0</v>
      </c>
      <c r="W64" s="30">
        <v>4.0</v>
      </c>
      <c r="X64" s="30">
        <v>4.0</v>
      </c>
      <c r="Y64" s="30">
        <v>1.0</v>
      </c>
      <c r="Z64" s="30">
        <v>2.0</v>
      </c>
      <c r="AA64" s="32">
        <v>1.0</v>
      </c>
      <c r="AB64" s="30">
        <v>3.0</v>
      </c>
      <c r="AC64" s="30">
        <v>3.0</v>
      </c>
      <c r="AD64" s="30">
        <v>1.0</v>
      </c>
      <c r="AE64" s="30">
        <v>1.0</v>
      </c>
      <c r="AF64" s="30">
        <v>4.0</v>
      </c>
      <c r="AG64" s="30">
        <v>2.0</v>
      </c>
      <c r="AH64" s="33">
        <v>1.0</v>
      </c>
    </row>
    <row r="65" ht="22.5" customHeight="1">
      <c r="A65" s="5" t="s">
        <v>36</v>
      </c>
      <c r="B65" s="6">
        <v>10.0</v>
      </c>
      <c r="C65" s="6">
        <v>8.0</v>
      </c>
      <c r="D65" s="7">
        <v>64.0</v>
      </c>
      <c r="E65" s="8"/>
      <c r="F65" s="15"/>
      <c r="G65" s="29">
        <v>4.0</v>
      </c>
      <c r="H65" s="30">
        <v>1.0</v>
      </c>
      <c r="I65" s="30">
        <v>3.0</v>
      </c>
      <c r="J65" s="30">
        <v>2.0</v>
      </c>
      <c r="K65" s="30">
        <v>1.0</v>
      </c>
      <c r="L65" s="30">
        <v>3.0</v>
      </c>
      <c r="M65" s="30">
        <v>2.0</v>
      </c>
      <c r="N65" s="30">
        <v>3.0</v>
      </c>
      <c r="O65" s="30">
        <v>1.0</v>
      </c>
      <c r="P65" s="30">
        <v>3.0</v>
      </c>
      <c r="Q65" s="30">
        <v>1.0</v>
      </c>
      <c r="R65" s="30">
        <v>1.0</v>
      </c>
      <c r="S65" s="30">
        <v>2.0</v>
      </c>
      <c r="T65" s="32">
        <v>4.0</v>
      </c>
      <c r="U65" s="30">
        <v>4.0</v>
      </c>
      <c r="V65" s="30">
        <v>3.0</v>
      </c>
      <c r="W65" s="30">
        <v>4.0</v>
      </c>
      <c r="X65" s="30">
        <v>3.0</v>
      </c>
      <c r="Y65" s="30">
        <v>1.0</v>
      </c>
      <c r="Z65" s="30">
        <v>3.0</v>
      </c>
      <c r="AA65" s="32">
        <v>4.0</v>
      </c>
      <c r="AB65" s="30">
        <v>2.0</v>
      </c>
      <c r="AC65" s="30">
        <v>2.0</v>
      </c>
      <c r="AD65" s="30">
        <v>3.0</v>
      </c>
      <c r="AE65" s="30">
        <v>2.0</v>
      </c>
      <c r="AF65" s="30">
        <v>4.0</v>
      </c>
      <c r="AG65" s="30">
        <v>1.0</v>
      </c>
      <c r="AH65" s="33">
        <v>2.0</v>
      </c>
    </row>
    <row r="66" ht="22.5" customHeight="1">
      <c r="A66" s="5" t="s">
        <v>36</v>
      </c>
      <c r="B66" s="6">
        <v>10.0</v>
      </c>
      <c r="C66" s="6">
        <v>8.0</v>
      </c>
      <c r="D66" s="7">
        <v>65.0</v>
      </c>
      <c r="E66" s="8"/>
      <c r="F66" s="8"/>
      <c r="G66" s="29">
        <v>4.0</v>
      </c>
      <c r="H66" s="30">
        <v>1.0</v>
      </c>
      <c r="I66" s="30">
        <v>3.0</v>
      </c>
      <c r="J66" s="30">
        <v>2.0</v>
      </c>
      <c r="K66" s="30">
        <v>1.0</v>
      </c>
      <c r="L66" s="30">
        <v>3.0</v>
      </c>
      <c r="M66" s="30">
        <v>2.0</v>
      </c>
      <c r="N66" s="30">
        <v>3.0</v>
      </c>
      <c r="O66" s="30">
        <v>1.0</v>
      </c>
      <c r="P66" s="30">
        <v>3.0</v>
      </c>
      <c r="Q66" s="30">
        <v>1.0</v>
      </c>
      <c r="R66" s="30">
        <v>4.0</v>
      </c>
      <c r="S66" s="30">
        <v>2.0</v>
      </c>
      <c r="T66" s="32">
        <v>2.0</v>
      </c>
      <c r="U66" s="30">
        <v>4.0</v>
      </c>
      <c r="V66" s="30">
        <v>3.0</v>
      </c>
      <c r="W66" s="30">
        <v>4.0</v>
      </c>
      <c r="X66" s="30">
        <v>3.0</v>
      </c>
      <c r="Y66" s="30">
        <v>1.0</v>
      </c>
      <c r="Z66" s="30">
        <v>3.0</v>
      </c>
      <c r="AA66" s="32">
        <v>4.0</v>
      </c>
      <c r="AB66" s="30">
        <v>2.0</v>
      </c>
      <c r="AC66" s="30">
        <v>3.0</v>
      </c>
      <c r="AD66" s="30">
        <v>3.0</v>
      </c>
      <c r="AE66" s="30">
        <v>2.0</v>
      </c>
      <c r="AF66" s="30">
        <v>4.0</v>
      </c>
      <c r="AG66" s="30">
        <v>1.0</v>
      </c>
      <c r="AH66" s="33">
        <v>2.0</v>
      </c>
    </row>
    <row r="67" ht="22.5" customHeight="1">
      <c r="A67" s="5" t="s">
        <v>36</v>
      </c>
      <c r="B67" s="6">
        <v>10.0</v>
      </c>
      <c r="C67" s="6">
        <v>8.0</v>
      </c>
      <c r="D67" s="7">
        <v>66.0</v>
      </c>
      <c r="E67" s="9"/>
      <c r="F67" s="9"/>
      <c r="G67" s="29">
        <v>4.0</v>
      </c>
      <c r="H67" s="30">
        <v>1.0</v>
      </c>
      <c r="I67" s="30">
        <v>3.0</v>
      </c>
      <c r="J67" s="30">
        <v>2.0</v>
      </c>
      <c r="K67" s="30">
        <v>4.0</v>
      </c>
      <c r="L67" s="30">
        <v>1.0</v>
      </c>
      <c r="M67" s="30">
        <v>2.0</v>
      </c>
      <c r="N67" s="30">
        <v>2.0</v>
      </c>
      <c r="O67" s="30">
        <v>1.0</v>
      </c>
      <c r="P67" s="30">
        <v>2.0</v>
      </c>
      <c r="Q67" s="30">
        <v>1.0</v>
      </c>
      <c r="R67" s="30">
        <v>3.0</v>
      </c>
      <c r="S67" s="30">
        <v>14.0</v>
      </c>
      <c r="T67" s="32">
        <v>2.0</v>
      </c>
      <c r="U67" s="30">
        <v>3.0</v>
      </c>
      <c r="V67" s="30">
        <v>1.0</v>
      </c>
      <c r="W67" s="30">
        <v>3.0</v>
      </c>
      <c r="X67" s="30">
        <v>1.0</v>
      </c>
      <c r="Y67" s="30">
        <v>4.0</v>
      </c>
      <c r="Z67" s="30">
        <v>1.0</v>
      </c>
      <c r="AA67" s="32">
        <v>3.0</v>
      </c>
      <c r="AB67" s="30">
        <v>2.0</v>
      </c>
      <c r="AC67" s="30">
        <v>2.0</v>
      </c>
      <c r="AD67" s="30">
        <v>3.0</v>
      </c>
      <c r="AE67" s="30">
        <v>2.0</v>
      </c>
      <c r="AF67" s="30">
        <v>3.0</v>
      </c>
      <c r="AG67" s="30">
        <v>2.0</v>
      </c>
      <c r="AH67" s="33">
        <v>2.0</v>
      </c>
    </row>
    <row r="68">
      <c r="A68" s="34"/>
      <c r="B68" s="35"/>
      <c r="C68" s="35"/>
      <c r="D68" s="36"/>
      <c r="E68" s="35"/>
      <c r="F68" s="35"/>
      <c r="G68" s="37"/>
      <c r="H68" s="35"/>
      <c r="I68" s="35"/>
      <c r="J68" s="35"/>
      <c r="K68" s="35"/>
      <c r="L68" s="35"/>
      <c r="M68" s="35"/>
      <c r="N68" s="35"/>
      <c r="O68" s="35"/>
      <c r="P68" s="35"/>
      <c r="Q68" s="35"/>
      <c r="R68" s="35"/>
      <c r="S68" s="35"/>
      <c r="T68" s="35"/>
      <c r="U68" s="35"/>
      <c r="V68" s="35"/>
      <c r="W68" s="35"/>
      <c r="X68" s="35"/>
      <c r="Y68" s="35"/>
      <c r="Z68" s="35"/>
      <c r="AA68" s="35"/>
      <c r="AB68" s="35"/>
      <c r="AC68" s="35"/>
      <c r="AD68" s="35"/>
      <c r="AE68" s="35"/>
      <c r="AF68" s="35"/>
      <c r="AG68" s="35"/>
      <c r="AH68" s="38"/>
    </row>
    <row r="69">
      <c r="A69" s="34"/>
      <c r="B69" s="35"/>
      <c r="C69" s="35"/>
      <c r="D69" s="36"/>
      <c r="E69" s="35"/>
      <c r="F69" s="35"/>
      <c r="G69" s="37"/>
      <c r="H69" s="35"/>
      <c r="I69" s="35"/>
      <c r="J69" s="35"/>
      <c r="K69" s="35"/>
      <c r="L69" s="35"/>
      <c r="M69" s="35"/>
      <c r="N69" s="35"/>
      <c r="O69" s="35"/>
      <c r="P69" s="35"/>
      <c r="Q69" s="35"/>
      <c r="R69" s="35"/>
      <c r="S69" s="35"/>
      <c r="T69" s="35"/>
      <c r="U69" s="35"/>
      <c r="V69" s="35"/>
      <c r="W69" s="35"/>
      <c r="X69" s="35"/>
      <c r="Y69" s="35"/>
      <c r="Z69" s="35"/>
      <c r="AA69" s="35"/>
      <c r="AB69" s="35"/>
      <c r="AC69" s="35"/>
      <c r="AD69" s="35"/>
      <c r="AE69" s="35"/>
      <c r="AF69" s="35"/>
      <c r="AG69" s="35"/>
      <c r="AH69" s="38"/>
    </row>
    <row r="70">
      <c r="A70" s="34"/>
      <c r="B70" s="35"/>
      <c r="C70" s="35"/>
      <c r="D70" s="36"/>
      <c r="E70" s="35"/>
      <c r="F70" s="35"/>
      <c r="G70" s="37"/>
      <c r="H70" s="35"/>
      <c r="I70" s="35"/>
      <c r="J70" s="35"/>
      <c r="K70" s="35"/>
      <c r="L70" s="35"/>
      <c r="M70" s="35"/>
      <c r="N70" s="35"/>
      <c r="O70" s="35"/>
      <c r="P70" s="35"/>
      <c r="Q70" s="35"/>
      <c r="R70" s="35"/>
      <c r="S70" s="35"/>
      <c r="T70" s="35"/>
      <c r="U70" s="35"/>
      <c r="V70" s="35"/>
      <c r="W70" s="35"/>
      <c r="X70" s="35"/>
      <c r="Y70" s="35"/>
      <c r="Z70" s="35"/>
      <c r="AA70" s="35"/>
      <c r="AB70" s="35"/>
      <c r="AC70" s="35"/>
      <c r="AD70" s="35"/>
      <c r="AE70" s="35"/>
      <c r="AF70" s="35"/>
      <c r="AG70" s="35"/>
      <c r="AH70" s="38"/>
    </row>
    <row r="71">
      <c r="A71" s="34"/>
      <c r="B71" s="35"/>
      <c r="C71" s="35"/>
      <c r="D71" s="36"/>
      <c r="E71" s="35"/>
      <c r="F71" s="35"/>
      <c r="G71" s="37"/>
      <c r="H71" s="35"/>
      <c r="I71" s="35"/>
      <c r="J71" s="35"/>
      <c r="K71" s="35"/>
      <c r="L71" s="35"/>
      <c r="M71" s="35"/>
      <c r="N71" s="35"/>
      <c r="O71" s="35"/>
      <c r="P71" s="35"/>
      <c r="Q71" s="35"/>
      <c r="R71" s="35"/>
      <c r="S71" s="35"/>
      <c r="T71" s="35"/>
      <c r="U71" s="35"/>
      <c r="V71" s="35"/>
      <c r="W71" s="35"/>
      <c r="X71" s="35"/>
      <c r="Y71" s="35"/>
      <c r="Z71" s="35"/>
      <c r="AA71" s="35"/>
      <c r="AB71" s="35"/>
      <c r="AC71" s="35"/>
      <c r="AD71" s="35"/>
      <c r="AE71" s="35"/>
      <c r="AF71" s="35"/>
      <c r="AG71" s="35"/>
      <c r="AH71" s="38"/>
    </row>
    <row r="72">
      <c r="A72" s="34"/>
      <c r="B72" s="35"/>
      <c r="C72" s="35"/>
      <c r="D72" s="36"/>
      <c r="E72" s="35"/>
      <c r="F72" s="35"/>
      <c r="G72" s="37"/>
      <c r="H72" s="35"/>
      <c r="I72" s="35"/>
      <c r="J72" s="35"/>
      <c r="K72" s="35"/>
      <c r="L72" s="35"/>
      <c r="M72" s="35"/>
      <c r="N72" s="35"/>
      <c r="O72" s="35"/>
      <c r="P72" s="35"/>
      <c r="Q72" s="35"/>
      <c r="R72" s="35"/>
      <c r="S72" s="35"/>
      <c r="T72" s="35"/>
      <c r="U72" s="35"/>
      <c r="V72" s="35"/>
      <c r="W72" s="35"/>
      <c r="X72" s="35"/>
      <c r="Y72" s="35"/>
      <c r="Z72" s="35"/>
      <c r="AA72" s="35"/>
      <c r="AB72" s="35"/>
      <c r="AC72" s="35"/>
      <c r="AD72" s="35"/>
      <c r="AE72" s="35"/>
      <c r="AF72" s="35"/>
      <c r="AG72" s="35"/>
      <c r="AH72" s="38"/>
    </row>
    <row r="73">
      <c r="A73" s="34"/>
      <c r="B73" s="35"/>
      <c r="C73" s="35"/>
      <c r="D73" s="36"/>
      <c r="E73" s="35"/>
      <c r="F73" s="35"/>
      <c r="G73" s="37"/>
      <c r="H73" s="35"/>
      <c r="I73" s="35"/>
      <c r="J73" s="35"/>
      <c r="K73" s="35"/>
      <c r="L73" s="35"/>
      <c r="M73" s="35"/>
      <c r="N73" s="35"/>
      <c r="O73" s="35"/>
      <c r="P73" s="35"/>
      <c r="Q73" s="35"/>
      <c r="R73" s="35"/>
      <c r="S73" s="35"/>
      <c r="T73" s="35"/>
      <c r="U73" s="35"/>
      <c r="V73" s="35"/>
      <c r="W73" s="35"/>
      <c r="X73" s="35"/>
      <c r="Y73" s="35"/>
      <c r="Z73" s="35"/>
      <c r="AA73" s="35"/>
      <c r="AB73" s="35"/>
      <c r="AC73" s="35"/>
      <c r="AD73" s="35"/>
      <c r="AE73" s="35"/>
      <c r="AF73" s="35"/>
      <c r="AG73" s="35"/>
      <c r="AH73" s="38"/>
    </row>
    <row r="74">
      <c r="A74" s="34"/>
      <c r="B74" s="35"/>
      <c r="C74" s="35"/>
      <c r="D74" s="36"/>
      <c r="E74" s="35"/>
      <c r="F74" s="35"/>
      <c r="G74" s="37"/>
      <c r="H74" s="35"/>
      <c r="I74" s="35"/>
      <c r="J74" s="35"/>
      <c r="K74" s="35"/>
      <c r="L74" s="35"/>
      <c r="M74" s="35"/>
      <c r="N74" s="35"/>
      <c r="O74" s="35"/>
      <c r="P74" s="35"/>
      <c r="Q74" s="35"/>
      <c r="R74" s="35"/>
      <c r="S74" s="35"/>
      <c r="T74" s="35"/>
      <c r="U74" s="35"/>
      <c r="V74" s="35"/>
      <c r="W74" s="35"/>
      <c r="X74" s="35"/>
      <c r="Y74" s="35"/>
      <c r="Z74" s="35"/>
      <c r="AA74" s="35"/>
      <c r="AB74" s="35"/>
      <c r="AC74" s="35"/>
      <c r="AD74" s="35"/>
      <c r="AE74" s="35"/>
      <c r="AF74" s="35"/>
      <c r="AG74" s="35"/>
      <c r="AH74" s="38"/>
    </row>
    <row r="75">
      <c r="A75" s="34"/>
      <c r="B75" s="35"/>
      <c r="C75" s="35"/>
      <c r="D75" s="36"/>
      <c r="E75" s="35"/>
      <c r="F75" s="35"/>
      <c r="G75" s="37"/>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38"/>
    </row>
    <row r="76">
      <c r="A76" s="34"/>
      <c r="B76" s="35"/>
      <c r="C76" s="35"/>
      <c r="D76" s="36"/>
      <c r="E76" s="35"/>
      <c r="F76" s="35"/>
      <c r="G76" s="37"/>
      <c r="H76" s="35"/>
      <c r="I76" s="35"/>
      <c r="J76" s="35"/>
      <c r="K76" s="35"/>
      <c r="L76" s="35"/>
      <c r="M76" s="35"/>
      <c r="N76" s="35"/>
      <c r="O76" s="35"/>
      <c r="P76" s="35"/>
      <c r="Q76" s="35"/>
      <c r="R76" s="35"/>
      <c r="S76" s="35"/>
      <c r="T76" s="35"/>
      <c r="U76" s="35"/>
      <c r="V76" s="35"/>
      <c r="W76" s="35"/>
      <c r="X76" s="35"/>
      <c r="Y76" s="35"/>
      <c r="Z76" s="35"/>
      <c r="AA76" s="35"/>
      <c r="AB76" s="35"/>
      <c r="AC76" s="35"/>
      <c r="AD76" s="35"/>
      <c r="AE76" s="35"/>
      <c r="AF76" s="35"/>
      <c r="AG76" s="35"/>
      <c r="AH76" s="38"/>
    </row>
    <row r="77">
      <c r="A77" s="34"/>
      <c r="B77" s="35"/>
      <c r="C77" s="35"/>
      <c r="D77" s="36"/>
      <c r="E77" s="35"/>
      <c r="F77" s="35"/>
      <c r="G77" s="37"/>
      <c r="H77" s="35"/>
      <c r="I77" s="35"/>
      <c r="J77" s="35"/>
      <c r="K77" s="35"/>
      <c r="L77" s="35"/>
      <c r="M77" s="35"/>
      <c r="N77" s="35"/>
      <c r="O77" s="35"/>
      <c r="P77" s="35"/>
      <c r="Q77" s="35"/>
      <c r="R77" s="35"/>
      <c r="S77" s="35"/>
      <c r="T77" s="35"/>
      <c r="U77" s="35"/>
      <c r="V77" s="35"/>
      <c r="W77" s="35"/>
      <c r="X77" s="35"/>
      <c r="Y77" s="35"/>
      <c r="Z77" s="35"/>
      <c r="AA77" s="35"/>
      <c r="AB77" s="35"/>
      <c r="AC77" s="35"/>
      <c r="AD77" s="35"/>
      <c r="AE77" s="35"/>
      <c r="AF77" s="35"/>
      <c r="AG77" s="35"/>
      <c r="AH77" s="38"/>
    </row>
    <row r="78">
      <c r="A78" s="34"/>
      <c r="B78" s="35"/>
      <c r="C78" s="35"/>
      <c r="D78" s="36"/>
      <c r="E78" s="35"/>
      <c r="F78" s="35"/>
      <c r="G78" s="37"/>
      <c r="H78" s="35"/>
      <c r="I78" s="35"/>
      <c r="J78" s="35"/>
      <c r="K78" s="35"/>
      <c r="L78" s="35"/>
      <c r="M78" s="35"/>
      <c r="N78" s="35"/>
      <c r="O78" s="35"/>
      <c r="P78" s="35"/>
      <c r="Q78" s="35"/>
      <c r="R78" s="35"/>
      <c r="S78" s="35"/>
      <c r="T78" s="35"/>
      <c r="U78" s="35"/>
      <c r="V78" s="35"/>
      <c r="W78" s="35"/>
      <c r="X78" s="35"/>
      <c r="Y78" s="35"/>
      <c r="Z78" s="35"/>
      <c r="AA78" s="35"/>
      <c r="AB78" s="35"/>
      <c r="AC78" s="35"/>
      <c r="AD78" s="35"/>
      <c r="AE78" s="35"/>
      <c r="AF78" s="35"/>
      <c r="AG78" s="35"/>
      <c r="AH78" s="38"/>
    </row>
    <row r="79">
      <c r="A79" s="34"/>
      <c r="B79" s="35"/>
      <c r="C79" s="35"/>
      <c r="D79" s="36"/>
      <c r="E79" s="35"/>
      <c r="F79" s="35"/>
      <c r="G79" s="37"/>
      <c r="H79" s="35"/>
      <c r="I79" s="35"/>
      <c r="J79" s="35"/>
      <c r="K79" s="35"/>
      <c r="L79" s="35"/>
      <c r="M79" s="35"/>
      <c r="N79" s="35"/>
      <c r="O79" s="35"/>
      <c r="P79" s="35"/>
      <c r="Q79" s="35"/>
      <c r="R79" s="35"/>
      <c r="S79" s="35"/>
      <c r="T79" s="35"/>
      <c r="U79" s="35"/>
      <c r="V79" s="35"/>
      <c r="W79" s="35"/>
      <c r="X79" s="35"/>
      <c r="Y79" s="35"/>
      <c r="Z79" s="35"/>
      <c r="AA79" s="35"/>
      <c r="AB79" s="35"/>
      <c r="AC79" s="35"/>
      <c r="AD79" s="35"/>
      <c r="AE79" s="35"/>
      <c r="AF79" s="35"/>
      <c r="AG79" s="35"/>
      <c r="AH79" s="38"/>
    </row>
    <row r="80">
      <c r="A80" s="34"/>
      <c r="B80" s="35"/>
      <c r="C80" s="35"/>
      <c r="D80" s="36"/>
      <c r="E80" s="35"/>
      <c r="F80" s="35"/>
      <c r="G80" s="37"/>
      <c r="H80" s="35"/>
      <c r="I80" s="35"/>
      <c r="J80" s="35"/>
      <c r="K80" s="35"/>
      <c r="L80" s="35"/>
      <c r="M80" s="35"/>
      <c r="N80" s="35"/>
      <c r="O80" s="35"/>
      <c r="P80" s="35"/>
      <c r="Q80" s="35"/>
      <c r="R80" s="35"/>
      <c r="S80" s="35"/>
      <c r="T80" s="35"/>
      <c r="U80" s="35"/>
      <c r="V80" s="35"/>
      <c r="W80" s="35"/>
      <c r="X80" s="35"/>
      <c r="Y80" s="35"/>
      <c r="Z80" s="35"/>
      <c r="AA80" s="35"/>
      <c r="AB80" s="35"/>
      <c r="AC80" s="35"/>
      <c r="AD80" s="35"/>
      <c r="AE80" s="35"/>
      <c r="AF80" s="35"/>
      <c r="AG80" s="35"/>
      <c r="AH80" s="38"/>
    </row>
    <row r="81">
      <c r="A81" s="34"/>
      <c r="B81" s="35"/>
      <c r="C81" s="35"/>
      <c r="D81" s="36"/>
      <c r="E81" s="35"/>
      <c r="F81" s="35"/>
      <c r="G81" s="37"/>
      <c r="H81" s="35"/>
      <c r="I81" s="35"/>
      <c r="J81" s="35"/>
      <c r="K81" s="35"/>
      <c r="L81" s="35"/>
      <c r="M81" s="35"/>
      <c r="N81" s="35"/>
      <c r="O81" s="35"/>
      <c r="P81" s="35"/>
      <c r="Q81" s="35"/>
      <c r="R81" s="35"/>
      <c r="S81" s="35"/>
      <c r="T81" s="35"/>
      <c r="U81" s="35"/>
      <c r="V81" s="35"/>
      <c r="W81" s="35"/>
      <c r="X81" s="35"/>
      <c r="Y81" s="35"/>
      <c r="Z81" s="35"/>
      <c r="AA81" s="35"/>
      <c r="AB81" s="35"/>
      <c r="AC81" s="35"/>
      <c r="AD81" s="35"/>
      <c r="AE81" s="35"/>
      <c r="AF81" s="35"/>
      <c r="AG81" s="35"/>
      <c r="AH81" s="38"/>
    </row>
    <row r="82">
      <c r="A82" s="34"/>
      <c r="B82" s="35"/>
      <c r="C82" s="35"/>
      <c r="D82" s="36"/>
      <c r="E82" s="35"/>
      <c r="F82" s="35"/>
      <c r="G82" s="37"/>
      <c r="H82" s="35"/>
      <c r="I82" s="35"/>
      <c r="J82" s="35"/>
      <c r="K82" s="35"/>
      <c r="L82" s="35"/>
      <c r="M82" s="35"/>
      <c r="N82" s="35"/>
      <c r="O82" s="35"/>
      <c r="P82" s="35"/>
      <c r="Q82" s="35"/>
      <c r="R82" s="35"/>
      <c r="S82" s="35"/>
      <c r="T82" s="35"/>
      <c r="U82" s="35"/>
      <c r="V82" s="35"/>
      <c r="W82" s="35"/>
      <c r="X82" s="35"/>
      <c r="Y82" s="35"/>
      <c r="Z82" s="35"/>
      <c r="AA82" s="35"/>
      <c r="AB82" s="35"/>
      <c r="AC82" s="35"/>
      <c r="AD82" s="35"/>
      <c r="AE82" s="35"/>
      <c r="AF82" s="35"/>
      <c r="AG82" s="35"/>
      <c r="AH82" s="38"/>
    </row>
    <row r="83">
      <c r="A83" s="34"/>
      <c r="B83" s="35"/>
      <c r="C83" s="35"/>
      <c r="D83" s="36"/>
      <c r="E83" s="35"/>
      <c r="F83" s="35"/>
      <c r="G83" s="37"/>
      <c r="H83" s="35"/>
      <c r="I83" s="35"/>
      <c r="J83" s="35"/>
      <c r="K83" s="35"/>
      <c r="L83" s="35"/>
      <c r="M83" s="35"/>
      <c r="N83" s="35"/>
      <c r="O83" s="35"/>
      <c r="P83" s="35"/>
      <c r="Q83" s="35"/>
      <c r="R83" s="35"/>
      <c r="S83" s="35"/>
      <c r="T83" s="35"/>
      <c r="U83" s="35"/>
      <c r="V83" s="35"/>
      <c r="W83" s="35"/>
      <c r="X83" s="35"/>
      <c r="Y83" s="35"/>
      <c r="Z83" s="35"/>
      <c r="AA83" s="35"/>
      <c r="AB83" s="35"/>
      <c r="AC83" s="35"/>
      <c r="AD83" s="35"/>
      <c r="AE83" s="35"/>
      <c r="AF83" s="35"/>
      <c r="AG83" s="35"/>
      <c r="AH83" s="38"/>
    </row>
    <row r="84">
      <c r="A84" s="34"/>
      <c r="B84" s="35"/>
      <c r="C84" s="35"/>
      <c r="D84" s="36"/>
      <c r="E84" s="35"/>
      <c r="F84" s="35"/>
      <c r="G84" s="37"/>
      <c r="H84" s="35"/>
      <c r="I84" s="35"/>
      <c r="J84" s="35"/>
      <c r="K84" s="35"/>
      <c r="L84" s="35"/>
      <c r="M84" s="35"/>
      <c r="N84" s="35"/>
      <c r="O84" s="35"/>
      <c r="P84" s="35"/>
      <c r="Q84" s="35"/>
      <c r="R84" s="35"/>
      <c r="S84" s="35"/>
      <c r="T84" s="35"/>
      <c r="U84" s="35"/>
      <c r="V84" s="35"/>
      <c r="W84" s="35"/>
      <c r="X84" s="35"/>
      <c r="Y84" s="35"/>
      <c r="Z84" s="35"/>
      <c r="AA84" s="35"/>
      <c r="AB84" s="35"/>
      <c r="AC84" s="35"/>
      <c r="AD84" s="35"/>
      <c r="AE84" s="35"/>
      <c r="AF84" s="35"/>
      <c r="AG84" s="35"/>
      <c r="AH84" s="38"/>
    </row>
    <row r="85">
      <c r="A85" s="34"/>
      <c r="B85" s="35"/>
      <c r="C85" s="35"/>
      <c r="D85" s="36"/>
      <c r="E85" s="35"/>
      <c r="F85" s="35"/>
      <c r="G85" s="37"/>
      <c r="H85" s="35"/>
      <c r="I85" s="35"/>
      <c r="J85" s="35"/>
      <c r="K85" s="35"/>
      <c r="L85" s="35"/>
      <c r="M85" s="35"/>
      <c r="N85" s="35"/>
      <c r="O85" s="35"/>
      <c r="P85" s="35"/>
      <c r="Q85" s="35"/>
      <c r="R85" s="35"/>
      <c r="S85" s="35"/>
      <c r="T85" s="35"/>
      <c r="U85" s="35"/>
      <c r="V85" s="35"/>
      <c r="W85" s="35"/>
      <c r="X85" s="35"/>
      <c r="Y85" s="35"/>
      <c r="Z85" s="35"/>
      <c r="AA85" s="35"/>
      <c r="AB85" s="35"/>
      <c r="AC85" s="35"/>
      <c r="AD85" s="35"/>
      <c r="AE85" s="35"/>
      <c r="AF85" s="35"/>
      <c r="AG85" s="35"/>
      <c r="AH85" s="38"/>
    </row>
    <row r="86">
      <c r="A86" s="34"/>
      <c r="B86" s="35"/>
      <c r="C86" s="35"/>
      <c r="D86" s="36"/>
      <c r="E86" s="35"/>
      <c r="F86" s="35"/>
      <c r="G86" s="37"/>
      <c r="H86" s="35"/>
      <c r="I86" s="35"/>
      <c r="J86" s="35"/>
      <c r="K86" s="35"/>
      <c r="L86" s="35"/>
      <c r="M86" s="35"/>
      <c r="N86" s="35"/>
      <c r="O86" s="35"/>
      <c r="P86" s="35"/>
      <c r="Q86" s="35"/>
      <c r="R86" s="35"/>
      <c r="S86" s="35"/>
      <c r="T86" s="35"/>
      <c r="U86" s="35"/>
      <c r="V86" s="35"/>
      <c r="W86" s="35"/>
      <c r="X86" s="35"/>
      <c r="Y86" s="35"/>
      <c r="Z86" s="35"/>
      <c r="AA86" s="35"/>
      <c r="AB86" s="35"/>
      <c r="AC86" s="35"/>
      <c r="AD86" s="35"/>
      <c r="AE86" s="35"/>
      <c r="AF86" s="35"/>
      <c r="AG86" s="35"/>
      <c r="AH86" s="38"/>
    </row>
    <row r="87">
      <c r="A87" s="34"/>
      <c r="B87" s="35"/>
      <c r="C87" s="35"/>
      <c r="D87" s="36"/>
      <c r="E87" s="35"/>
      <c r="F87" s="35"/>
      <c r="G87" s="37"/>
      <c r="H87" s="35"/>
      <c r="I87" s="35"/>
      <c r="J87" s="35"/>
      <c r="K87" s="35"/>
      <c r="L87" s="35"/>
      <c r="M87" s="35"/>
      <c r="N87" s="35"/>
      <c r="O87" s="35"/>
      <c r="P87" s="35"/>
      <c r="Q87" s="35"/>
      <c r="R87" s="35"/>
      <c r="S87" s="35"/>
      <c r="T87" s="35"/>
      <c r="U87" s="35"/>
      <c r="V87" s="35"/>
      <c r="W87" s="35"/>
      <c r="X87" s="35"/>
      <c r="Y87" s="35"/>
      <c r="Z87" s="35"/>
      <c r="AA87" s="35"/>
      <c r="AB87" s="35"/>
      <c r="AC87" s="35"/>
      <c r="AD87" s="35"/>
      <c r="AE87" s="35"/>
      <c r="AF87" s="35"/>
      <c r="AG87" s="35"/>
      <c r="AH87" s="38"/>
    </row>
    <row r="88">
      <c r="A88" s="34"/>
      <c r="B88" s="35"/>
      <c r="C88" s="35"/>
      <c r="D88" s="36"/>
      <c r="E88" s="35"/>
      <c r="F88" s="35"/>
      <c r="G88" s="37"/>
      <c r="H88" s="35"/>
      <c r="I88" s="35"/>
      <c r="J88" s="35"/>
      <c r="K88" s="35"/>
      <c r="L88" s="35"/>
      <c r="M88" s="35"/>
      <c r="N88" s="35"/>
      <c r="O88" s="35"/>
      <c r="P88" s="35"/>
      <c r="Q88" s="35"/>
      <c r="R88" s="35"/>
      <c r="S88" s="35"/>
      <c r="T88" s="35"/>
      <c r="U88" s="35"/>
      <c r="V88" s="35"/>
      <c r="W88" s="35"/>
      <c r="X88" s="35"/>
      <c r="Y88" s="35"/>
      <c r="Z88" s="35"/>
      <c r="AA88" s="35"/>
      <c r="AB88" s="35"/>
      <c r="AC88" s="35"/>
      <c r="AD88" s="35"/>
      <c r="AE88" s="35"/>
      <c r="AF88" s="35"/>
      <c r="AG88" s="35"/>
      <c r="AH88" s="38"/>
    </row>
    <row r="89">
      <c r="A89" s="34"/>
      <c r="B89" s="35"/>
      <c r="C89" s="35"/>
      <c r="D89" s="36"/>
      <c r="E89" s="35"/>
      <c r="F89" s="35"/>
      <c r="G89" s="37"/>
      <c r="H89" s="35"/>
      <c r="I89" s="35"/>
      <c r="J89" s="35"/>
      <c r="K89" s="35"/>
      <c r="L89" s="35"/>
      <c r="M89" s="35"/>
      <c r="N89" s="35"/>
      <c r="O89" s="35"/>
      <c r="P89" s="35"/>
      <c r="Q89" s="35"/>
      <c r="R89" s="35"/>
      <c r="S89" s="35"/>
      <c r="T89" s="35"/>
      <c r="U89" s="35"/>
      <c r="V89" s="35"/>
      <c r="W89" s="35"/>
      <c r="X89" s="35"/>
      <c r="Y89" s="35"/>
      <c r="Z89" s="35"/>
      <c r="AA89" s="35"/>
      <c r="AB89" s="35"/>
      <c r="AC89" s="35"/>
      <c r="AD89" s="35"/>
      <c r="AE89" s="35"/>
      <c r="AF89" s="35"/>
      <c r="AG89" s="35"/>
      <c r="AH89" s="38"/>
    </row>
    <row r="90">
      <c r="A90" s="34"/>
      <c r="B90" s="35"/>
      <c r="C90" s="35"/>
      <c r="D90" s="36"/>
      <c r="E90" s="35"/>
      <c r="F90" s="35"/>
      <c r="G90" s="37"/>
      <c r="H90" s="35"/>
      <c r="I90" s="35"/>
      <c r="J90" s="35"/>
      <c r="K90" s="35"/>
      <c r="L90" s="35"/>
      <c r="M90" s="35"/>
      <c r="N90" s="35"/>
      <c r="O90" s="35"/>
      <c r="P90" s="35"/>
      <c r="Q90" s="35"/>
      <c r="R90" s="35"/>
      <c r="S90" s="35"/>
      <c r="T90" s="35"/>
      <c r="U90" s="35"/>
      <c r="V90" s="35"/>
      <c r="W90" s="35"/>
      <c r="X90" s="35"/>
      <c r="Y90" s="35"/>
      <c r="Z90" s="35"/>
      <c r="AA90" s="35"/>
      <c r="AB90" s="35"/>
      <c r="AC90" s="35"/>
      <c r="AD90" s="35"/>
      <c r="AE90" s="35"/>
      <c r="AF90" s="35"/>
      <c r="AG90" s="35"/>
      <c r="AH90" s="38"/>
    </row>
    <row r="91">
      <c r="A91" s="34"/>
      <c r="B91" s="35"/>
      <c r="C91" s="35"/>
      <c r="D91" s="36"/>
      <c r="E91" s="35"/>
      <c r="F91" s="35"/>
      <c r="G91" s="37"/>
      <c r="H91" s="35"/>
      <c r="I91" s="35"/>
      <c r="J91" s="35"/>
      <c r="K91" s="35"/>
      <c r="L91" s="35"/>
      <c r="M91" s="35"/>
      <c r="N91" s="35"/>
      <c r="O91" s="35"/>
      <c r="P91" s="35"/>
      <c r="Q91" s="35"/>
      <c r="R91" s="35"/>
      <c r="S91" s="35"/>
      <c r="T91" s="35"/>
      <c r="U91" s="35"/>
      <c r="V91" s="35"/>
      <c r="W91" s="35"/>
      <c r="X91" s="35"/>
      <c r="Y91" s="35"/>
      <c r="Z91" s="35"/>
      <c r="AA91" s="35"/>
      <c r="AB91" s="35"/>
      <c r="AC91" s="35"/>
      <c r="AD91" s="35"/>
      <c r="AE91" s="35"/>
      <c r="AF91" s="35"/>
      <c r="AG91" s="35"/>
      <c r="AH91" s="38"/>
    </row>
    <row r="92">
      <c r="A92" s="34"/>
      <c r="B92" s="35"/>
      <c r="C92" s="35"/>
      <c r="D92" s="36"/>
      <c r="E92" s="35"/>
      <c r="F92" s="35"/>
      <c r="G92" s="37"/>
      <c r="H92" s="35"/>
      <c r="I92" s="35"/>
      <c r="J92" s="35"/>
      <c r="K92" s="35"/>
      <c r="L92" s="35"/>
      <c r="M92" s="35"/>
      <c r="N92" s="35"/>
      <c r="O92" s="35"/>
      <c r="P92" s="35"/>
      <c r="Q92" s="35"/>
      <c r="R92" s="35"/>
      <c r="S92" s="35"/>
      <c r="T92" s="35"/>
      <c r="U92" s="35"/>
      <c r="V92" s="35"/>
      <c r="W92" s="35"/>
      <c r="X92" s="35"/>
      <c r="Y92" s="35"/>
      <c r="Z92" s="35"/>
      <c r="AA92" s="35"/>
      <c r="AB92" s="35"/>
      <c r="AC92" s="35"/>
      <c r="AD92" s="35"/>
      <c r="AE92" s="35"/>
      <c r="AF92" s="35"/>
      <c r="AG92" s="35"/>
      <c r="AH92" s="38"/>
    </row>
    <row r="93">
      <c r="A93" s="34"/>
      <c r="B93" s="35"/>
      <c r="C93" s="35"/>
      <c r="D93" s="36"/>
      <c r="E93" s="35"/>
      <c r="F93" s="35"/>
      <c r="G93" s="37"/>
      <c r="H93" s="35"/>
      <c r="I93" s="35"/>
      <c r="J93" s="35"/>
      <c r="K93" s="35"/>
      <c r="L93" s="35"/>
      <c r="M93" s="35"/>
      <c r="N93" s="35"/>
      <c r="O93" s="35"/>
      <c r="P93" s="35"/>
      <c r="Q93" s="35"/>
      <c r="R93" s="35"/>
      <c r="S93" s="35"/>
      <c r="T93" s="35"/>
      <c r="U93" s="35"/>
      <c r="V93" s="35"/>
      <c r="W93" s="35"/>
      <c r="X93" s="35"/>
      <c r="Y93" s="35"/>
      <c r="Z93" s="35"/>
      <c r="AA93" s="35"/>
      <c r="AB93" s="35"/>
      <c r="AC93" s="35"/>
      <c r="AD93" s="35"/>
      <c r="AE93" s="35"/>
      <c r="AF93" s="35"/>
      <c r="AG93" s="35"/>
      <c r="AH93" s="38"/>
    </row>
    <row r="94">
      <c r="A94" s="34"/>
      <c r="B94" s="35"/>
      <c r="C94" s="35"/>
      <c r="D94" s="36"/>
      <c r="E94" s="35"/>
      <c r="F94" s="35"/>
      <c r="G94" s="37"/>
      <c r="H94" s="35"/>
      <c r="I94" s="35"/>
      <c r="J94" s="35"/>
      <c r="K94" s="35"/>
      <c r="L94" s="35"/>
      <c r="M94" s="35"/>
      <c r="N94" s="35"/>
      <c r="O94" s="35"/>
      <c r="P94" s="35"/>
      <c r="Q94" s="35"/>
      <c r="R94" s="35"/>
      <c r="S94" s="35"/>
      <c r="T94" s="35"/>
      <c r="U94" s="35"/>
      <c r="V94" s="35"/>
      <c r="W94" s="35"/>
      <c r="X94" s="35"/>
      <c r="Y94" s="35"/>
      <c r="Z94" s="35"/>
      <c r="AA94" s="35"/>
      <c r="AB94" s="35"/>
      <c r="AC94" s="35"/>
      <c r="AD94" s="35"/>
      <c r="AE94" s="35"/>
      <c r="AF94" s="35"/>
      <c r="AG94" s="35"/>
      <c r="AH94" s="38"/>
    </row>
    <row r="95">
      <c r="A95" s="34"/>
      <c r="B95" s="35"/>
      <c r="C95" s="35"/>
      <c r="D95" s="36"/>
      <c r="E95" s="35"/>
      <c r="F95" s="35"/>
      <c r="G95" s="37"/>
      <c r="H95" s="35"/>
      <c r="I95" s="35"/>
      <c r="J95" s="35"/>
      <c r="K95" s="35"/>
      <c r="L95" s="35"/>
      <c r="M95" s="35"/>
      <c r="N95" s="35"/>
      <c r="O95" s="35"/>
      <c r="P95" s="35"/>
      <c r="Q95" s="35"/>
      <c r="R95" s="35"/>
      <c r="S95" s="35"/>
      <c r="T95" s="35"/>
      <c r="U95" s="35"/>
      <c r="V95" s="35"/>
      <c r="W95" s="35"/>
      <c r="X95" s="35"/>
      <c r="Y95" s="35"/>
      <c r="Z95" s="35"/>
      <c r="AA95" s="35"/>
      <c r="AB95" s="35"/>
      <c r="AC95" s="35"/>
      <c r="AD95" s="35"/>
      <c r="AE95" s="35"/>
      <c r="AF95" s="35"/>
      <c r="AG95" s="35"/>
      <c r="AH95" s="38"/>
    </row>
    <row r="96">
      <c r="A96" s="34"/>
      <c r="B96" s="35"/>
      <c r="C96" s="35"/>
      <c r="D96" s="36"/>
      <c r="E96" s="35"/>
      <c r="F96" s="35"/>
      <c r="G96" s="37"/>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38"/>
    </row>
    <row r="97">
      <c r="A97" s="34"/>
      <c r="B97" s="35"/>
      <c r="C97" s="35"/>
      <c r="D97" s="36"/>
      <c r="E97" s="35"/>
      <c r="F97" s="35"/>
      <c r="G97" s="37"/>
      <c r="H97" s="35"/>
      <c r="I97" s="35"/>
      <c r="J97" s="35"/>
      <c r="K97" s="35"/>
      <c r="L97" s="35"/>
      <c r="M97" s="35"/>
      <c r="N97" s="35"/>
      <c r="O97" s="35"/>
      <c r="P97" s="35"/>
      <c r="Q97" s="35"/>
      <c r="R97" s="35"/>
      <c r="S97" s="35"/>
      <c r="T97" s="35"/>
      <c r="U97" s="35"/>
      <c r="V97" s="35"/>
      <c r="W97" s="35"/>
      <c r="X97" s="35"/>
      <c r="Y97" s="35"/>
      <c r="Z97" s="35"/>
      <c r="AA97" s="35"/>
      <c r="AB97" s="35"/>
      <c r="AC97" s="35"/>
      <c r="AD97" s="35"/>
      <c r="AE97" s="35"/>
      <c r="AF97" s="35"/>
      <c r="AG97" s="35"/>
      <c r="AH97" s="38"/>
    </row>
    <row r="98">
      <c r="A98" s="34"/>
      <c r="B98" s="35"/>
      <c r="C98" s="35"/>
      <c r="D98" s="36"/>
      <c r="E98" s="35"/>
      <c r="F98" s="35"/>
      <c r="G98" s="37"/>
      <c r="H98" s="35"/>
      <c r="I98" s="35"/>
      <c r="J98" s="35"/>
      <c r="K98" s="35"/>
      <c r="L98" s="35"/>
      <c r="M98" s="35"/>
      <c r="N98" s="35"/>
      <c r="O98" s="35"/>
      <c r="P98" s="35"/>
      <c r="Q98" s="35"/>
      <c r="R98" s="35"/>
      <c r="S98" s="35"/>
      <c r="T98" s="35"/>
      <c r="U98" s="35"/>
      <c r="V98" s="35"/>
      <c r="W98" s="35"/>
      <c r="X98" s="35"/>
      <c r="Y98" s="35"/>
      <c r="Z98" s="35"/>
      <c r="AA98" s="35"/>
      <c r="AB98" s="35"/>
      <c r="AC98" s="35"/>
      <c r="AD98" s="35"/>
      <c r="AE98" s="35"/>
      <c r="AF98" s="35"/>
      <c r="AG98" s="35"/>
      <c r="AH98" s="38"/>
    </row>
    <row r="99">
      <c r="A99" s="34"/>
      <c r="B99" s="35"/>
      <c r="C99" s="35"/>
      <c r="D99" s="36"/>
      <c r="E99" s="35"/>
      <c r="F99" s="35"/>
      <c r="G99" s="37"/>
      <c r="H99" s="35"/>
      <c r="I99" s="35"/>
      <c r="J99" s="35"/>
      <c r="K99" s="35"/>
      <c r="L99" s="35"/>
      <c r="M99" s="35"/>
      <c r="N99" s="35"/>
      <c r="O99" s="35"/>
      <c r="P99" s="35"/>
      <c r="Q99" s="35"/>
      <c r="R99" s="35"/>
      <c r="S99" s="35"/>
      <c r="T99" s="35"/>
      <c r="U99" s="35"/>
      <c r="V99" s="35"/>
      <c r="W99" s="35"/>
      <c r="X99" s="35"/>
      <c r="Y99" s="35"/>
      <c r="Z99" s="35"/>
      <c r="AA99" s="35"/>
      <c r="AB99" s="35"/>
      <c r="AC99" s="35"/>
      <c r="AD99" s="35"/>
      <c r="AE99" s="35"/>
      <c r="AF99" s="35"/>
      <c r="AG99" s="35"/>
      <c r="AH99" s="38"/>
    </row>
    <row r="100">
      <c r="A100" s="34"/>
      <c r="B100" s="35"/>
      <c r="C100" s="35"/>
      <c r="D100" s="36"/>
      <c r="E100" s="35"/>
      <c r="F100" s="35"/>
      <c r="G100" s="37"/>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c r="AF100" s="35"/>
      <c r="AG100" s="35"/>
      <c r="AH100" s="38"/>
    </row>
    <row r="101">
      <c r="A101" s="34"/>
      <c r="B101" s="35"/>
      <c r="C101" s="35"/>
      <c r="D101" s="36"/>
      <c r="E101" s="35"/>
      <c r="F101" s="35"/>
      <c r="G101" s="37"/>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c r="AF101" s="35"/>
      <c r="AG101" s="35"/>
      <c r="AH101" s="38"/>
    </row>
    <row r="102">
      <c r="A102" s="34"/>
      <c r="B102" s="35"/>
      <c r="C102" s="35"/>
      <c r="D102" s="36"/>
      <c r="E102" s="35"/>
      <c r="F102" s="35"/>
      <c r="G102" s="37"/>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35"/>
      <c r="AH102" s="38"/>
    </row>
    <row r="103">
      <c r="A103" s="34"/>
      <c r="B103" s="35"/>
      <c r="C103" s="35"/>
      <c r="D103" s="36"/>
      <c r="E103" s="35"/>
      <c r="F103" s="35"/>
      <c r="G103" s="37"/>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35"/>
      <c r="AH103" s="38"/>
    </row>
    <row r="104">
      <c r="A104" s="34"/>
      <c r="B104" s="35"/>
      <c r="C104" s="35"/>
      <c r="D104" s="36"/>
      <c r="E104" s="35"/>
      <c r="F104" s="35"/>
      <c r="G104" s="37"/>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c r="AF104" s="35"/>
      <c r="AG104" s="35"/>
      <c r="AH104" s="38"/>
    </row>
    <row r="105">
      <c r="A105" s="34"/>
      <c r="B105" s="35"/>
      <c r="C105" s="35"/>
      <c r="D105" s="36"/>
      <c r="E105" s="35"/>
      <c r="F105" s="35"/>
      <c r="G105" s="37"/>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c r="AF105" s="35"/>
      <c r="AG105" s="35"/>
      <c r="AH105" s="38"/>
    </row>
    <row r="106">
      <c r="A106" s="34"/>
      <c r="B106" s="35"/>
      <c r="C106" s="35"/>
      <c r="D106" s="36"/>
      <c r="E106" s="35"/>
      <c r="F106" s="35"/>
      <c r="G106" s="37"/>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c r="AF106" s="35"/>
      <c r="AG106" s="35"/>
      <c r="AH106" s="38"/>
    </row>
    <row r="107">
      <c r="A107" s="34"/>
      <c r="B107" s="35"/>
      <c r="C107" s="35"/>
      <c r="D107" s="36"/>
      <c r="E107" s="35"/>
      <c r="F107" s="35"/>
      <c r="G107" s="37"/>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c r="AF107" s="35"/>
      <c r="AG107" s="35"/>
      <c r="AH107" s="38"/>
    </row>
    <row r="108">
      <c r="A108" s="34"/>
      <c r="B108" s="35"/>
      <c r="C108" s="35"/>
      <c r="D108" s="36"/>
      <c r="E108" s="35"/>
      <c r="F108" s="35"/>
      <c r="G108" s="37"/>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c r="AF108" s="35"/>
      <c r="AG108" s="35"/>
      <c r="AH108" s="38"/>
    </row>
    <row r="109">
      <c r="A109" s="34"/>
      <c r="B109" s="35"/>
      <c r="C109" s="35"/>
      <c r="D109" s="36"/>
      <c r="E109" s="35"/>
      <c r="F109" s="35"/>
      <c r="G109" s="37"/>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c r="AF109" s="35"/>
      <c r="AG109" s="35"/>
      <c r="AH109" s="38"/>
    </row>
    <row r="110">
      <c r="A110" s="34"/>
      <c r="B110" s="35"/>
      <c r="C110" s="35"/>
      <c r="D110" s="36"/>
      <c r="E110" s="35"/>
      <c r="F110" s="35"/>
      <c r="G110" s="37"/>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c r="AE110" s="35"/>
      <c r="AF110" s="35"/>
      <c r="AG110" s="35"/>
      <c r="AH110" s="38"/>
    </row>
    <row r="111">
      <c r="A111" s="34"/>
      <c r="B111" s="35"/>
      <c r="C111" s="35"/>
      <c r="D111" s="36"/>
      <c r="E111" s="35"/>
      <c r="F111" s="35"/>
      <c r="G111" s="37"/>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c r="AE111" s="35"/>
      <c r="AF111" s="35"/>
      <c r="AG111" s="35"/>
      <c r="AH111" s="38"/>
    </row>
    <row r="112">
      <c r="A112" s="34"/>
      <c r="B112" s="35"/>
      <c r="C112" s="35"/>
      <c r="D112" s="36"/>
      <c r="E112" s="35"/>
      <c r="F112" s="35"/>
      <c r="G112" s="37"/>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c r="AE112" s="35"/>
      <c r="AF112" s="35"/>
      <c r="AG112" s="35"/>
      <c r="AH112" s="38"/>
    </row>
    <row r="113">
      <c r="A113" s="34"/>
      <c r="B113" s="35"/>
      <c r="C113" s="35"/>
      <c r="D113" s="36"/>
      <c r="E113" s="35"/>
      <c r="F113" s="35"/>
      <c r="G113" s="37"/>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c r="AF113" s="35"/>
      <c r="AG113" s="35"/>
      <c r="AH113" s="38"/>
    </row>
    <row r="114">
      <c r="A114" s="34"/>
      <c r="B114" s="35"/>
      <c r="C114" s="35"/>
      <c r="D114" s="36"/>
      <c r="E114" s="35"/>
      <c r="F114" s="35"/>
      <c r="G114" s="37"/>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c r="AE114" s="35"/>
      <c r="AF114" s="35"/>
      <c r="AG114" s="35"/>
      <c r="AH114" s="38"/>
    </row>
    <row r="115">
      <c r="A115" s="34"/>
      <c r="B115" s="35"/>
      <c r="C115" s="35"/>
      <c r="D115" s="36"/>
      <c r="E115" s="35"/>
      <c r="F115" s="35"/>
      <c r="G115" s="37"/>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c r="AE115" s="35"/>
      <c r="AF115" s="35"/>
      <c r="AG115" s="35"/>
      <c r="AH115" s="38"/>
    </row>
    <row r="116">
      <c r="A116" s="34"/>
      <c r="B116" s="35"/>
      <c r="C116" s="35"/>
      <c r="D116" s="36"/>
      <c r="E116" s="35"/>
      <c r="F116" s="35"/>
      <c r="G116" s="37"/>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c r="AE116" s="35"/>
      <c r="AF116" s="35"/>
      <c r="AG116" s="35"/>
      <c r="AH116" s="38"/>
    </row>
    <row r="117">
      <c r="A117" s="34"/>
      <c r="B117" s="35"/>
      <c r="C117" s="35"/>
      <c r="D117" s="36"/>
      <c r="E117" s="35"/>
      <c r="F117" s="35"/>
      <c r="G117" s="37"/>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c r="AF117" s="35"/>
      <c r="AG117" s="35"/>
      <c r="AH117" s="38"/>
    </row>
    <row r="118">
      <c r="A118" s="34"/>
      <c r="B118" s="35"/>
      <c r="C118" s="35"/>
      <c r="D118" s="36"/>
      <c r="E118" s="35"/>
      <c r="F118" s="35"/>
      <c r="G118" s="37"/>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c r="AE118" s="35"/>
      <c r="AF118" s="35"/>
      <c r="AG118" s="35"/>
      <c r="AH118" s="38"/>
    </row>
    <row r="119">
      <c r="A119" s="34"/>
      <c r="B119" s="35"/>
      <c r="C119" s="35"/>
      <c r="D119" s="36"/>
      <c r="E119" s="35"/>
      <c r="F119" s="35"/>
      <c r="G119" s="37"/>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c r="AE119" s="35"/>
      <c r="AF119" s="35"/>
      <c r="AG119" s="35"/>
      <c r="AH119" s="38"/>
    </row>
    <row r="120">
      <c r="A120" s="34"/>
      <c r="B120" s="35"/>
      <c r="C120" s="35"/>
      <c r="D120" s="36"/>
      <c r="E120" s="35"/>
      <c r="F120" s="35"/>
      <c r="G120" s="37"/>
      <c r="H120" s="35"/>
      <c r="I120" s="35"/>
      <c r="J120" s="35"/>
      <c r="K120" s="35"/>
      <c r="L120" s="35"/>
      <c r="M120" s="35"/>
      <c r="N120" s="35"/>
      <c r="O120" s="35"/>
      <c r="P120" s="35"/>
      <c r="Q120" s="35"/>
      <c r="R120" s="35"/>
      <c r="S120" s="35"/>
      <c r="T120" s="35"/>
      <c r="U120" s="35"/>
      <c r="V120" s="35"/>
      <c r="W120" s="35"/>
      <c r="X120" s="35"/>
      <c r="Y120" s="35"/>
      <c r="Z120" s="35"/>
      <c r="AA120" s="35"/>
      <c r="AB120" s="35"/>
      <c r="AC120" s="35"/>
      <c r="AD120" s="35"/>
      <c r="AE120" s="35"/>
      <c r="AF120" s="35"/>
      <c r="AG120" s="35"/>
      <c r="AH120" s="38"/>
    </row>
    <row r="121">
      <c r="A121" s="34"/>
      <c r="B121" s="35"/>
      <c r="C121" s="35"/>
      <c r="D121" s="36"/>
      <c r="E121" s="35"/>
      <c r="F121" s="35"/>
      <c r="G121" s="37"/>
      <c r="H121" s="35"/>
      <c r="I121" s="35"/>
      <c r="J121" s="35"/>
      <c r="K121" s="35"/>
      <c r="L121" s="35"/>
      <c r="M121" s="35"/>
      <c r="N121" s="35"/>
      <c r="O121" s="35"/>
      <c r="P121" s="35"/>
      <c r="Q121" s="35"/>
      <c r="R121" s="35"/>
      <c r="S121" s="35"/>
      <c r="T121" s="35"/>
      <c r="U121" s="35"/>
      <c r="V121" s="35"/>
      <c r="W121" s="35"/>
      <c r="X121" s="35"/>
      <c r="Y121" s="35"/>
      <c r="Z121" s="35"/>
      <c r="AA121" s="35"/>
      <c r="AB121" s="35"/>
      <c r="AC121" s="35"/>
      <c r="AD121" s="35"/>
      <c r="AE121" s="35"/>
      <c r="AF121" s="35"/>
      <c r="AG121" s="35"/>
      <c r="AH121" s="38"/>
    </row>
    <row r="122">
      <c r="A122" s="34"/>
      <c r="B122" s="35"/>
      <c r="C122" s="35"/>
      <c r="D122" s="36"/>
      <c r="E122" s="35"/>
      <c r="F122" s="35"/>
      <c r="G122" s="37"/>
      <c r="H122" s="35"/>
      <c r="I122" s="35"/>
      <c r="J122" s="35"/>
      <c r="K122" s="35"/>
      <c r="L122" s="35"/>
      <c r="M122" s="35"/>
      <c r="N122" s="35"/>
      <c r="O122" s="35"/>
      <c r="P122" s="35"/>
      <c r="Q122" s="35"/>
      <c r="R122" s="35"/>
      <c r="S122" s="35"/>
      <c r="T122" s="35"/>
      <c r="U122" s="35"/>
      <c r="V122" s="35"/>
      <c r="W122" s="35"/>
      <c r="X122" s="35"/>
      <c r="Y122" s="35"/>
      <c r="Z122" s="35"/>
      <c r="AA122" s="35"/>
      <c r="AB122" s="35"/>
      <c r="AC122" s="35"/>
      <c r="AD122" s="35"/>
      <c r="AE122" s="35"/>
      <c r="AF122" s="35"/>
      <c r="AG122" s="35"/>
      <c r="AH122" s="38"/>
    </row>
    <row r="123">
      <c r="A123" s="34"/>
      <c r="B123" s="35"/>
      <c r="C123" s="35"/>
      <c r="D123" s="36"/>
      <c r="E123" s="35"/>
      <c r="F123" s="35"/>
      <c r="G123" s="37"/>
      <c r="H123" s="35"/>
      <c r="I123" s="35"/>
      <c r="J123" s="35"/>
      <c r="K123" s="35"/>
      <c r="L123" s="35"/>
      <c r="M123" s="35"/>
      <c r="N123" s="35"/>
      <c r="O123" s="35"/>
      <c r="P123" s="35"/>
      <c r="Q123" s="35"/>
      <c r="R123" s="35"/>
      <c r="S123" s="35"/>
      <c r="T123" s="35"/>
      <c r="U123" s="35"/>
      <c r="V123" s="35"/>
      <c r="W123" s="35"/>
      <c r="X123" s="35"/>
      <c r="Y123" s="35"/>
      <c r="Z123" s="35"/>
      <c r="AA123" s="35"/>
      <c r="AB123" s="35"/>
      <c r="AC123" s="35"/>
      <c r="AD123" s="35"/>
      <c r="AE123" s="35"/>
      <c r="AF123" s="35"/>
      <c r="AG123" s="35"/>
      <c r="AH123" s="38"/>
    </row>
    <row r="124">
      <c r="A124" s="34"/>
      <c r="B124" s="35"/>
      <c r="C124" s="35"/>
      <c r="D124" s="36"/>
      <c r="E124" s="35"/>
      <c r="F124" s="35"/>
      <c r="G124" s="37"/>
      <c r="H124" s="35"/>
      <c r="I124" s="35"/>
      <c r="J124" s="35"/>
      <c r="K124" s="35"/>
      <c r="L124" s="35"/>
      <c r="M124" s="35"/>
      <c r="N124" s="35"/>
      <c r="O124" s="35"/>
      <c r="P124" s="35"/>
      <c r="Q124" s="35"/>
      <c r="R124" s="35"/>
      <c r="S124" s="35"/>
      <c r="T124" s="35"/>
      <c r="U124" s="35"/>
      <c r="V124" s="35"/>
      <c r="W124" s="35"/>
      <c r="X124" s="35"/>
      <c r="Y124" s="35"/>
      <c r="Z124" s="35"/>
      <c r="AA124" s="35"/>
      <c r="AB124" s="35"/>
      <c r="AC124" s="35"/>
      <c r="AD124" s="35"/>
      <c r="AE124" s="35"/>
      <c r="AF124" s="35"/>
      <c r="AG124" s="35"/>
      <c r="AH124" s="38"/>
    </row>
    <row r="125">
      <c r="A125" s="34"/>
      <c r="B125" s="35"/>
      <c r="C125" s="35"/>
      <c r="D125" s="36"/>
      <c r="E125" s="35"/>
      <c r="F125" s="35"/>
      <c r="G125" s="37"/>
      <c r="H125" s="35"/>
      <c r="I125" s="35"/>
      <c r="J125" s="35"/>
      <c r="K125" s="35"/>
      <c r="L125" s="35"/>
      <c r="M125" s="35"/>
      <c r="N125" s="35"/>
      <c r="O125" s="35"/>
      <c r="P125" s="35"/>
      <c r="Q125" s="35"/>
      <c r="R125" s="35"/>
      <c r="S125" s="35"/>
      <c r="T125" s="35"/>
      <c r="U125" s="35"/>
      <c r="V125" s="35"/>
      <c r="W125" s="35"/>
      <c r="X125" s="35"/>
      <c r="Y125" s="35"/>
      <c r="Z125" s="35"/>
      <c r="AA125" s="35"/>
      <c r="AB125" s="35"/>
      <c r="AC125" s="35"/>
      <c r="AD125" s="35"/>
      <c r="AE125" s="35"/>
      <c r="AF125" s="35"/>
      <c r="AG125" s="35"/>
      <c r="AH125" s="38"/>
    </row>
    <row r="126">
      <c r="A126" s="34"/>
      <c r="B126" s="35"/>
      <c r="C126" s="35"/>
      <c r="D126" s="36"/>
      <c r="E126" s="35"/>
      <c r="F126" s="35"/>
      <c r="G126" s="37"/>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c r="AF126" s="35"/>
      <c r="AG126" s="35"/>
      <c r="AH126" s="38"/>
    </row>
    <row r="127">
      <c r="A127" s="34"/>
      <c r="B127" s="35"/>
      <c r="C127" s="35"/>
      <c r="D127" s="36"/>
      <c r="E127" s="35"/>
      <c r="F127" s="35"/>
      <c r="G127" s="37"/>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c r="AF127" s="35"/>
      <c r="AG127" s="35"/>
      <c r="AH127" s="38"/>
    </row>
    <row r="128">
      <c r="A128" s="34"/>
      <c r="B128" s="35"/>
      <c r="C128" s="35"/>
      <c r="D128" s="36"/>
      <c r="E128" s="35"/>
      <c r="F128" s="35"/>
      <c r="G128" s="37"/>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c r="AF128" s="35"/>
      <c r="AG128" s="35"/>
      <c r="AH128" s="38"/>
    </row>
    <row r="129">
      <c r="A129" s="34"/>
      <c r="B129" s="35"/>
      <c r="C129" s="35"/>
      <c r="D129" s="36"/>
      <c r="E129" s="35"/>
      <c r="F129" s="35"/>
      <c r="G129" s="37"/>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c r="AF129" s="35"/>
      <c r="AG129" s="35"/>
      <c r="AH129" s="38"/>
    </row>
    <row r="130">
      <c r="A130" s="34"/>
      <c r="B130" s="35"/>
      <c r="C130" s="35"/>
      <c r="D130" s="36"/>
      <c r="E130" s="35"/>
      <c r="F130" s="35"/>
      <c r="G130" s="37"/>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
      <c r="AF130" s="35"/>
      <c r="AG130" s="35"/>
      <c r="AH130" s="38"/>
    </row>
    <row r="131">
      <c r="A131" s="34"/>
      <c r="B131" s="35"/>
      <c r="C131" s="35"/>
      <c r="D131" s="36"/>
      <c r="E131" s="35"/>
      <c r="F131" s="35"/>
      <c r="G131" s="37"/>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c r="AF131" s="35"/>
      <c r="AG131" s="35"/>
      <c r="AH131" s="38"/>
    </row>
    <row r="132">
      <c r="A132" s="34"/>
      <c r="B132" s="35"/>
      <c r="C132" s="35"/>
      <c r="D132" s="36"/>
      <c r="E132" s="35"/>
      <c r="F132" s="35"/>
      <c r="G132" s="37"/>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c r="AF132" s="35"/>
      <c r="AG132" s="35"/>
      <c r="AH132" s="38"/>
    </row>
    <row r="133">
      <c r="A133" s="34"/>
      <c r="B133" s="35"/>
      <c r="C133" s="35"/>
      <c r="D133" s="36"/>
      <c r="E133" s="35"/>
      <c r="F133" s="35"/>
      <c r="G133" s="37"/>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c r="AE133" s="35"/>
      <c r="AF133" s="35"/>
      <c r="AG133" s="35"/>
      <c r="AH133" s="38"/>
    </row>
    <row r="134">
      <c r="A134" s="34"/>
      <c r="B134" s="35"/>
      <c r="C134" s="35"/>
      <c r="D134" s="36"/>
      <c r="E134" s="35"/>
      <c r="F134" s="35"/>
      <c r="G134" s="37"/>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c r="AF134" s="35"/>
      <c r="AG134" s="35"/>
      <c r="AH134" s="38"/>
    </row>
    <row r="135">
      <c r="A135" s="34"/>
      <c r="B135" s="35"/>
      <c r="C135" s="35"/>
      <c r="D135" s="36"/>
      <c r="E135" s="35"/>
      <c r="F135" s="35"/>
      <c r="G135" s="37"/>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c r="AF135" s="35"/>
      <c r="AG135" s="35"/>
      <c r="AH135" s="38"/>
    </row>
    <row r="136">
      <c r="A136" s="34"/>
      <c r="B136" s="35"/>
      <c r="C136" s="35"/>
      <c r="D136" s="36"/>
      <c r="E136" s="35"/>
      <c r="F136" s="35"/>
      <c r="G136" s="37"/>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c r="AF136" s="35"/>
      <c r="AG136" s="35"/>
      <c r="AH136" s="38"/>
    </row>
    <row r="137">
      <c r="A137" s="34"/>
      <c r="B137" s="35"/>
      <c r="C137" s="35"/>
      <c r="D137" s="36"/>
      <c r="E137" s="35"/>
      <c r="F137" s="35"/>
      <c r="G137" s="37"/>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c r="AF137" s="35"/>
      <c r="AG137" s="35"/>
      <c r="AH137" s="38"/>
    </row>
    <row r="138">
      <c r="A138" s="34"/>
      <c r="B138" s="35"/>
      <c r="C138" s="35"/>
      <c r="D138" s="36"/>
      <c r="E138" s="35"/>
      <c r="F138" s="35"/>
      <c r="G138" s="37"/>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c r="AF138" s="35"/>
      <c r="AG138" s="35"/>
      <c r="AH138" s="38"/>
    </row>
    <row r="139">
      <c r="A139" s="34"/>
      <c r="B139" s="35"/>
      <c r="C139" s="35"/>
      <c r="D139" s="36"/>
      <c r="E139" s="35"/>
      <c r="F139" s="35"/>
      <c r="G139" s="37"/>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c r="AE139" s="35"/>
      <c r="AF139" s="35"/>
      <c r="AG139" s="35"/>
      <c r="AH139" s="38"/>
    </row>
    <row r="140">
      <c r="A140" s="34"/>
      <c r="B140" s="35"/>
      <c r="C140" s="35"/>
      <c r="D140" s="36"/>
      <c r="E140" s="35"/>
      <c r="F140" s="35"/>
      <c r="G140" s="37"/>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c r="AF140" s="35"/>
      <c r="AG140" s="35"/>
      <c r="AH140" s="38"/>
    </row>
    <row r="141">
      <c r="A141" s="34"/>
      <c r="B141" s="35"/>
      <c r="C141" s="35"/>
      <c r="D141" s="36"/>
      <c r="E141" s="35"/>
      <c r="F141" s="35"/>
      <c r="G141" s="37"/>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c r="AE141" s="35"/>
      <c r="AF141" s="35"/>
      <c r="AG141" s="35"/>
      <c r="AH141" s="38"/>
    </row>
    <row r="142">
      <c r="A142" s="34"/>
      <c r="B142" s="35"/>
      <c r="C142" s="35"/>
      <c r="D142" s="36"/>
      <c r="E142" s="35"/>
      <c r="F142" s="35"/>
      <c r="G142" s="37"/>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c r="AE142" s="35"/>
      <c r="AF142" s="35"/>
      <c r="AG142" s="35"/>
      <c r="AH142" s="38"/>
    </row>
    <row r="143">
      <c r="A143" s="34"/>
      <c r="B143" s="35"/>
      <c r="C143" s="35"/>
      <c r="D143" s="36"/>
      <c r="E143" s="35"/>
      <c r="F143" s="35"/>
      <c r="G143" s="37"/>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c r="AE143" s="35"/>
      <c r="AF143" s="35"/>
      <c r="AG143" s="35"/>
      <c r="AH143" s="38"/>
    </row>
    <row r="144">
      <c r="A144" s="34"/>
      <c r="B144" s="35"/>
      <c r="C144" s="35"/>
      <c r="D144" s="36"/>
      <c r="E144" s="35"/>
      <c r="F144" s="35"/>
      <c r="G144" s="37"/>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c r="AF144" s="35"/>
      <c r="AG144" s="35"/>
      <c r="AH144" s="38"/>
    </row>
    <row r="145">
      <c r="A145" s="34"/>
      <c r="B145" s="35"/>
      <c r="C145" s="35"/>
      <c r="D145" s="36"/>
      <c r="E145" s="35"/>
      <c r="F145" s="35"/>
      <c r="G145" s="37"/>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c r="AE145" s="35"/>
      <c r="AF145" s="35"/>
      <c r="AG145" s="35"/>
      <c r="AH145" s="38"/>
    </row>
    <row r="146">
      <c r="A146" s="34"/>
      <c r="B146" s="35"/>
      <c r="C146" s="35"/>
      <c r="D146" s="36"/>
      <c r="E146" s="35"/>
      <c r="F146" s="35"/>
      <c r="G146" s="37"/>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c r="AE146" s="35"/>
      <c r="AF146" s="35"/>
      <c r="AG146" s="35"/>
      <c r="AH146" s="38"/>
    </row>
    <row r="147">
      <c r="A147" s="34"/>
      <c r="B147" s="35"/>
      <c r="C147" s="35"/>
      <c r="D147" s="36"/>
      <c r="E147" s="35"/>
      <c r="F147" s="35"/>
      <c r="G147" s="37"/>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c r="AE147" s="35"/>
      <c r="AF147" s="35"/>
      <c r="AG147" s="35"/>
      <c r="AH147" s="38"/>
    </row>
    <row r="148">
      <c r="A148" s="34"/>
      <c r="B148" s="35"/>
      <c r="C148" s="35"/>
      <c r="D148" s="36"/>
      <c r="E148" s="35"/>
      <c r="F148" s="35"/>
      <c r="G148" s="37"/>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c r="AF148" s="35"/>
      <c r="AG148" s="35"/>
      <c r="AH148" s="38"/>
    </row>
    <row r="149">
      <c r="A149" s="34"/>
      <c r="B149" s="35"/>
      <c r="C149" s="35"/>
      <c r="D149" s="36"/>
      <c r="E149" s="35"/>
      <c r="F149" s="35"/>
      <c r="G149" s="37"/>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c r="AE149" s="35"/>
      <c r="AF149" s="35"/>
      <c r="AG149" s="35"/>
      <c r="AH149" s="38"/>
    </row>
    <row r="150">
      <c r="A150" s="34"/>
      <c r="B150" s="35"/>
      <c r="C150" s="35"/>
      <c r="D150" s="36"/>
      <c r="E150" s="35"/>
      <c r="F150" s="35"/>
      <c r="G150" s="37"/>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c r="AE150" s="35"/>
      <c r="AF150" s="35"/>
      <c r="AG150" s="35"/>
      <c r="AH150" s="38"/>
    </row>
    <row r="151">
      <c r="A151" s="34"/>
      <c r="B151" s="35"/>
      <c r="C151" s="35"/>
      <c r="D151" s="36"/>
      <c r="E151" s="35"/>
      <c r="F151" s="35"/>
      <c r="G151" s="37"/>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c r="AE151" s="35"/>
      <c r="AF151" s="35"/>
      <c r="AG151" s="35"/>
      <c r="AH151" s="38"/>
    </row>
    <row r="152">
      <c r="A152" s="34"/>
      <c r="B152" s="35"/>
      <c r="C152" s="35"/>
      <c r="D152" s="36"/>
      <c r="E152" s="35"/>
      <c r="F152" s="35"/>
      <c r="G152" s="37"/>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c r="AE152" s="35"/>
      <c r="AF152" s="35"/>
      <c r="AG152" s="35"/>
      <c r="AH152" s="38"/>
    </row>
    <row r="153">
      <c r="A153" s="34"/>
      <c r="B153" s="35"/>
      <c r="C153" s="35"/>
      <c r="D153" s="36"/>
      <c r="E153" s="35"/>
      <c r="F153" s="35"/>
      <c r="G153" s="37"/>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c r="AE153" s="35"/>
      <c r="AF153" s="35"/>
      <c r="AG153" s="35"/>
      <c r="AH153" s="38"/>
    </row>
    <row r="154">
      <c r="A154" s="34"/>
      <c r="B154" s="35"/>
      <c r="C154" s="35"/>
      <c r="D154" s="36"/>
      <c r="E154" s="35"/>
      <c r="F154" s="35"/>
      <c r="G154" s="37"/>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c r="AE154" s="35"/>
      <c r="AF154" s="35"/>
      <c r="AG154" s="35"/>
      <c r="AH154" s="38"/>
    </row>
    <row r="155">
      <c r="A155" s="34"/>
      <c r="B155" s="35"/>
      <c r="C155" s="35"/>
      <c r="D155" s="36"/>
      <c r="E155" s="35"/>
      <c r="F155" s="35"/>
      <c r="G155" s="37"/>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c r="AE155" s="35"/>
      <c r="AF155" s="35"/>
      <c r="AG155" s="35"/>
      <c r="AH155" s="38"/>
    </row>
    <row r="156">
      <c r="A156" s="34"/>
      <c r="B156" s="35"/>
      <c r="C156" s="35"/>
      <c r="D156" s="36"/>
      <c r="E156" s="35"/>
      <c r="F156" s="35"/>
      <c r="G156" s="37"/>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c r="AE156" s="35"/>
      <c r="AF156" s="35"/>
      <c r="AG156" s="35"/>
      <c r="AH156" s="38"/>
    </row>
    <row r="157">
      <c r="A157" s="34"/>
      <c r="B157" s="35"/>
      <c r="C157" s="35"/>
      <c r="D157" s="36"/>
      <c r="E157" s="35"/>
      <c r="F157" s="35"/>
      <c r="G157" s="37"/>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c r="AE157" s="35"/>
      <c r="AF157" s="35"/>
      <c r="AG157" s="35"/>
      <c r="AH157" s="38"/>
    </row>
    <row r="158">
      <c r="A158" s="34"/>
      <c r="B158" s="35"/>
      <c r="C158" s="35"/>
      <c r="D158" s="36"/>
      <c r="E158" s="35"/>
      <c r="F158" s="35"/>
      <c r="G158" s="37"/>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c r="AE158" s="35"/>
      <c r="AF158" s="35"/>
      <c r="AG158" s="35"/>
      <c r="AH158" s="38"/>
    </row>
    <row r="159">
      <c r="A159" s="34"/>
      <c r="B159" s="35"/>
      <c r="C159" s="35"/>
      <c r="D159" s="36"/>
      <c r="E159" s="35"/>
      <c r="F159" s="35"/>
      <c r="G159" s="37"/>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c r="AE159" s="35"/>
      <c r="AF159" s="35"/>
      <c r="AG159" s="35"/>
      <c r="AH159" s="38"/>
    </row>
    <row r="160">
      <c r="A160" s="34"/>
      <c r="B160" s="35"/>
      <c r="C160" s="35"/>
      <c r="D160" s="36"/>
      <c r="E160" s="35"/>
      <c r="F160" s="35"/>
      <c r="G160" s="37"/>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c r="AE160" s="35"/>
      <c r="AF160" s="35"/>
      <c r="AG160" s="35"/>
      <c r="AH160" s="38"/>
    </row>
    <row r="161">
      <c r="A161" s="34"/>
      <c r="B161" s="35"/>
      <c r="C161" s="35"/>
      <c r="D161" s="36"/>
      <c r="E161" s="35"/>
      <c r="F161" s="35"/>
      <c r="G161" s="37"/>
      <c r="H161" s="35"/>
      <c r="I161" s="35"/>
      <c r="J161" s="35"/>
      <c r="K161" s="35"/>
      <c r="L161" s="35"/>
      <c r="M161" s="35"/>
      <c r="N161" s="35"/>
      <c r="O161" s="35"/>
      <c r="P161" s="35"/>
      <c r="Q161" s="35"/>
      <c r="R161" s="35"/>
      <c r="S161" s="35"/>
      <c r="T161" s="35"/>
      <c r="U161" s="35"/>
      <c r="V161" s="35"/>
      <c r="W161" s="35"/>
      <c r="X161" s="35"/>
      <c r="Y161" s="35"/>
      <c r="Z161" s="35"/>
      <c r="AA161" s="35"/>
      <c r="AB161" s="35"/>
      <c r="AC161" s="35"/>
      <c r="AD161" s="35"/>
      <c r="AE161" s="35"/>
      <c r="AF161" s="35"/>
      <c r="AG161" s="35"/>
      <c r="AH161" s="38"/>
    </row>
    <row r="162">
      <c r="A162" s="34"/>
      <c r="B162" s="35"/>
      <c r="C162" s="35"/>
      <c r="D162" s="36"/>
      <c r="E162" s="35"/>
      <c r="F162" s="35"/>
      <c r="G162" s="37"/>
      <c r="H162" s="35"/>
      <c r="I162" s="35"/>
      <c r="J162" s="35"/>
      <c r="K162" s="35"/>
      <c r="L162" s="35"/>
      <c r="M162" s="35"/>
      <c r="N162" s="35"/>
      <c r="O162" s="35"/>
      <c r="P162" s="35"/>
      <c r="Q162" s="35"/>
      <c r="R162" s="35"/>
      <c r="S162" s="35"/>
      <c r="T162" s="35"/>
      <c r="U162" s="35"/>
      <c r="V162" s="35"/>
      <c r="W162" s="35"/>
      <c r="X162" s="35"/>
      <c r="Y162" s="35"/>
      <c r="Z162" s="35"/>
      <c r="AA162" s="35"/>
      <c r="AB162" s="35"/>
      <c r="AC162" s="35"/>
      <c r="AD162" s="35"/>
      <c r="AE162" s="35"/>
      <c r="AF162" s="35"/>
      <c r="AG162" s="35"/>
      <c r="AH162" s="38"/>
    </row>
    <row r="163">
      <c r="A163" s="34"/>
      <c r="B163" s="35"/>
      <c r="C163" s="35"/>
      <c r="D163" s="36"/>
      <c r="E163" s="35"/>
      <c r="F163" s="35"/>
      <c r="G163" s="37"/>
      <c r="H163" s="35"/>
      <c r="I163" s="35"/>
      <c r="J163" s="35"/>
      <c r="K163" s="35"/>
      <c r="L163" s="35"/>
      <c r="M163" s="35"/>
      <c r="N163" s="35"/>
      <c r="O163" s="35"/>
      <c r="P163" s="35"/>
      <c r="Q163" s="35"/>
      <c r="R163" s="35"/>
      <c r="S163" s="35"/>
      <c r="T163" s="35"/>
      <c r="U163" s="35"/>
      <c r="V163" s="35"/>
      <c r="W163" s="35"/>
      <c r="X163" s="35"/>
      <c r="Y163" s="35"/>
      <c r="Z163" s="35"/>
      <c r="AA163" s="35"/>
      <c r="AB163" s="35"/>
      <c r="AC163" s="35"/>
      <c r="AD163" s="35"/>
      <c r="AE163" s="35"/>
      <c r="AF163" s="35"/>
      <c r="AG163" s="35"/>
      <c r="AH163" s="38"/>
    </row>
    <row r="164">
      <c r="A164" s="34"/>
      <c r="B164" s="35"/>
      <c r="C164" s="35"/>
      <c r="D164" s="36"/>
      <c r="E164" s="35"/>
      <c r="F164" s="35"/>
      <c r="G164" s="37"/>
      <c r="H164" s="35"/>
      <c r="I164" s="35"/>
      <c r="J164" s="35"/>
      <c r="K164" s="35"/>
      <c r="L164" s="35"/>
      <c r="M164" s="35"/>
      <c r="N164" s="35"/>
      <c r="O164" s="35"/>
      <c r="P164" s="35"/>
      <c r="Q164" s="35"/>
      <c r="R164" s="35"/>
      <c r="S164" s="35"/>
      <c r="T164" s="35"/>
      <c r="U164" s="35"/>
      <c r="V164" s="35"/>
      <c r="W164" s="35"/>
      <c r="X164" s="35"/>
      <c r="Y164" s="35"/>
      <c r="Z164" s="35"/>
      <c r="AA164" s="35"/>
      <c r="AB164" s="35"/>
      <c r="AC164" s="35"/>
      <c r="AD164" s="35"/>
      <c r="AE164" s="35"/>
      <c r="AF164" s="35"/>
      <c r="AG164" s="35"/>
      <c r="AH164" s="38"/>
    </row>
    <row r="165">
      <c r="A165" s="34"/>
      <c r="B165" s="35"/>
      <c r="C165" s="35"/>
      <c r="D165" s="36"/>
      <c r="E165" s="35"/>
      <c r="F165" s="35"/>
      <c r="G165" s="37"/>
      <c r="H165" s="35"/>
      <c r="I165" s="35"/>
      <c r="J165" s="35"/>
      <c r="K165" s="35"/>
      <c r="L165" s="35"/>
      <c r="M165" s="35"/>
      <c r="N165" s="35"/>
      <c r="O165" s="35"/>
      <c r="P165" s="35"/>
      <c r="Q165" s="35"/>
      <c r="R165" s="35"/>
      <c r="S165" s="35"/>
      <c r="T165" s="35"/>
      <c r="U165" s="35"/>
      <c r="V165" s="35"/>
      <c r="W165" s="35"/>
      <c r="X165" s="35"/>
      <c r="Y165" s="35"/>
      <c r="Z165" s="35"/>
      <c r="AA165" s="35"/>
      <c r="AB165" s="35"/>
      <c r="AC165" s="35"/>
      <c r="AD165" s="35"/>
      <c r="AE165" s="35"/>
      <c r="AF165" s="35"/>
      <c r="AG165" s="35"/>
      <c r="AH165" s="38"/>
    </row>
    <row r="166">
      <c r="A166" s="34"/>
      <c r="B166" s="35"/>
      <c r="C166" s="35"/>
      <c r="D166" s="36"/>
      <c r="E166" s="35"/>
      <c r="F166" s="35"/>
      <c r="G166" s="37"/>
      <c r="H166" s="35"/>
      <c r="I166" s="35"/>
      <c r="J166" s="35"/>
      <c r="K166" s="35"/>
      <c r="L166" s="35"/>
      <c r="M166" s="35"/>
      <c r="N166" s="35"/>
      <c r="O166" s="35"/>
      <c r="P166" s="35"/>
      <c r="Q166" s="35"/>
      <c r="R166" s="35"/>
      <c r="S166" s="35"/>
      <c r="T166" s="35"/>
      <c r="U166" s="35"/>
      <c r="V166" s="35"/>
      <c r="W166" s="35"/>
      <c r="X166" s="35"/>
      <c r="Y166" s="35"/>
      <c r="Z166" s="35"/>
      <c r="AA166" s="35"/>
      <c r="AB166" s="35"/>
      <c r="AC166" s="35"/>
      <c r="AD166" s="35"/>
      <c r="AE166" s="35"/>
      <c r="AF166" s="35"/>
      <c r="AG166" s="35"/>
      <c r="AH166" s="38"/>
    </row>
    <row r="167">
      <c r="A167" s="34"/>
      <c r="B167" s="35"/>
      <c r="C167" s="35"/>
      <c r="D167" s="36"/>
      <c r="E167" s="35"/>
      <c r="F167" s="35"/>
      <c r="G167" s="37"/>
      <c r="H167" s="35"/>
      <c r="I167" s="35"/>
      <c r="J167" s="35"/>
      <c r="K167" s="35"/>
      <c r="L167" s="35"/>
      <c r="M167" s="35"/>
      <c r="N167" s="35"/>
      <c r="O167" s="35"/>
      <c r="P167" s="35"/>
      <c r="Q167" s="35"/>
      <c r="R167" s="35"/>
      <c r="S167" s="35"/>
      <c r="T167" s="35"/>
      <c r="U167" s="35"/>
      <c r="V167" s="35"/>
      <c r="W167" s="35"/>
      <c r="X167" s="35"/>
      <c r="Y167" s="35"/>
      <c r="Z167" s="35"/>
      <c r="AA167" s="35"/>
      <c r="AB167" s="35"/>
      <c r="AC167" s="35"/>
      <c r="AD167" s="35"/>
      <c r="AE167" s="35"/>
      <c r="AF167" s="35"/>
      <c r="AG167" s="35"/>
      <c r="AH167" s="38"/>
    </row>
    <row r="168">
      <c r="A168" s="34"/>
      <c r="B168" s="35"/>
      <c r="C168" s="35"/>
      <c r="D168" s="36"/>
      <c r="E168" s="35"/>
      <c r="F168" s="35"/>
      <c r="G168" s="37"/>
      <c r="H168" s="35"/>
      <c r="I168" s="35"/>
      <c r="J168" s="35"/>
      <c r="K168" s="35"/>
      <c r="L168" s="35"/>
      <c r="M168" s="35"/>
      <c r="N168" s="35"/>
      <c r="O168" s="35"/>
      <c r="P168" s="35"/>
      <c r="Q168" s="35"/>
      <c r="R168" s="35"/>
      <c r="S168" s="35"/>
      <c r="T168" s="35"/>
      <c r="U168" s="35"/>
      <c r="V168" s="35"/>
      <c r="W168" s="35"/>
      <c r="X168" s="35"/>
      <c r="Y168" s="35"/>
      <c r="Z168" s="35"/>
      <c r="AA168" s="35"/>
      <c r="AB168" s="35"/>
      <c r="AC168" s="35"/>
      <c r="AD168" s="35"/>
      <c r="AE168" s="35"/>
      <c r="AF168" s="35"/>
      <c r="AG168" s="35"/>
      <c r="AH168" s="38"/>
    </row>
    <row r="169">
      <c r="A169" s="34"/>
      <c r="B169" s="35"/>
      <c r="C169" s="35"/>
      <c r="D169" s="36"/>
      <c r="E169" s="35"/>
      <c r="F169" s="35"/>
      <c r="G169" s="37"/>
      <c r="H169" s="35"/>
      <c r="I169" s="35"/>
      <c r="J169" s="35"/>
      <c r="K169" s="35"/>
      <c r="L169" s="35"/>
      <c r="M169" s="35"/>
      <c r="N169" s="35"/>
      <c r="O169" s="35"/>
      <c r="P169" s="35"/>
      <c r="Q169" s="35"/>
      <c r="R169" s="35"/>
      <c r="S169" s="35"/>
      <c r="T169" s="35"/>
      <c r="U169" s="35"/>
      <c r="V169" s="35"/>
      <c r="W169" s="35"/>
      <c r="X169" s="35"/>
      <c r="Y169" s="35"/>
      <c r="Z169" s="35"/>
      <c r="AA169" s="35"/>
      <c r="AB169" s="35"/>
      <c r="AC169" s="35"/>
      <c r="AD169" s="35"/>
      <c r="AE169" s="35"/>
      <c r="AF169" s="35"/>
      <c r="AG169" s="35"/>
      <c r="AH169" s="38"/>
    </row>
    <row r="170">
      <c r="A170" s="34"/>
      <c r="B170" s="35"/>
      <c r="C170" s="35"/>
      <c r="D170" s="36"/>
      <c r="E170" s="35"/>
      <c r="F170" s="35"/>
      <c r="G170" s="37"/>
      <c r="H170" s="35"/>
      <c r="I170" s="35"/>
      <c r="J170" s="35"/>
      <c r="K170" s="35"/>
      <c r="L170" s="35"/>
      <c r="M170" s="35"/>
      <c r="N170" s="35"/>
      <c r="O170" s="35"/>
      <c r="P170" s="35"/>
      <c r="Q170" s="35"/>
      <c r="R170" s="35"/>
      <c r="S170" s="35"/>
      <c r="T170" s="35"/>
      <c r="U170" s="35"/>
      <c r="V170" s="35"/>
      <c r="W170" s="35"/>
      <c r="X170" s="35"/>
      <c r="Y170" s="35"/>
      <c r="Z170" s="35"/>
      <c r="AA170" s="35"/>
      <c r="AB170" s="35"/>
      <c r="AC170" s="35"/>
      <c r="AD170" s="35"/>
      <c r="AE170" s="35"/>
      <c r="AF170" s="35"/>
      <c r="AG170" s="35"/>
      <c r="AH170" s="38"/>
    </row>
    <row r="171">
      <c r="A171" s="34"/>
      <c r="B171" s="35"/>
      <c r="C171" s="35"/>
      <c r="D171" s="36"/>
      <c r="E171" s="35"/>
      <c r="F171" s="35"/>
      <c r="G171" s="37"/>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35"/>
      <c r="AH171" s="38"/>
    </row>
    <row r="172">
      <c r="A172" s="34"/>
      <c r="B172" s="35"/>
      <c r="C172" s="35"/>
      <c r="D172" s="36"/>
      <c r="E172" s="35"/>
      <c r="F172" s="35"/>
      <c r="G172" s="37"/>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35"/>
      <c r="AH172" s="38"/>
    </row>
    <row r="173">
      <c r="A173" s="34"/>
      <c r="B173" s="35"/>
      <c r="C173" s="35"/>
      <c r="D173" s="36"/>
      <c r="E173" s="35"/>
      <c r="F173" s="35"/>
      <c r="G173" s="37"/>
      <c r="H173" s="35"/>
      <c r="I173" s="35"/>
      <c r="J173" s="35"/>
      <c r="K173" s="35"/>
      <c r="L173" s="35"/>
      <c r="M173" s="35"/>
      <c r="N173" s="35"/>
      <c r="O173" s="35"/>
      <c r="P173" s="35"/>
      <c r="Q173" s="35"/>
      <c r="R173" s="35"/>
      <c r="S173" s="35"/>
      <c r="T173" s="35"/>
      <c r="U173" s="35"/>
      <c r="V173" s="35"/>
      <c r="W173" s="35"/>
      <c r="X173" s="35"/>
      <c r="Y173" s="35"/>
      <c r="Z173" s="35"/>
      <c r="AA173" s="35"/>
      <c r="AB173" s="35"/>
      <c r="AC173" s="35"/>
      <c r="AD173" s="35"/>
      <c r="AE173" s="35"/>
      <c r="AF173" s="35"/>
      <c r="AG173" s="35"/>
      <c r="AH173" s="38"/>
    </row>
    <row r="174">
      <c r="A174" s="34"/>
      <c r="B174" s="35"/>
      <c r="C174" s="35"/>
      <c r="D174" s="36"/>
      <c r="E174" s="35"/>
      <c r="F174" s="35"/>
      <c r="G174" s="37"/>
      <c r="H174" s="35"/>
      <c r="I174" s="35"/>
      <c r="J174" s="35"/>
      <c r="K174" s="35"/>
      <c r="L174" s="35"/>
      <c r="M174" s="35"/>
      <c r="N174" s="35"/>
      <c r="O174" s="35"/>
      <c r="P174" s="35"/>
      <c r="Q174" s="35"/>
      <c r="R174" s="35"/>
      <c r="S174" s="35"/>
      <c r="T174" s="35"/>
      <c r="U174" s="35"/>
      <c r="V174" s="35"/>
      <c r="W174" s="35"/>
      <c r="X174" s="35"/>
      <c r="Y174" s="35"/>
      <c r="Z174" s="35"/>
      <c r="AA174" s="35"/>
      <c r="AB174" s="35"/>
      <c r="AC174" s="35"/>
      <c r="AD174" s="35"/>
      <c r="AE174" s="35"/>
      <c r="AF174" s="35"/>
      <c r="AG174" s="35"/>
      <c r="AH174" s="38"/>
    </row>
    <row r="175">
      <c r="A175" s="34"/>
      <c r="B175" s="35"/>
      <c r="C175" s="35"/>
      <c r="D175" s="36"/>
      <c r="E175" s="35"/>
      <c r="F175" s="35"/>
      <c r="G175" s="37"/>
      <c r="H175" s="35"/>
      <c r="I175" s="35"/>
      <c r="J175" s="35"/>
      <c r="K175" s="35"/>
      <c r="L175" s="35"/>
      <c r="M175" s="35"/>
      <c r="N175" s="35"/>
      <c r="O175" s="35"/>
      <c r="P175" s="35"/>
      <c r="Q175" s="35"/>
      <c r="R175" s="35"/>
      <c r="S175" s="35"/>
      <c r="T175" s="35"/>
      <c r="U175" s="35"/>
      <c r="V175" s="35"/>
      <c r="W175" s="35"/>
      <c r="X175" s="35"/>
      <c r="Y175" s="35"/>
      <c r="Z175" s="35"/>
      <c r="AA175" s="35"/>
      <c r="AB175" s="35"/>
      <c r="AC175" s="35"/>
      <c r="AD175" s="35"/>
      <c r="AE175" s="35"/>
      <c r="AF175" s="35"/>
      <c r="AG175" s="35"/>
      <c r="AH175" s="38"/>
    </row>
    <row r="176">
      <c r="A176" s="34"/>
      <c r="B176" s="35"/>
      <c r="C176" s="35"/>
      <c r="D176" s="36"/>
      <c r="E176" s="35"/>
      <c r="F176" s="35"/>
      <c r="G176" s="37"/>
      <c r="H176" s="35"/>
      <c r="I176" s="35"/>
      <c r="J176" s="35"/>
      <c r="K176" s="35"/>
      <c r="L176" s="35"/>
      <c r="M176" s="35"/>
      <c r="N176" s="35"/>
      <c r="O176" s="35"/>
      <c r="P176" s="35"/>
      <c r="Q176" s="35"/>
      <c r="R176" s="35"/>
      <c r="S176" s="35"/>
      <c r="T176" s="35"/>
      <c r="U176" s="35"/>
      <c r="V176" s="35"/>
      <c r="W176" s="35"/>
      <c r="X176" s="35"/>
      <c r="Y176" s="35"/>
      <c r="Z176" s="35"/>
      <c r="AA176" s="35"/>
      <c r="AB176" s="35"/>
      <c r="AC176" s="35"/>
      <c r="AD176" s="35"/>
      <c r="AE176" s="35"/>
      <c r="AF176" s="35"/>
      <c r="AG176" s="35"/>
      <c r="AH176" s="38"/>
    </row>
    <row r="177">
      <c r="A177" s="34"/>
      <c r="B177" s="35"/>
      <c r="C177" s="35"/>
      <c r="D177" s="36"/>
      <c r="E177" s="35"/>
      <c r="F177" s="35"/>
      <c r="G177" s="37"/>
      <c r="H177" s="35"/>
      <c r="I177" s="35"/>
      <c r="J177" s="35"/>
      <c r="K177" s="35"/>
      <c r="L177" s="35"/>
      <c r="M177" s="35"/>
      <c r="N177" s="35"/>
      <c r="O177" s="35"/>
      <c r="P177" s="35"/>
      <c r="Q177" s="35"/>
      <c r="R177" s="35"/>
      <c r="S177" s="35"/>
      <c r="T177" s="35"/>
      <c r="U177" s="35"/>
      <c r="V177" s="35"/>
      <c r="W177" s="35"/>
      <c r="X177" s="35"/>
      <c r="Y177" s="35"/>
      <c r="Z177" s="35"/>
      <c r="AA177" s="35"/>
      <c r="AB177" s="35"/>
      <c r="AC177" s="35"/>
      <c r="AD177" s="35"/>
      <c r="AE177" s="35"/>
      <c r="AF177" s="35"/>
      <c r="AG177" s="35"/>
      <c r="AH177" s="38"/>
    </row>
    <row r="178">
      <c r="A178" s="34"/>
      <c r="B178" s="35"/>
      <c r="C178" s="35"/>
      <c r="D178" s="36"/>
      <c r="E178" s="35"/>
      <c r="F178" s="35"/>
      <c r="G178" s="37"/>
      <c r="H178" s="35"/>
      <c r="I178" s="35"/>
      <c r="J178" s="35"/>
      <c r="K178" s="35"/>
      <c r="L178" s="35"/>
      <c r="M178" s="35"/>
      <c r="N178" s="35"/>
      <c r="O178" s="35"/>
      <c r="P178" s="35"/>
      <c r="Q178" s="35"/>
      <c r="R178" s="35"/>
      <c r="S178" s="35"/>
      <c r="T178" s="35"/>
      <c r="U178" s="35"/>
      <c r="V178" s="35"/>
      <c r="W178" s="35"/>
      <c r="X178" s="35"/>
      <c r="Y178" s="35"/>
      <c r="Z178" s="35"/>
      <c r="AA178" s="35"/>
      <c r="AB178" s="35"/>
      <c r="AC178" s="35"/>
      <c r="AD178" s="35"/>
      <c r="AE178" s="35"/>
      <c r="AF178" s="35"/>
      <c r="AG178" s="35"/>
      <c r="AH178" s="38"/>
    </row>
    <row r="179">
      <c r="A179" s="34"/>
      <c r="B179" s="35"/>
      <c r="C179" s="35"/>
      <c r="D179" s="36"/>
      <c r="E179" s="35"/>
      <c r="F179" s="35"/>
      <c r="G179" s="37"/>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c r="AE179" s="35"/>
      <c r="AF179" s="35"/>
      <c r="AG179" s="35"/>
      <c r="AH179" s="38"/>
    </row>
    <row r="180">
      <c r="A180" s="34"/>
      <c r="B180" s="35"/>
      <c r="C180" s="35"/>
      <c r="D180" s="36"/>
      <c r="E180" s="35"/>
      <c r="F180" s="35"/>
      <c r="G180" s="37"/>
      <c r="H180" s="35"/>
      <c r="I180" s="35"/>
      <c r="J180" s="35"/>
      <c r="K180" s="35"/>
      <c r="L180" s="35"/>
      <c r="M180" s="35"/>
      <c r="N180" s="35"/>
      <c r="O180" s="35"/>
      <c r="P180" s="35"/>
      <c r="Q180" s="35"/>
      <c r="R180" s="35"/>
      <c r="S180" s="35"/>
      <c r="T180" s="35"/>
      <c r="U180" s="35"/>
      <c r="V180" s="35"/>
      <c r="W180" s="35"/>
      <c r="X180" s="35"/>
      <c r="Y180" s="35"/>
      <c r="Z180" s="35"/>
      <c r="AA180" s="35"/>
      <c r="AB180" s="35"/>
      <c r="AC180" s="35"/>
      <c r="AD180" s="35"/>
      <c r="AE180" s="35"/>
      <c r="AF180" s="35"/>
      <c r="AG180" s="35"/>
      <c r="AH180" s="38"/>
    </row>
    <row r="181">
      <c r="A181" s="34"/>
      <c r="B181" s="35"/>
      <c r="C181" s="35"/>
      <c r="D181" s="36"/>
      <c r="E181" s="35"/>
      <c r="F181" s="35"/>
      <c r="G181" s="37"/>
      <c r="H181" s="35"/>
      <c r="I181" s="35"/>
      <c r="J181" s="35"/>
      <c r="K181" s="35"/>
      <c r="L181" s="35"/>
      <c r="M181" s="35"/>
      <c r="N181" s="35"/>
      <c r="O181" s="35"/>
      <c r="P181" s="35"/>
      <c r="Q181" s="35"/>
      <c r="R181" s="35"/>
      <c r="S181" s="35"/>
      <c r="T181" s="35"/>
      <c r="U181" s="35"/>
      <c r="V181" s="35"/>
      <c r="W181" s="35"/>
      <c r="X181" s="35"/>
      <c r="Y181" s="35"/>
      <c r="Z181" s="35"/>
      <c r="AA181" s="35"/>
      <c r="AB181" s="35"/>
      <c r="AC181" s="35"/>
      <c r="AD181" s="35"/>
      <c r="AE181" s="35"/>
      <c r="AF181" s="35"/>
      <c r="AG181" s="35"/>
      <c r="AH181" s="38"/>
    </row>
    <row r="182">
      <c r="A182" s="34"/>
      <c r="B182" s="35"/>
      <c r="C182" s="35"/>
      <c r="D182" s="36"/>
      <c r="E182" s="35"/>
      <c r="F182" s="35"/>
      <c r="G182" s="37"/>
      <c r="H182" s="35"/>
      <c r="I182" s="35"/>
      <c r="J182" s="35"/>
      <c r="K182" s="35"/>
      <c r="L182" s="35"/>
      <c r="M182" s="35"/>
      <c r="N182" s="35"/>
      <c r="O182" s="35"/>
      <c r="P182" s="35"/>
      <c r="Q182" s="35"/>
      <c r="R182" s="35"/>
      <c r="S182" s="35"/>
      <c r="T182" s="35"/>
      <c r="U182" s="35"/>
      <c r="V182" s="35"/>
      <c r="W182" s="35"/>
      <c r="X182" s="35"/>
      <c r="Y182" s="35"/>
      <c r="Z182" s="35"/>
      <c r="AA182" s="35"/>
      <c r="AB182" s="35"/>
      <c r="AC182" s="35"/>
      <c r="AD182" s="35"/>
      <c r="AE182" s="35"/>
      <c r="AF182" s="35"/>
      <c r="AG182" s="35"/>
      <c r="AH182" s="38"/>
    </row>
    <row r="183">
      <c r="A183" s="34"/>
      <c r="B183" s="35"/>
      <c r="C183" s="35"/>
      <c r="D183" s="36"/>
      <c r="E183" s="35"/>
      <c r="F183" s="35"/>
      <c r="G183" s="37"/>
      <c r="H183" s="35"/>
      <c r="I183" s="35"/>
      <c r="J183" s="35"/>
      <c r="K183" s="35"/>
      <c r="L183" s="35"/>
      <c r="M183" s="35"/>
      <c r="N183" s="35"/>
      <c r="O183" s="35"/>
      <c r="P183" s="35"/>
      <c r="Q183" s="35"/>
      <c r="R183" s="35"/>
      <c r="S183" s="35"/>
      <c r="T183" s="35"/>
      <c r="U183" s="35"/>
      <c r="V183" s="35"/>
      <c r="W183" s="35"/>
      <c r="X183" s="35"/>
      <c r="Y183" s="35"/>
      <c r="Z183" s="35"/>
      <c r="AA183" s="35"/>
      <c r="AB183" s="35"/>
      <c r="AC183" s="35"/>
      <c r="AD183" s="35"/>
      <c r="AE183" s="35"/>
      <c r="AF183" s="35"/>
      <c r="AG183" s="35"/>
      <c r="AH183" s="38"/>
    </row>
    <row r="184">
      <c r="A184" s="34"/>
      <c r="B184" s="35"/>
      <c r="C184" s="35"/>
      <c r="D184" s="36"/>
      <c r="E184" s="35"/>
      <c r="F184" s="35"/>
      <c r="G184" s="37"/>
      <c r="H184" s="35"/>
      <c r="I184" s="35"/>
      <c r="J184" s="35"/>
      <c r="K184" s="35"/>
      <c r="L184" s="35"/>
      <c r="M184" s="35"/>
      <c r="N184" s="35"/>
      <c r="O184" s="35"/>
      <c r="P184" s="35"/>
      <c r="Q184" s="35"/>
      <c r="R184" s="35"/>
      <c r="S184" s="35"/>
      <c r="T184" s="35"/>
      <c r="U184" s="35"/>
      <c r="V184" s="35"/>
      <c r="W184" s="35"/>
      <c r="X184" s="35"/>
      <c r="Y184" s="35"/>
      <c r="Z184" s="35"/>
      <c r="AA184" s="35"/>
      <c r="AB184" s="35"/>
      <c r="AC184" s="35"/>
      <c r="AD184" s="35"/>
      <c r="AE184" s="35"/>
      <c r="AF184" s="35"/>
      <c r="AG184" s="35"/>
      <c r="AH184" s="38"/>
    </row>
    <row r="185">
      <c r="A185" s="34"/>
      <c r="B185" s="35"/>
      <c r="C185" s="35"/>
      <c r="D185" s="36"/>
      <c r="E185" s="35"/>
      <c r="F185" s="35"/>
      <c r="G185" s="37"/>
      <c r="H185" s="35"/>
      <c r="I185" s="35"/>
      <c r="J185" s="35"/>
      <c r="K185" s="35"/>
      <c r="L185" s="35"/>
      <c r="M185" s="35"/>
      <c r="N185" s="35"/>
      <c r="O185" s="35"/>
      <c r="P185" s="35"/>
      <c r="Q185" s="35"/>
      <c r="R185" s="35"/>
      <c r="S185" s="35"/>
      <c r="T185" s="35"/>
      <c r="U185" s="35"/>
      <c r="V185" s="35"/>
      <c r="W185" s="35"/>
      <c r="X185" s="35"/>
      <c r="Y185" s="35"/>
      <c r="Z185" s="35"/>
      <c r="AA185" s="35"/>
      <c r="AB185" s="35"/>
      <c r="AC185" s="35"/>
      <c r="AD185" s="35"/>
      <c r="AE185" s="35"/>
      <c r="AF185" s="35"/>
      <c r="AG185" s="35"/>
      <c r="AH185" s="38"/>
    </row>
    <row r="186">
      <c r="A186" s="34"/>
      <c r="B186" s="35"/>
      <c r="C186" s="35"/>
      <c r="D186" s="36"/>
      <c r="E186" s="35"/>
      <c r="F186" s="35"/>
      <c r="G186" s="37"/>
      <c r="H186" s="35"/>
      <c r="I186" s="35"/>
      <c r="J186" s="35"/>
      <c r="K186" s="35"/>
      <c r="L186" s="35"/>
      <c r="M186" s="35"/>
      <c r="N186" s="35"/>
      <c r="O186" s="35"/>
      <c r="P186" s="35"/>
      <c r="Q186" s="35"/>
      <c r="R186" s="35"/>
      <c r="S186" s="35"/>
      <c r="T186" s="35"/>
      <c r="U186" s="35"/>
      <c r="V186" s="35"/>
      <c r="W186" s="35"/>
      <c r="X186" s="35"/>
      <c r="Y186" s="35"/>
      <c r="Z186" s="35"/>
      <c r="AA186" s="35"/>
      <c r="AB186" s="35"/>
      <c r="AC186" s="35"/>
      <c r="AD186" s="35"/>
      <c r="AE186" s="35"/>
      <c r="AF186" s="35"/>
      <c r="AG186" s="35"/>
      <c r="AH186" s="38"/>
    </row>
    <row r="187">
      <c r="A187" s="34"/>
      <c r="B187" s="35"/>
      <c r="C187" s="35"/>
      <c r="D187" s="36"/>
      <c r="E187" s="35"/>
      <c r="F187" s="35"/>
      <c r="G187" s="37"/>
      <c r="H187" s="35"/>
      <c r="I187" s="35"/>
      <c r="J187" s="35"/>
      <c r="K187" s="35"/>
      <c r="L187" s="35"/>
      <c r="M187" s="35"/>
      <c r="N187" s="35"/>
      <c r="O187" s="35"/>
      <c r="P187" s="35"/>
      <c r="Q187" s="35"/>
      <c r="R187" s="35"/>
      <c r="S187" s="35"/>
      <c r="T187" s="35"/>
      <c r="U187" s="35"/>
      <c r="V187" s="35"/>
      <c r="W187" s="35"/>
      <c r="X187" s="35"/>
      <c r="Y187" s="35"/>
      <c r="Z187" s="35"/>
      <c r="AA187" s="35"/>
      <c r="AB187" s="35"/>
      <c r="AC187" s="35"/>
      <c r="AD187" s="35"/>
      <c r="AE187" s="35"/>
      <c r="AF187" s="35"/>
      <c r="AG187" s="35"/>
      <c r="AH187" s="38"/>
    </row>
    <row r="188">
      <c r="A188" s="34"/>
      <c r="B188" s="35"/>
      <c r="C188" s="35"/>
      <c r="D188" s="36"/>
      <c r="E188" s="35"/>
      <c r="F188" s="35"/>
      <c r="G188" s="37"/>
      <c r="H188" s="35"/>
      <c r="I188" s="35"/>
      <c r="J188" s="35"/>
      <c r="K188" s="35"/>
      <c r="L188" s="35"/>
      <c r="M188" s="35"/>
      <c r="N188" s="35"/>
      <c r="O188" s="35"/>
      <c r="P188" s="35"/>
      <c r="Q188" s="35"/>
      <c r="R188" s="35"/>
      <c r="S188" s="35"/>
      <c r="T188" s="35"/>
      <c r="U188" s="35"/>
      <c r="V188" s="35"/>
      <c r="W188" s="35"/>
      <c r="X188" s="35"/>
      <c r="Y188" s="35"/>
      <c r="Z188" s="35"/>
      <c r="AA188" s="35"/>
      <c r="AB188" s="35"/>
      <c r="AC188" s="35"/>
      <c r="AD188" s="35"/>
      <c r="AE188" s="35"/>
      <c r="AF188" s="35"/>
      <c r="AG188" s="35"/>
      <c r="AH188" s="38"/>
    </row>
    <row r="189">
      <c r="A189" s="34"/>
      <c r="B189" s="35"/>
      <c r="C189" s="35"/>
      <c r="D189" s="36"/>
      <c r="E189" s="35"/>
      <c r="F189" s="35"/>
      <c r="G189" s="37"/>
      <c r="H189" s="35"/>
      <c r="I189" s="35"/>
      <c r="J189" s="35"/>
      <c r="K189" s="35"/>
      <c r="L189" s="35"/>
      <c r="M189" s="35"/>
      <c r="N189" s="35"/>
      <c r="O189" s="35"/>
      <c r="P189" s="35"/>
      <c r="Q189" s="35"/>
      <c r="R189" s="35"/>
      <c r="S189" s="35"/>
      <c r="T189" s="35"/>
      <c r="U189" s="35"/>
      <c r="V189" s="35"/>
      <c r="W189" s="35"/>
      <c r="X189" s="35"/>
      <c r="Y189" s="35"/>
      <c r="Z189" s="35"/>
      <c r="AA189" s="35"/>
      <c r="AB189" s="35"/>
      <c r="AC189" s="35"/>
      <c r="AD189" s="35"/>
      <c r="AE189" s="35"/>
      <c r="AF189" s="35"/>
      <c r="AG189" s="35"/>
      <c r="AH189" s="38"/>
    </row>
    <row r="190">
      <c r="A190" s="34"/>
      <c r="B190" s="35"/>
      <c r="C190" s="35"/>
      <c r="D190" s="36"/>
      <c r="E190" s="35"/>
      <c r="F190" s="35"/>
      <c r="G190" s="37"/>
      <c r="H190" s="35"/>
      <c r="I190" s="35"/>
      <c r="J190" s="35"/>
      <c r="K190" s="35"/>
      <c r="L190" s="35"/>
      <c r="M190" s="35"/>
      <c r="N190" s="35"/>
      <c r="O190" s="35"/>
      <c r="P190" s="35"/>
      <c r="Q190" s="35"/>
      <c r="R190" s="35"/>
      <c r="S190" s="35"/>
      <c r="T190" s="35"/>
      <c r="U190" s="35"/>
      <c r="V190" s="35"/>
      <c r="W190" s="35"/>
      <c r="X190" s="35"/>
      <c r="Y190" s="35"/>
      <c r="Z190" s="35"/>
      <c r="AA190" s="35"/>
      <c r="AB190" s="35"/>
      <c r="AC190" s="35"/>
      <c r="AD190" s="35"/>
      <c r="AE190" s="35"/>
      <c r="AF190" s="35"/>
      <c r="AG190" s="35"/>
      <c r="AH190" s="38"/>
    </row>
    <row r="191">
      <c r="A191" s="34"/>
      <c r="B191" s="35"/>
      <c r="C191" s="35"/>
      <c r="D191" s="36"/>
      <c r="E191" s="35"/>
      <c r="F191" s="35"/>
      <c r="G191" s="37"/>
      <c r="H191" s="35"/>
      <c r="I191" s="35"/>
      <c r="J191" s="35"/>
      <c r="K191" s="35"/>
      <c r="L191" s="35"/>
      <c r="M191" s="35"/>
      <c r="N191" s="35"/>
      <c r="O191" s="35"/>
      <c r="P191" s="35"/>
      <c r="Q191" s="35"/>
      <c r="R191" s="35"/>
      <c r="S191" s="35"/>
      <c r="T191" s="35"/>
      <c r="U191" s="35"/>
      <c r="V191" s="35"/>
      <c r="W191" s="35"/>
      <c r="X191" s="35"/>
      <c r="Y191" s="35"/>
      <c r="Z191" s="35"/>
      <c r="AA191" s="35"/>
      <c r="AB191" s="35"/>
      <c r="AC191" s="35"/>
      <c r="AD191" s="35"/>
      <c r="AE191" s="35"/>
      <c r="AF191" s="35"/>
      <c r="AG191" s="35"/>
      <c r="AH191" s="38"/>
    </row>
    <row r="192">
      <c r="A192" s="34"/>
      <c r="B192" s="35"/>
      <c r="C192" s="35"/>
      <c r="D192" s="36"/>
      <c r="E192" s="35"/>
      <c r="F192" s="35"/>
      <c r="G192" s="37"/>
      <c r="H192" s="35"/>
      <c r="I192" s="35"/>
      <c r="J192" s="35"/>
      <c r="K192" s="35"/>
      <c r="L192" s="35"/>
      <c r="M192" s="35"/>
      <c r="N192" s="35"/>
      <c r="O192" s="35"/>
      <c r="P192" s="35"/>
      <c r="Q192" s="35"/>
      <c r="R192" s="35"/>
      <c r="S192" s="35"/>
      <c r="T192" s="35"/>
      <c r="U192" s="35"/>
      <c r="V192" s="35"/>
      <c r="W192" s="35"/>
      <c r="X192" s="35"/>
      <c r="Y192" s="35"/>
      <c r="Z192" s="35"/>
      <c r="AA192" s="35"/>
      <c r="AB192" s="35"/>
      <c r="AC192" s="35"/>
      <c r="AD192" s="35"/>
      <c r="AE192" s="35"/>
      <c r="AF192" s="35"/>
      <c r="AG192" s="35"/>
      <c r="AH192" s="38"/>
    </row>
    <row r="193">
      <c r="A193" s="34"/>
      <c r="B193" s="35"/>
      <c r="C193" s="35"/>
      <c r="D193" s="36"/>
      <c r="E193" s="35"/>
      <c r="F193" s="35"/>
      <c r="G193" s="37"/>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c r="AF193" s="35"/>
      <c r="AG193" s="35"/>
      <c r="AH193" s="38"/>
    </row>
    <row r="194">
      <c r="A194" s="34"/>
      <c r="B194" s="35"/>
      <c r="C194" s="35"/>
      <c r="D194" s="36"/>
      <c r="E194" s="35"/>
      <c r="F194" s="35"/>
      <c r="G194" s="37"/>
      <c r="H194" s="35"/>
      <c r="I194" s="35"/>
      <c r="J194" s="35"/>
      <c r="K194" s="35"/>
      <c r="L194" s="35"/>
      <c r="M194" s="35"/>
      <c r="N194" s="35"/>
      <c r="O194" s="35"/>
      <c r="P194" s="35"/>
      <c r="Q194" s="35"/>
      <c r="R194" s="35"/>
      <c r="S194" s="35"/>
      <c r="T194" s="35"/>
      <c r="U194" s="35"/>
      <c r="V194" s="35"/>
      <c r="W194" s="35"/>
      <c r="X194" s="35"/>
      <c r="Y194" s="35"/>
      <c r="Z194" s="35"/>
      <c r="AA194" s="35"/>
      <c r="AB194" s="35"/>
      <c r="AC194" s="35"/>
      <c r="AD194" s="35"/>
      <c r="AE194" s="35"/>
      <c r="AF194" s="35"/>
      <c r="AG194" s="35"/>
      <c r="AH194" s="38"/>
    </row>
    <row r="195">
      <c r="A195" s="34"/>
      <c r="B195" s="35"/>
      <c r="C195" s="35"/>
      <c r="D195" s="36"/>
      <c r="E195" s="35"/>
      <c r="F195" s="35"/>
      <c r="G195" s="37"/>
      <c r="H195" s="35"/>
      <c r="I195" s="35"/>
      <c r="J195" s="35"/>
      <c r="K195" s="35"/>
      <c r="L195" s="35"/>
      <c r="M195" s="35"/>
      <c r="N195" s="35"/>
      <c r="O195" s="35"/>
      <c r="P195" s="35"/>
      <c r="Q195" s="35"/>
      <c r="R195" s="35"/>
      <c r="S195" s="35"/>
      <c r="T195" s="35"/>
      <c r="U195" s="35"/>
      <c r="V195" s="35"/>
      <c r="W195" s="35"/>
      <c r="X195" s="35"/>
      <c r="Y195" s="35"/>
      <c r="Z195" s="35"/>
      <c r="AA195" s="35"/>
      <c r="AB195" s="35"/>
      <c r="AC195" s="35"/>
      <c r="AD195" s="35"/>
      <c r="AE195" s="35"/>
      <c r="AF195" s="35"/>
      <c r="AG195" s="35"/>
      <c r="AH195" s="38"/>
    </row>
    <row r="196">
      <c r="A196" s="34"/>
      <c r="B196" s="35"/>
      <c r="C196" s="35"/>
      <c r="D196" s="36"/>
      <c r="E196" s="35"/>
      <c r="F196" s="35"/>
      <c r="G196" s="37"/>
      <c r="H196" s="35"/>
      <c r="I196" s="35"/>
      <c r="J196" s="35"/>
      <c r="K196" s="35"/>
      <c r="L196" s="35"/>
      <c r="M196" s="35"/>
      <c r="N196" s="35"/>
      <c r="O196" s="35"/>
      <c r="P196" s="35"/>
      <c r="Q196" s="35"/>
      <c r="R196" s="35"/>
      <c r="S196" s="35"/>
      <c r="T196" s="35"/>
      <c r="U196" s="35"/>
      <c r="V196" s="35"/>
      <c r="W196" s="35"/>
      <c r="X196" s="35"/>
      <c r="Y196" s="35"/>
      <c r="Z196" s="35"/>
      <c r="AA196" s="35"/>
      <c r="AB196" s="35"/>
      <c r="AC196" s="35"/>
      <c r="AD196" s="35"/>
      <c r="AE196" s="35"/>
      <c r="AF196" s="35"/>
      <c r="AG196" s="35"/>
      <c r="AH196" s="38"/>
    </row>
    <row r="197">
      <c r="A197" s="34"/>
      <c r="B197" s="35"/>
      <c r="C197" s="35"/>
      <c r="D197" s="36"/>
      <c r="E197" s="35"/>
      <c r="F197" s="35"/>
      <c r="G197" s="37"/>
      <c r="H197" s="35"/>
      <c r="I197" s="35"/>
      <c r="J197" s="35"/>
      <c r="K197" s="35"/>
      <c r="L197" s="35"/>
      <c r="M197" s="35"/>
      <c r="N197" s="35"/>
      <c r="O197" s="35"/>
      <c r="P197" s="35"/>
      <c r="Q197" s="35"/>
      <c r="R197" s="35"/>
      <c r="S197" s="35"/>
      <c r="T197" s="35"/>
      <c r="U197" s="35"/>
      <c r="V197" s="35"/>
      <c r="W197" s="35"/>
      <c r="X197" s="35"/>
      <c r="Y197" s="35"/>
      <c r="Z197" s="35"/>
      <c r="AA197" s="35"/>
      <c r="AB197" s="35"/>
      <c r="AC197" s="35"/>
      <c r="AD197" s="35"/>
      <c r="AE197" s="35"/>
      <c r="AF197" s="35"/>
      <c r="AG197" s="35"/>
      <c r="AH197" s="38"/>
    </row>
    <row r="198">
      <c r="A198" s="34"/>
      <c r="B198" s="35"/>
      <c r="C198" s="35"/>
      <c r="D198" s="36"/>
      <c r="E198" s="35"/>
      <c r="F198" s="35"/>
      <c r="G198" s="37"/>
      <c r="H198" s="35"/>
      <c r="I198" s="35"/>
      <c r="J198" s="35"/>
      <c r="K198" s="35"/>
      <c r="L198" s="35"/>
      <c r="M198" s="35"/>
      <c r="N198" s="35"/>
      <c r="O198" s="35"/>
      <c r="P198" s="35"/>
      <c r="Q198" s="35"/>
      <c r="R198" s="35"/>
      <c r="S198" s="35"/>
      <c r="T198" s="35"/>
      <c r="U198" s="35"/>
      <c r="V198" s="35"/>
      <c r="W198" s="35"/>
      <c r="X198" s="35"/>
      <c r="Y198" s="35"/>
      <c r="Z198" s="35"/>
      <c r="AA198" s="35"/>
      <c r="AB198" s="35"/>
      <c r="AC198" s="35"/>
      <c r="AD198" s="35"/>
      <c r="AE198" s="35"/>
      <c r="AF198" s="35"/>
      <c r="AG198" s="35"/>
      <c r="AH198" s="38"/>
    </row>
    <row r="199">
      <c r="A199" s="34"/>
      <c r="B199" s="35"/>
      <c r="C199" s="35"/>
      <c r="D199" s="36"/>
      <c r="E199" s="35"/>
      <c r="F199" s="35"/>
      <c r="G199" s="37"/>
      <c r="H199" s="35"/>
      <c r="I199" s="35"/>
      <c r="J199" s="35"/>
      <c r="K199" s="35"/>
      <c r="L199" s="35"/>
      <c r="M199" s="35"/>
      <c r="N199" s="35"/>
      <c r="O199" s="35"/>
      <c r="P199" s="35"/>
      <c r="Q199" s="35"/>
      <c r="R199" s="35"/>
      <c r="S199" s="35"/>
      <c r="T199" s="35"/>
      <c r="U199" s="35"/>
      <c r="V199" s="35"/>
      <c r="W199" s="35"/>
      <c r="X199" s="35"/>
      <c r="Y199" s="35"/>
      <c r="Z199" s="35"/>
      <c r="AA199" s="35"/>
      <c r="AB199" s="35"/>
      <c r="AC199" s="35"/>
      <c r="AD199" s="35"/>
      <c r="AE199" s="35"/>
      <c r="AF199" s="35"/>
      <c r="AG199" s="35"/>
      <c r="AH199" s="38"/>
    </row>
    <row r="200">
      <c r="A200" s="34"/>
      <c r="B200" s="35"/>
      <c r="C200" s="35"/>
      <c r="D200" s="36"/>
      <c r="E200" s="35"/>
      <c r="F200" s="35"/>
      <c r="G200" s="37"/>
      <c r="H200" s="35"/>
      <c r="I200" s="35"/>
      <c r="J200" s="35"/>
      <c r="K200" s="35"/>
      <c r="L200" s="35"/>
      <c r="M200" s="35"/>
      <c r="N200" s="35"/>
      <c r="O200" s="35"/>
      <c r="P200" s="35"/>
      <c r="Q200" s="35"/>
      <c r="R200" s="35"/>
      <c r="S200" s="35"/>
      <c r="T200" s="35"/>
      <c r="U200" s="35"/>
      <c r="V200" s="35"/>
      <c r="W200" s="35"/>
      <c r="X200" s="35"/>
      <c r="Y200" s="35"/>
      <c r="Z200" s="35"/>
      <c r="AA200" s="35"/>
      <c r="AB200" s="35"/>
      <c r="AC200" s="35"/>
      <c r="AD200" s="35"/>
      <c r="AE200" s="35"/>
      <c r="AF200" s="35"/>
      <c r="AG200" s="35"/>
      <c r="AH200" s="38"/>
    </row>
    <row r="201">
      <c r="A201" s="34"/>
      <c r="B201" s="35"/>
      <c r="C201" s="35"/>
      <c r="D201" s="36"/>
      <c r="E201" s="35"/>
      <c r="F201" s="35"/>
      <c r="G201" s="37"/>
      <c r="H201" s="35"/>
      <c r="I201" s="35"/>
      <c r="J201" s="35"/>
      <c r="K201" s="35"/>
      <c r="L201" s="35"/>
      <c r="M201" s="35"/>
      <c r="N201" s="35"/>
      <c r="O201" s="35"/>
      <c r="P201" s="35"/>
      <c r="Q201" s="35"/>
      <c r="R201" s="35"/>
      <c r="S201" s="35"/>
      <c r="T201" s="35"/>
      <c r="U201" s="35"/>
      <c r="V201" s="35"/>
      <c r="W201" s="35"/>
      <c r="X201" s="35"/>
      <c r="Y201" s="35"/>
      <c r="Z201" s="35"/>
      <c r="AA201" s="35"/>
      <c r="AB201" s="35"/>
      <c r="AC201" s="35"/>
      <c r="AD201" s="35"/>
      <c r="AE201" s="35"/>
      <c r="AF201" s="35"/>
      <c r="AG201" s="35"/>
      <c r="AH201" s="38"/>
    </row>
    <row r="202">
      <c r="A202" s="34"/>
      <c r="B202" s="35"/>
      <c r="C202" s="35"/>
      <c r="D202" s="36"/>
      <c r="E202" s="35"/>
      <c r="F202" s="35"/>
      <c r="G202" s="37"/>
      <c r="H202" s="35"/>
      <c r="I202" s="35"/>
      <c r="J202" s="35"/>
      <c r="K202" s="35"/>
      <c r="L202" s="35"/>
      <c r="M202" s="35"/>
      <c r="N202" s="35"/>
      <c r="O202" s="35"/>
      <c r="P202" s="35"/>
      <c r="Q202" s="35"/>
      <c r="R202" s="35"/>
      <c r="S202" s="35"/>
      <c r="T202" s="35"/>
      <c r="U202" s="35"/>
      <c r="V202" s="35"/>
      <c r="W202" s="35"/>
      <c r="X202" s="35"/>
      <c r="Y202" s="35"/>
      <c r="Z202" s="35"/>
      <c r="AA202" s="35"/>
      <c r="AB202" s="35"/>
      <c r="AC202" s="35"/>
      <c r="AD202" s="35"/>
      <c r="AE202" s="35"/>
      <c r="AF202" s="35"/>
      <c r="AG202" s="35"/>
      <c r="AH202" s="38"/>
    </row>
    <row r="203">
      <c r="A203" s="34"/>
      <c r="B203" s="35"/>
      <c r="C203" s="35"/>
      <c r="D203" s="36"/>
      <c r="E203" s="35"/>
      <c r="F203" s="35"/>
      <c r="G203" s="37"/>
      <c r="H203" s="35"/>
      <c r="I203" s="35"/>
      <c r="J203" s="35"/>
      <c r="K203" s="35"/>
      <c r="L203" s="35"/>
      <c r="M203" s="35"/>
      <c r="N203" s="35"/>
      <c r="O203" s="35"/>
      <c r="P203" s="35"/>
      <c r="Q203" s="35"/>
      <c r="R203" s="35"/>
      <c r="S203" s="35"/>
      <c r="T203" s="35"/>
      <c r="U203" s="35"/>
      <c r="V203" s="35"/>
      <c r="W203" s="35"/>
      <c r="X203" s="35"/>
      <c r="Y203" s="35"/>
      <c r="Z203" s="35"/>
      <c r="AA203" s="35"/>
      <c r="AB203" s="35"/>
      <c r="AC203" s="35"/>
      <c r="AD203" s="35"/>
      <c r="AE203" s="35"/>
      <c r="AF203" s="35"/>
      <c r="AG203" s="35"/>
      <c r="AH203" s="38"/>
    </row>
    <row r="204">
      <c r="A204" s="34"/>
      <c r="B204" s="35"/>
      <c r="C204" s="35"/>
      <c r="D204" s="36"/>
      <c r="E204" s="35"/>
      <c r="F204" s="35"/>
      <c r="G204" s="37"/>
      <c r="H204" s="35"/>
      <c r="I204" s="35"/>
      <c r="J204" s="35"/>
      <c r="K204" s="35"/>
      <c r="L204" s="35"/>
      <c r="M204" s="35"/>
      <c r="N204" s="35"/>
      <c r="O204" s="35"/>
      <c r="P204" s="35"/>
      <c r="Q204" s="35"/>
      <c r="R204" s="35"/>
      <c r="S204" s="35"/>
      <c r="T204" s="35"/>
      <c r="U204" s="35"/>
      <c r="V204" s="35"/>
      <c r="W204" s="35"/>
      <c r="X204" s="35"/>
      <c r="Y204" s="35"/>
      <c r="Z204" s="35"/>
      <c r="AA204" s="35"/>
      <c r="AB204" s="35"/>
      <c r="AC204" s="35"/>
      <c r="AD204" s="35"/>
      <c r="AE204" s="35"/>
      <c r="AF204" s="35"/>
      <c r="AG204" s="35"/>
      <c r="AH204" s="38"/>
    </row>
    <row r="205">
      <c r="A205" s="34"/>
      <c r="B205" s="35"/>
      <c r="C205" s="35"/>
      <c r="D205" s="36"/>
      <c r="E205" s="35"/>
      <c r="F205" s="35"/>
      <c r="G205" s="37"/>
      <c r="H205" s="35"/>
      <c r="I205" s="35"/>
      <c r="J205" s="35"/>
      <c r="K205" s="35"/>
      <c r="L205" s="35"/>
      <c r="M205" s="35"/>
      <c r="N205" s="35"/>
      <c r="O205" s="35"/>
      <c r="P205" s="35"/>
      <c r="Q205" s="35"/>
      <c r="R205" s="35"/>
      <c r="S205" s="35"/>
      <c r="T205" s="35"/>
      <c r="U205" s="35"/>
      <c r="V205" s="35"/>
      <c r="W205" s="35"/>
      <c r="X205" s="35"/>
      <c r="Y205" s="35"/>
      <c r="Z205" s="35"/>
      <c r="AA205" s="35"/>
      <c r="AB205" s="35"/>
      <c r="AC205" s="35"/>
      <c r="AD205" s="35"/>
      <c r="AE205" s="35"/>
      <c r="AF205" s="35"/>
      <c r="AG205" s="35"/>
      <c r="AH205" s="38"/>
    </row>
    <row r="206">
      <c r="A206" s="34"/>
      <c r="B206" s="35"/>
      <c r="C206" s="35"/>
      <c r="D206" s="36"/>
      <c r="E206" s="35"/>
      <c r="F206" s="35"/>
      <c r="G206" s="37"/>
      <c r="H206" s="35"/>
      <c r="I206" s="35"/>
      <c r="J206" s="35"/>
      <c r="K206" s="35"/>
      <c r="L206" s="35"/>
      <c r="M206" s="35"/>
      <c r="N206" s="35"/>
      <c r="O206" s="35"/>
      <c r="P206" s="35"/>
      <c r="Q206" s="35"/>
      <c r="R206" s="35"/>
      <c r="S206" s="35"/>
      <c r="T206" s="35"/>
      <c r="U206" s="35"/>
      <c r="V206" s="35"/>
      <c r="W206" s="35"/>
      <c r="X206" s="35"/>
      <c r="Y206" s="35"/>
      <c r="Z206" s="35"/>
      <c r="AA206" s="35"/>
      <c r="AB206" s="35"/>
      <c r="AC206" s="35"/>
      <c r="AD206" s="35"/>
      <c r="AE206" s="35"/>
      <c r="AF206" s="35"/>
      <c r="AG206" s="35"/>
      <c r="AH206" s="38"/>
    </row>
    <row r="207">
      <c r="A207" s="34"/>
      <c r="B207" s="35"/>
      <c r="C207" s="35"/>
      <c r="D207" s="36"/>
      <c r="E207" s="35"/>
      <c r="F207" s="35"/>
      <c r="G207" s="37"/>
      <c r="H207" s="35"/>
      <c r="I207" s="35"/>
      <c r="J207" s="35"/>
      <c r="K207" s="35"/>
      <c r="L207" s="35"/>
      <c r="M207" s="35"/>
      <c r="N207" s="35"/>
      <c r="O207" s="35"/>
      <c r="P207" s="35"/>
      <c r="Q207" s="35"/>
      <c r="R207" s="35"/>
      <c r="S207" s="35"/>
      <c r="T207" s="35"/>
      <c r="U207" s="35"/>
      <c r="V207" s="35"/>
      <c r="W207" s="35"/>
      <c r="X207" s="35"/>
      <c r="Y207" s="35"/>
      <c r="Z207" s="35"/>
      <c r="AA207" s="35"/>
      <c r="AB207" s="35"/>
      <c r="AC207" s="35"/>
      <c r="AD207" s="35"/>
      <c r="AE207" s="35"/>
      <c r="AF207" s="35"/>
      <c r="AG207" s="35"/>
      <c r="AH207" s="38"/>
    </row>
    <row r="208">
      <c r="A208" s="34"/>
      <c r="B208" s="35"/>
      <c r="C208" s="35"/>
      <c r="D208" s="36"/>
      <c r="E208" s="35"/>
      <c r="F208" s="35"/>
      <c r="G208" s="37"/>
      <c r="H208" s="35"/>
      <c r="I208" s="35"/>
      <c r="J208" s="35"/>
      <c r="K208" s="35"/>
      <c r="L208" s="35"/>
      <c r="M208" s="35"/>
      <c r="N208" s="35"/>
      <c r="O208" s="35"/>
      <c r="P208" s="35"/>
      <c r="Q208" s="35"/>
      <c r="R208" s="35"/>
      <c r="S208" s="35"/>
      <c r="T208" s="35"/>
      <c r="U208" s="35"/>
      <c r="V208" s="35"/>
      <c r="W208" s="35"/>
      <c r="X208" s="35"/>
      <c r="Y208" s="35"/>
      <c r="Z208" s="35"/>
      <c r="AA208" s="35"/>
      <c r="AB208" s="35"/>
      <c r="AC208" s="35"/>
      <c r="AD208" s="35"/>
      <c r="AE208" s="35"/>
      <c r="AF208" s="35"/>
      <c r="AG208" s="35"/>
      <c r="AH208" s="38"/>
    </row>
    <row r="209">
      <c r="A209" s="34"/>
      <c r="B209" s="35"/>
      <c r="C209" s="35"/>
      <c r="D209" s="36"/>
      <c r="E209" s="35"/>
      <c r="F209" s="35"/>
      <c r="G209" s="37"/>
      <c r="H209" s="35"/>
      <c r="I209" s="35"/>
      <c r="J209" s="35"/>
      <c r="K209" s="35"/>
      <c r="L209" s="35"/>
      <c r="M209" s="35"/>
      <c r="N209" s="35"/>
      <c r="O209" s="35"/>
      <c r="P209" s="35"/>
      <c r="Q209" s="35"/>
      <c r="R209" s="35"/>
      <c r="S209" s="35"/>
      <c r="T209" s="35"/>
      <c r="U209" s="35"/>
      <c r="V209" s="35"/>
      <c r="W209" s="35"/>
      <c r="X209" s="35"/>
      <c r="Y209" s="35"/>
      <c r="Z209" s="35"/>
      <c r="AA209" s="35"/>
      <c r="AB209" s="35"/>
      <c r="AC209" s="35"/>
      <c r="AD209" s="35"/>
      <c r="AE209" s="35"/>
      <c r="AF209" s="35"/>
      <c r="AG209" s="35"/>
      <c r="AH209" s="38"/>
    </row>
    <row r="210">
      <c r="A210" s="34"/>
      <c r="B210" s="35"/>
      <c r="C210" s="35"/>
      <c r="D210" s="36"/>
      <c r="E210" s="35"/>
      <c r="F210" s="35"/>
      <c r="G210" s="37"/>
      <c r="H210" s="35"/>
      <c r="I210" s="35"/>
      <c r="J210" s="35"/>
      <c r="K210" s="35"/>
      <c r="L210" s="35"/>
      <c r="M210" s="35"/>
      <c r="N210" s="35"/>
      <c r="O210" s="35"/>
      <c r="P210" s="35"/>
      <c r="Q210" s="35"/>
      <c r="R210" s="35"/>
      <c r="S210" s="35"/>
      <c r="T210" s="35"/>
      <c r="U210" s="35"/>
      <c r="V210" s="35"/>
      <c r="W210" s="35"/>
      <c r="X210" s="35"/>
      <c r="Y210" s="35"/>
      <c r="Z210" s="35"/>
      <c r="AA210" s="35"/>
      <c r="AB210" s="35"/>
      <c r="AC210" s="35"/>
      <c r="AD210" s="35"/>
      <c r="AE210" s="35"/>
      <c r="AF210" s="35"/>
      <c r="AG210" s="35"/>
      <c r="AH210" s="38"/>
    </row>
    <row r="211">
      <c r="A211" s="34"/>
      <c r="B211" s="35"/>
      <c r="C211" s="35"/>
      <c r="D211" s="36"/>
      <c r="E211" s="35"/>
      <c r="F211" s="35"/>
      <c r="G211" s="37"/>
      <c r="H211" s="35"/>
      <c r="I211" s="35"/>
      <c r="J211" s="35"/>
      <c r="K211" s="35"/>
      <c r="L211" s="35"/>
      <c r="M211" s="35"/>
      <c r="N211" s="35"/>
      <c r="O211" s="35"/>
      <c r="P211" s="35"/>
      <c r="Q211" s="35"/>
      <c r="R211" s="35"/>
      <c r="S211" s="35"/>
      <c r="T211" s="35"/>
      <c r="U211" s="35"/>
      <c r="V211" s="35"/>
      <c r="W211" s="35"/>
      <c r="X211" s="35"/>
      <c r="Y211" s="35"/>
      <c r="Z211" s="35"/>
      <c r="AA211" s="35"/>
      <c r="AB211" s="35"/>
      <c r="AC211" s="35"/>
      <c r="AD211" s="35"/>
      <c r="AE211" s="35"/>
      <c r="AF211" s="35"/>
      <c r="AG211" s="35"/>
      <c r="AH211" s="38"/>
    </row>
    <row r="212">
      <c r="A212" s="34"/>
      <c r="B212" s="35"/>
      <c r="C212" s="35"/>
      <c r="D212" s="36"/>
      <c r="E212" s="35"/>
      <c r="F212" s="35"/>
      <c r="G212" s="37"/>
      <c r="H212" s="35"/>
      <c r="I212" s="35"/>
      <c r="J212" s="35"/>
      <c r="K212" s="35"/>
      <c r="L212" s="35"/>
      <c r="M212" s="35"/>
      <c r="N212" s="35"/>
      <c r="O212" s="35"/>
      <c r="P212" s="35"/>
      <c r="Q212" s="35"/>
      <c r="R212" s="35"/>
      <c r="S212" s="35"/>
      <c r="T212" s="35"/>
      <c r="U212" s="35"/>
      <c r="V212" s="35"/>
      <c r="W212" s="35"/>
      <c r="X212" s="35"/>
      <c r="Y212" s="35"/>
      <c r="Z212" s="35"/>
      <c r="AA212" s="35"/>
      <c r="AB212" s="35"/>
      <c r="AC212" s="35"/>
      <c r="AD212" s="35"/>
      <c r="AE212" s="35"/>
      <c r="AF212" s="35"/>
      <c r="AG212" s="35"/>
      <c r="AH212" s="38"/>
    </row>
    <row r="213">
      <c r="A213" s="34"/>
      <c r="B213" s="35"/>
      <c r="C213" s="35"/>
      <c r="D213" s="36"/>
      <c r="E213" s="35"/>
      <c r="F213" s="35"/>
      <c r="G213" s="37"/>
      <c r="H213" s="35"/>
      <c r="I213" s="35"/>
      <c r="J213" s="35"/>
      <c r="K213" s="35"/>
      <c r="L213" s="35"/>
      <c r="M213" s="35"/>
      <c r="N213" s="35"/>
      <c r="O213" s="35"/>
      <c r="P213" s="35"/>
      <c r="Q213" s="35"/>
      <c r="R213" s="35"/>
      <c r="S213" s="35"/>
      <c r="T213" s="35"/>
      <c r="U213" s="35"/>
      <c r="V213" s="35"/>
      <c r="W213" s="35"/>
      <c r="X213" s="35"/>
      <c r="Y213" s="35"/>
      <c r="Z213" s="35"/>
      <c r="AA213" s="35"/>
      <c r="AB213" s="35"/>
      <c r="AC213" s="35"/>
      <c r="AD213" s="35"/>
      <c r="AE213" s="35"/>
      <c r="AF213" s="35"/>
      <c r="AG213" s="35"/>
      <c r="AH213" s="38"/>
    </row>
    <row r="214">
      <c r="A214" s="34"/>
      <c r="B214" s="35"/>
      <c r="C214" s="35"/>
      <c r="D214" s="36"/>
      <c r="E214" s="35"/>
      <c r="F214" s="35"/>
      <c r="G214" s="37"/>
      <c r="H214" s="35"/>
      <c r="I214" s="35"/>
      <c r="J214" s="35"/>
      <c r="K214" s="35"/>
      <c r="L214" s="35"/>
      <c r="M214" s="35"/>
      <c r="N214" s="35"/>
      <c r="O214" s="35"/>
      <c r="P214" s="35"/>
      <c r="Q214" s="35"/>
      <c r="R214" s="35"/>
      <c r="S214" s="35"/>
      <c r="T214" s="35"/>
      <c r="U214" s="35"/>
      <c r="V214" s="35"/>
      <c r="W214" s="35"/>
      <c r="X214" s="35"/>
      <c r="Y214" s="35"/>
      <c r="Z214" s="35"/>
      <c r="AA214" s="35"/>
      <c r="AB214" s="35"/>
      <c r="AC214" s="35"/>
      <c r="AD214" s="35"/>
      <c r="AE214" s="35"/>
      <c r="AF214" s="35"/>
      <c r="AG214" s="35"/>
      <c r="AH214" s="38"/>
    </row>
    <row r="215">
      <c r="A215" s="34"/>
      <c r="B215" s="35"/>
      <c r="C215" s="35"/>
      <c r="D215" s="36"/>
      <c r="E215" s="35"/>
      <c r="F215" s="35"/>
      <c r="G215" s="37"/>
      <c r="H215" s="35"/>
      <c r="I215" s="35"/>
      <c r="J215" s="35"/>
      <c r="K215" s="35"/>
      <c r="L215" s="35"/>
      <c r="M215" s="35"/>
      <c r="N215" s="35"/>
      <c r="O215" s="35"/>
      <c r="P215" s="35"/>
      <c r="Q215" s="35"/>
      <c r="R215" s="35"/>
      <c r="S215" s="35"/>
      <c r="T215" s="35"/>
      <c r="U215" s="35"/>
      <c r="V215" s="35"/>
      <c r="W215" s="35"/>
      <c r="X215" s="35"/>
      <c r="Y215" s="35"/>
      <c r="Z215" s="35"/>
      <c r="AA215" s="35"/>
      <c r="AB215" s="35"/>
      <c r="AC215" s="35"/>
      <c r="AD215" s="35"/>
      <c r="AE215" s="35"/>
      <c r="AF215" s="35"/>
      <c r="AG215" s="35"/>
      <c r="AH215" s="38"/>
    </row>
    <row r="216">
      <c r="A216" s="34"/>
      <c r="B216" s="35"/>
      <c r="C216" s="35"/>
      <c r="D216" s="36"/>
      <c r="E216" s="35"/>
      <c r="F216" s="35"/>
      <c r="G216" s="37"/>
      <c r="H216" s="35"/>
      <c r="I216" s="35"/>
      <c r="J216" s="35"/>
      <c r="K216" s="35"/>
      <c r="L216" s="35"/>
      <c r="M216" s="35"/>
      <c r="N216" s="35"/>
      <c r="O216" s="35"/>
      <c r="P216" s="35"/>
      <c r="Q216" s="35"/>
      <c r="R216" s="35"/>
      <c r="S216" s="35"/>
      <c r="T216" s="35"/>
      <c r="U216" s="35"/>
      <c r="V216" s="35"/>
      <c r="W216" s="35"/>
      <c r="X216" s="35"/>
      <c r="Y216" s="35"/>
      <c r="Z216" s="35"/>
      <c r="AA216" s="35"/>
      <c r="AB216" s="35"/>
      <c r="AC216" s="35"/>
      <c r="AD216" s="35"/>
      <c r="AE216" s="35"/>
      <c r="AF216" s="35"/>
      <c r="AG216" s="35"/>
      <c r="AH216" s="38"/>
    </row>
    <row r="217">
      <c r="A217" s="34"/>
      <c r="B217" s="35"/>
      <c r="C217" s="35"/>
      <c r="D217" s="36"/>
      <c r="E217" s="35"/>
      <c r="F217" s="35"/>
      <c r="G217" s="37"/>
      <c r="H217" s="35"/>
      <c r="I217" s="35"/>
      <c r="J217" s="35"/>
      <c r="K217" s="35"/>
      <c r="L217" s="35"/>
      <c r="M217" s="35"/>
      <c r="N217" s="35"/>
      <c r="O217" s="35"/>
      <c r="P217" s="35"/>
      <c r="Q217" s="35"/>
      <c r="R217" s="35"/>
      <c r="S217" s="35"/>
      <c r="T217" s="35"/>
      <c r="U217" s="35"/>
      <c r="V217" s="35"/>
      <c r="W217" s="35"/>
      <c r="X217" s="35"/>
      <c r="Y217" s="35"/>
      <c r="Z217" s="35"/>
      <c r="AA217" s="35"/>
      <c r="AB217" s="35"/>
      <c r="AC217" s="35"/>
      <c r="AD217" s="35"/>
      <c r="AE217" s="35"/>
      <c r="AF217" s="35"/>
      <c r="AG217" s="35"/>
      <c r="AH217" s="38"/>
    </row>
    <row r="218">
      <c r="A218" s="34"/>
      <c r="B218" s="35"/>
      <c r="C218" s="35"/>
      <c r="D218" s="36"/>
      <c r="E218" s="35"/>
      <c r="F218" s="35"/>
      <c r="G218" s="37"/>
      <c r="H218" s="35"/>
      <c r="I218" s="35"/>
      <c r="J218" s="35"/>
      <c r="K218" s="35"/>
      <c r="L218" s="35"/>
      <c r="M218" s="35"/>
      <c r="N218" s="35"/>
      <c r="O218" s="35"/>
      <c r="P218" s="35"/>
      <c r="Q218" s="35"/>
      <c r="R218" s="35"/>
      <c r="S218" s="35"/>
      <c r="T218" s="35"/>
      <c r="U218" s="35"/>
      <c r="V218" s="35"/>
      <c r="W218" s="35"/>
      <c r="X218" s="35"/>
      <c r="Y218" s="35"/>
      <c r="Z218" s="35"/>
      <c r="AA218" s="35"/>
      <c r="AB218" s="35"/>
      <c r="AC218" s="35"/>
      <c r="AD218" s="35"/>
      <c r="AE218" s="35"/>
      <c r="AF218" s="35"/>
      <c r="AG218" s="35"/>
      <c r="AH218" s="38"/>
    </row>
    <row r="219">
      <c r="A219" s="34"/>
      <c r="B219" s="35"/>
      <c r="C219" s="35"/>
      <c r="D219" s="36"/>
      <c r="E219" s="35"/>
      <c r="F219" s="35"/>
      <c r="G219" s="37"/>
      <c r="H219" s="35"/>
      <c r="I219" s="35"/>
      <c r="J219" s="35"/>
      <c r="K219" s="35"/>
      <c r="L219" s="35"/>
      <c r="M219" s="35"/>
      <c r="N219" s="35"/>
      <c r="O219" s="35"/>
      <c r="P219" s="35"/>
      <c r="Q219" s="35"/>
      <c r="R219" s="35"/>
      <c r="S219" s="35"/>
      <c r="T219" s="35"/>
      <c r="U219" s="35"/>
      <c r="V219" s="35"/>
      <c r="W219" s="35"/>
      <c r="X219" s="35"/>
      <c r="Y219" s="35"/>
      <c r="Z219" s="35"/>
      <c r="AA219" s="35"/>
      <c r="AB219" s="35"/>
      <c r="AC219" s="35"/>
      <c r="AD219" s="35"/>
      <c r="AE219" s="35"/>
      <c r="AF219" s="35"/>
      <c r="AG219" s="35"/>
      <c r="AH219" s="38"/>
    </row>
    <row r="220">
      <c r="A220" s="34"/>
      <c r="B220" s="35"/>
      <c r="C220" s="35"/>
      <c r="D220" s="36"/>
      <c r="E220" s="35"/>
      <c r="F220" s="35"/>
      <c r="G220" s="37"/>
      <c r="H220" s="35"/>
      <c r="I220" s="35"/>
      <c r="J220" s="35"/>
      <c r="K220" s="35"/>
      <c r="L220" s="35"/>
      <c r="M220" s="35"/>
      <c r="N220" s="35"/>
      <c r="O220" s="35"/>
      <c r="P220" s="35"/>
      <c r="Q220" s="35"/>
      <c r="R220" s="35"/>
      <c r="S220" s="35"/>
      <c r="T220" s="35"/>
      <c r="U220" s="35"/>
      <c r="V220" s="35"/>
      <c r="W220" s="35"/>
      <c r="X220" s="35"/>
      <c r="Y220" s="35"/>
      <c r="Z220" s="35"/>
      <c r="AA220" s="35"/>
      <c r="AB220" s="35"/>
      <c r="AC220" s="35"/>
      <c r="AD220" s="35"/>
      <c r="AE220" s="35"/>
      <c r="AF220" s="35"/>
      <c r="AG220" s="35"/>
      <c r="AH220" s="38"/>
    </row>
    <row r="221">
      <c r="A221" s="34"/>
      <c r="B221" s="35"/>
      <c r="C221" s="35"/>
      <c r="D221" s="36"/>
      <c r="E221" s="35"/>
      <c r="F221" s="35"/>
      <c r="G221" s="37"/>
      <c r="H221" s="35"/>
      <c r="I221" s="35"/>
      <c r="J221" s="35"/>
      <c r="K221" s="35"/>
      <c r="L221" s="35"/>
      <c r="M221" s="35"/>
      <c r="N221" s="35"/>
      <c r="O221" s="35"/>
      <c r="P221" s="35"/>
      <c r="Q221" s="35"/>
      <c r="R221" s="35"/>
      <c r="S221" s="35"/>
      <c r="T221" s="35"/>
      <c r="U221" s="35"/>
      <c r="V221" s="35"/>
      <c r="W221" s="35"/>
      <c r="X221" s="35"/>
      <c r="Y221" s="35"/>
      <c r="Z221" s="35"/>
      <c r="AA221" s="35"/>
      <c r="AB221" s="35"/>
      <c r="AC221" s="35"/>
      <c r="AD221" s="35"/>
      <c r="AE221" s="35"/>
      <c r="AF221" s="35"/>
      <c r="AG221" s="35"/>
      <c r="AH221" s="38"/>
    </row>
    <row r="222">
      <c r="A222" s="34"/>
      <c r="B222" s="35"/>
      <c r="C222" s="35"/>
      <c r="D222" s="36"/>
      <c r="E222" s="35"/>
      <c r="F222" s="35"/>
      <c r="G222" s="37"/>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c r="AE222" s="35"/>
      <c r="AF222" s="35"/>
      <c r="AG222" s="35"/>
      <c r="AH222" s="38"/>
    </row>
    <row r="223">
      <c r="A223" s="34"/>
      <c r="B223" s="35"/>
      <c r="C223" s="35"/>
      <c r="D223" s="36"/>
      <c r="E223" s="35"/>
      <c r="F223" s="35"/>
      <c r="G223" s="37"/>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c r="AE223" s="35"/>
      <c r="AF223" s="35"/>
      <c r="AG223" s="35"/>
      <c r="AH223" s="38"/>
    </row>
    <row r="224">
      <c r="A224" s="34"/>
      <c r="B224" s="35"/>
      <c r="C224" s="35"/>
      <c r="D224" s="36"/>
      <c r="E224" s="35"/>
      <c r="F224" s="35"/>
      <c r="G224" s="37"/>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c r="AE224" s="35"/>
      <c r="AF224" s="35"/>
      <c r="AG224" s="35"/>
      <c r="AH224" s="38"/>
    </row>
    <row r="225">
      <c r="A225" s="34"/>
      <c r="B225" s="35"/>
      <c r="C225" s="35"/>
      <c r="D225" s="36"/>
      <c r="E225" s="35"/>
      <c r="F225" s="35"/>
      <c r="G225" s="37"/>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c r="AF225" s="35"/>
      <c r="AG225" s="35"/>
      <c r="AH225" s="38"/>
    </row>
    <row r="226">
      <c r="A226" s="34"/>
      <c r="B226" s="35"/>
      <c r="C226" s="35"/>
      <c r="D226" s="36"/>
      <c r="E226" s="35"/>
      <c r="F226" s="35"/>
      <c r="G226" s="37"/>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c r="AE226" s="35"/>
      <c r="AF226" s="35"/>
      <c r="AG226" s="35"/>
      <c r="AH226" s="38"/>
    </row>
    <row r="227">
      <c r="A227" s="34"/>
      <c r="B227" s="35"/>
      <c r="C227" s="35"/>
      <c r="D227" s="36"/>
      <c r="E227" s="35"/>
      <c r="F227" s="35"/>
      <c r="G227" s="37"/>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c r="AE227" s="35"/>
      <c r="AF227" s="35"/>
      <c r="AG227" s="35"/>
      <c r="AH227" s="38"/>
    </row>
    <row r="228">
      <c r="A228" s="34"/>
      <c r="B228" s="35"/>
      <c r="C228" s="35"/>
      <c r="D228" s="36"/>
      <c r="E228" s="35"/>
      <c r="F228" s="35"/>
      <c r="G228" s="37"/>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c r="AE228" s="35"/>
      <c r="AF228" s="35"/>
      <c r="AG228" s="35"/>
      <c r="AH228" s="38"/>
    </row>
    <row r="229">
      <c r="A229" s="34"/>
      <c r="B229" s="35"/>
      <c r="C229" s="35"/>
      <c r="D229" s="36"/>
      <c r="E229" s="35"/>
      <c r="F229" s="35"/>
      <c r="G229" s="37"/>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c r="AE229" s="35"/>
      <c r="AF229" s="35"/>
      <c r="AG229" s="35"/>
      <c r="AH229" s="38"/>
    </row>
    <row r="230">
      <c r="A230" s="34"/>
      <c r="B230" s="35"/>
      <c r="C230" s="35"/>
      <c r="D230" s="36"/>
      <c r="E230" s="35"/>
      <c r="F230" s="35"/>
      <c r="G230" s="37"/>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c r="AE230" s="35"/>
      <c r="AF230" s="35"/>
      <c r="AG230" s="35"/>
      <c r="AH230" s="38"/>
    </row>
    <row r="231">
      <c r="A231" s="34"/>
      <c r="B231" s="35"/>
      <c r="C231" s="35"/>
      <c r="D231" s="36"/>
      <c r="E231" s="35"/>
      <c r="F231" s="35"/>
      <c r="G231" s="37"/>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c r="AE231" s="35"/>
      <c r="AF231" s="35"/>
      <c r="AG231" s="35"/>
      <c r="AH231" s="38"/>
    </row>
    <row r="232">
      <c r="A232" s="34"/>
      <c r="B232" s="35"/>
      <c r="C232" s="35"/>
      <c r="D232" s="36"/>
      <c r="E232" s="35"/>
      <c r="F232" s="35"/>
      <c r="G232" s="37"/>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c r="AE232" s="35"/>
      <c r="AF232" s="35"/>
      <c r="AG232" s="35"/>
      <c r="AH232" s="38"/>
    </row>
    <row r="233">
      <c r="A233" s="34"/>
      <c r="B233" s="35"/>
      <c r="C233" s="35"/>
      <c r="D233" s="36"/>
      <c r="E233" s="35"/>
      <c r="F233" s="35"/>
      <c r="G233" s="37"/>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c r="AE233" s="35"/>
      <c r="AF233" s="35"/>
      <c r="AG233" s="35"/>
      <c r="AH233" s="38"/>
    </row>
    <row r="234">
      <c r="A234" s="34"/>
      <c r="B234" s="35"/>
      <c r="C234" s="35"/>
      <c r="D234" s="36"/>
      <c r="E234" s="35"/>
      <c r="F234" s="35"/>
      <c r="G234" s="37"/>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c r="AF234" s="35"/>
      <c r="AG234" s="35"/>
      <c r="AH234" s="38"/>
    </row>
    <row r="235">
      <c r="A235" s="34"/>
      <c r="B235" s="35"/>
      <c r="C235" s="35"/>
      <c r="D235" s="36"/>
      <c r="E235" s="35"/>
      <c r="F235" s="35"/>
      <c r="G235" s="37"/>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c r="AE235" s="35"/>
      <c r="AF235" s="35"/>
      <c r="AG235" s="35"/>
      <c r="AH235" s="38"/>
    </row>
    <row r="236">
      <c r="A236" s="34"/>
      <c r="B236" s="35"/>
      <c r="C236" s="35"/>
      <c r="D236" s="36"/>
      <c r="E236" s="35"/>
      <c r="F236" s="35"/>
      <c r="G236" s="37"/>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c r="AE236" s="35"/>
      <c r="AF236" s="35"/>
      <c r="AG236" s="35"/>
      <c r="AH236" s="38"/>
    </row>
    <row r="237">
      <c r="A237" s="34"/>
      <c r="B237" s="35"/>
      <c r="C237" s="35"/>
      <c r="D237" s="36"/>
      <c r="E237" s="35"/>
      <c r="F237" s="35"/>
      <c r="G237" s="37"/>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c r="AE237" s="35"/>
      <c r="AF237" s="35"/>
      <c r="AG237" s="35"/>
      <c r="AH237" s="38"/>
    </row>
    <row r="238">
      <c r="A238" s="34"/>
      <c r="B238" s="35"/>
      <c r="C238" s="35"/>
      <c r="D238" s="36"/>
      <c r="E238" s="35"/>
      <c r="F238" s="35"/>
      <c r="G238" s="37"/>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c r="AE238" s="35"/>
      <c r="AF238" s="35"/>
      <c r="AG238" s="35"/>
      <c r="AH238" s="38"/>
    </row>
    <row r="239">
      <c r="A239" s="34"/>
      <c r="B239" s="35"/>
      <c r="C239" s="35"/>
      <c r="D239" s="36"/>
      <c r="E239" s="35"/>
      <c r="F239" s="35"/>
      <c r="G239" s="37"/>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c r="AE239" s="35"/>
      <c r="AF239" s="35"/>
      <c r="AG239" s="35"/>
      <c r="AH239" s="38"/>
    </row>
    <row r="240">
      <c r="A240" s="34"/>
      <c r="B240" s="35"/>
      <c r="C240" s="35"/>
      <c r="D240" s="36"/>
      <c r="E240" s="35"/>
      <c r="F240" s="35"/>
      <c r="G240" s="37"/>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c r="AE240" s="35"/>
      <c r="AF240" s="35"/>
      <c r="AG240" s="35"/>
      <c r="AH240" s="38"/>
    </row>
    <row r="241">
      <c r="A241" s="34"/>
      <c r="B241" s="35"/>
      <c r="C241" s="35"/>
      <c r="D241" s="36"/>
      <c r="E241" s="35"/>
      <c r="F241" s="35"/>
      <c r="G241" s="37"/>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c r="AE241" s="35"/>
      <c r="AF241" s="35"/>
      <c r="AG241" s="35"/>
      <c r="AH241" s="38"/>
    </row>
    <row r="242">
      <c r="A242" s="34"/>
      <c r="B242" s="35"/>
      <c r="C242" s="35"/>
      <c r="D242" s="36"/>
      <c r="E242" s="35"/>
      <c r="F242" s="35"/>
      <c r="G242" s="37"/>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c r="AE242" s="35"/>
      <c r="AF242" s="35"/>
      <c r="AG242" s="35"/>
      <c r="AH242" s="38"/>
    </row>
    <row r="243">
      <c r="A243" s="34"/>
      <c r="B243" s="35"/>
      <c r="C243" s="35"/>
      <c r="D243" s="36"/>
      <c r="E243" s="35"/>
      <c r="F243" s="35"/>
      <c r="G243" s="37"/>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c r="AE243" s="35"/>
      <c r="AF243" s="35"/>
      <c r="AG243" s="35"/>
      <c r="AH243" s="38"/>
    </row>
    <row r="244">
      <c r="A244" s="34"/>
      <c r="B244" s="35"/>
      <c r="C244" s="35"/>
      <c r="D244" s="36"/>
      <c r="E244" s="35"/>
      <c r="F244" s="35"/>
      <c r="G244" s="37"/>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c r="AE244" s="35"/>
      <c r="AF244" s="35"/>
      <c r="AG244" s="35"/>
      <c r="AH244" s="38"/>
    </row>
    <row r="245">
      <c r="A245" s="34"/>
      <c r="B245" s="35"/>
      <c r="C245" s="35"/>
      <c r="D245" s="36"/>
      <c r="E245" s="35"/>
      <c r="F245" s="35"/>
      <c r="G245" s="37"/>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c r="AE245" s="35"/>
      <c r="AF245" s="35"/>
      <c r="AG245" s="35"/>
      <c r="AH245" s="38"/>
    </row>
    <row r="246">
      <c r="A246" s="34"/>
      <c r="B246" s="35"/>
      <c r="C246" s="35"/>
      <c r="D246" s="36"/>
      <c r="E246" s="35"/>
      <c r="F246" s="35"/>
      <c r="G246" s="37"/>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c r="AE246" s="35"/>
      <c r="AF246" s="35"/>
      <c r="AG246" s="35"/>
      <c r="AH246" s="38"/>
    </row>
    <row r="247">
      <c r="A247" s="34"/>
      <c r="B247" s="35"/>
      <c r="C247" s="35"/>
      <c r="D247" s="36"/>
      <c r="E247" s="35"/>
      <c r="F247" s="35"/>
      <c r="G247" s="37"/>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c r="AE247" s="35"/>
      <c r="AF247" s="35"/>
      <c r="AG247" s="35"/>
      <c r="AH247" s="38"/>
    </row>
    <row r="248">
      <c r="A248" s="34"/>
      <c r="B248" s="35"/>
      <c r="C248" s="35"/>
      <c r="D248" s="36"/>
      <c r="E248" s="35"/>
      <c r="F248" s="35"/>
      <c r="G248" s="37"/>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c r="AE248" s="35"/>
      <c r="AF248" s="35"/>
      <c r="AG248" s="35"/>
      <c r="AH248" s="38"/>
    </row>
    <row r="249">
      <c r="A249" s="34"/>
      <c r="B249" s="35"/>
      <c r="C249" s="35"/>
      <c r="D249" s="36"/>
      <c r="E249" s="35"/>
      <c r="F249" s="35"/>
      <c r="G249" s="37"/>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c r="AE249" s="35"/>
      <c r="AF249" s="35"/>
      <c r="AG249" s="35"/>
      <c r="AH249" s="38"/>
    </row>
    <row r="250">
      <c r="A250" s="34"/>
      <c r="B250" s="35"/>
      <c r="C250" s="35"/>
      <c r="D250" s="36"/>
      <c r="E250" s="35"/>
      <c r="F250" s="35"/>
      <c r="G250" s="37"/>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c r="AE250" s="35"/>
      <c r="AF250" s="35"/>
      <c r="AG250" s="35"/>
      <c r="AH250" s="38"/>
    </row>
    <row r="251">
      <c r="A251" s="34"/>
      <c r="B251" s="35"/>
      <c r="C251" s="35"/>
      <c r="D251" s="36"/>
      <c r="E251" s="35"/>
      <c r="F251" s="35"/>
      <c r="G251" s="37"/>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c r="AE251" s="35"/>
      <c r="AF251" s="35"/>
      <c r="AG251" s="35"/>
      <c r="AH251" s="38"/>
    </row>
    <row r="252">
      <c r="A252" s="34"/>
      <c r="B252" s="35"/>
      <c r="C252" s="35"/>
      <c r="D252" s="36"/>
      <c r="E252" s="35"/>
      <c r="F252" s="35"/>
      <c r="G252" s="37"/>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c r="AE252" s="35"/>
      <c r="AF252" s="35"/>
      <c r="AG252" s="35"/>
      <c r="AH252" s="38"/>
    </row>
    <row r="253">
      <c r="A253" s="34"/>
      <c r="B253" s="35"/>
      <c r="C253" s="35"/>
      <c r="D253" s="36"/>
      <c r="E253" s="35"/>
      <c r="F253" s="35"/>
      <c r="G253" s="37"/>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c r="AE253" s="35"/>
      <c r="AF253" s="35"/>
      <c r="AG253" s="35"/>
      <c r="AH253" s="38"/>
    </row>
    <row r="254">
      <c r="A254" s="34"/>
      <c r="B254" s="35"/>
      <c r="C254" s="35"/>
      <c r="D254" s="36"/>
      <c r="E254" s="35"/>
      <c r="F254" s="35"/>
      <c r="G254" s="37"/>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c r="AE254" s="35"/>
      <c r="AF254" s="35"/>
      <c r="AG254" s="35"/>
      <c r="AH254" s="38"/>
    </row>
    <row r="255">
      <c r="A255" s="34"/>
      <c r="B255" s="35"/>
      <c r="C255" s="35"/>
      <c r="D255" s="36"/>
      <c r="E255" s="35"/>
      <c r="F255" s="35"/>
      <c r="G255" s="37"/>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c r="AE255" s="35"/>
      <c r="AF255" s="35"/>
      <c r="AG255" s="35"/>
      <c r="AH255" s="38"/>
    </row>
    <row r="256">
      <c r="A256" s="34"/>
      <c r="B256" s="35"/>
      <c r="C256" s="35"/>
      <c r="D256" s="36"/>
      <c r="E256" s="35"/>
      <c r="F256" s="35"/>
      <c r="G256" s="37"/>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c r="AE256" s="35"/>
      <c r="AF256" s="35"/>
      <c r="AG256" s="35"/>
      <c r="AH256" s="38"/>
    </row>
    <row r="257">
      <c r="A257" s="34"/>
      <c r="B257" s="35"/>
      <c r="C257" s="35"/>
      <c r="D257" s="36"/>
      <c r="E257" s="35"/>
      <c r="F257" s="35"/>
      <c r="G257" s="37"/>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c r="AF257" s="35"/>
      <c r="AG257" s="35"/>
      <c r="AH257" s="38"/>
    </row>
    <row r="258">
      <c r="A258" s="34"/>
      <c r="B258" s="35"/>
      <c r="C258" s="35"/>
      <c r="D258" s="36"/>
      <c r="E258" s="35"/>
      <c r="F258" s="35"/>
      <c r="G258" s="37"/>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c r="AE258" s="35"/>
      <c r="AF258" s="35"/>
      <c r="AG258" s="35"/>
      <c r="AH258" s="38"/>
    </row>
    <row r="259">
      <c r="A259" s="34"/>
      <c r="B259" s="35"/>
      <c r="C259" s="35"/>
      <c r="D259" s="36"/>
      <c r="E259" s="35"/>
      <c r="F259" s="35"/>
      <c r="G259" s="37"/>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c r="AE259" s="35"/>
      <c r="AF259" s="35"/>
      <c r="AG259" s="35"/>
      <c r="AH259" s="38"/>
    </row>
    <row r="260">
      <c r="A260" s="34"/>
      <c r="B260" s="35"/>
      <c r="C260" s="35"/>
      <c r="D260" s="36"/>
      <c r="E260" s="35"/>
      <c r="F260" s="35"/>
      <c r="G260" s="37"/>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c r="AE260" s="35"/>
      <c r="AF260" s="35"/>
      <c r="AG260" s="35"/>
      <c r="AH260" s="38"/>
    </row>
    <row r="261">
      <c r="A261" s="34"/>
      <c r="B261" s="35"/>
      <c r="C261" s="35"/>
      <c r="D261" s="36"/>
      <c r="E261" s="35"/>
      <c r="F261" s="35"/>
      <c r="G261" s="37"/>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c r="AE261" s="35"/>
      <c r="AF261" s="35"/>
      <c r="AG261" s="35"/>
      <c r="AH261" s="38"/>
    </row>
    <row r="262">
      <c r="A262" s="34"/>
      <c r="B262" s="35"/>
      <c r="C262" s="35"/>
      <c r="D262" s="36"/>
      <c r="E262" s="35"/>
      <c r="F262" s="35"/>
      <c r="G262" s="37"/>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c r="AE262" s="35"/>
      <c r="AF262" s="35"/>
      <c r="AG262" s="35"/>
      <c r="AH262" s="38"/>
    </row>
    <row r="263">
      <c r="A263" s="34"/>
      <c r="B263" s="35"/>
      <c r="C263" s="35"/>
      <c r="D263" s="36"/>
      <c r="E263" s="35"/>
      <c r="F263" s="35"/>
      <c r="G263" s="37"/>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c r="AE263" s="35"/>
      <c r="AF263" s="35"/>
      <c r="AG263" s="35"/>
      <c r="AH263" s="38"/>
    </row>
    <row r="264">
      <c r="A264" s="34"/>
      <c r="B264" s="35"/>
      <c r="C264" s="35"/>
      <c r="D264" s="36"/>
      <c r="E264" s="35"/>
      <c r="F264" s="35"/>
      <c r="G264" s="37"/>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c r="AE264" s="35"/>
      <c r="AF264" s="35"/>
      <c r="AG264" s="35"/>
      <c r="AH264" s="38"/>
    </row>
    <row r="265">
      <c r="A265" s="34"/>
      <c r="B265" s="35"/>
      <c r="C265" s="35"/>
      <c r="D265" s="36"/>
      <c r="E265" s="35"/>
      <c r="F265" s="35"/>
      <c r="G265" s="37"/>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c r="AE265" s="35"/>
      <c r="AF265" s="35"/>
      <c r="AG265" s="35"/>
      <c r="AH265" s="38"/>
    </row>
    <row r="266">
      <c r="A266" s="34"/>
      <c r="B266" s="35"/>
      <c r="C266" s="35"/>
      <c r="D266" s="36"/>
      <c r="E266" s="35"/>
      <c r="F266" s="35"/>
      <c r="G266" s="37"/>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c r="AF266" s="35"/>
      <c r="AG266" s="35"/>
      <c r="AH266" s="38"/>
    </row>
    <row r="267">
      <c r="A267" s="34"/>
      <c r="B267" s="35"/>
      <c r="C267" s="35"/>
      <c r="D267" s="36"/>
      <c r="E267" s="35"/>
      <c r="F267" s="35"/>
      <c r="G267" s="37"/>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c r="AF267" s="35"/>
      <c r="AG267" s="35"/>
      <c r="AH267" s="38"/>
    </row>
    <row r="268">
      <c r="A268" s="34"/>
      <c r="B268" s="35"/>
      <c r="C268" s="35"/>
      <c r="D268" s="36"/>
      <c r="E268" s="35"/>
      <c r="F268" s="35"/>
      <c r="G268" s="37"/>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c r="AF268" s="35"/>
      <c r="AG268" s="35"/>
      <c r="AH268" s="38"/>
    </row>
    <row r="269">
      <c r="A269" s="34"/>
      <c r="B269" s="35"/>
      <c r="C269" s="35"/>
      <c r="D269" s="36"/>
      <c r="E269" s="35"/>
      <c r="F269" s="35"/>
      <c r="G269" s="37"/>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c r="AF269" s="35"/>
      <c r="AG269" s="35"/>
      <c r="AH269" s="38"/>
    </row>
    <row r="270">
      <c r="A270" s="34"/>
      <c r="B270" s="35"/>
      <c r="C270" s="35"/>
      <c r="D270" s="36"/>
      <c r="E270" s="35"/>
      <c r="F270" s="35"/>
      <c r="G270" s="37"/>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8"/>
    </row>
    <row r="271">
      <c r="A271" s="34"/>
      <c r="B271" s="35"/>
      <c r="C271" s="35"/>
      <c r="D271" s="36"/>
      <c r="E271" s="35"/>
      <c r="F271" s="35"/>
      <c r="G271" s="37"/>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c r="AF271" s="35"/>
      <c r="AG271" s="35"/>
      <c r="AH271" s="38"/>
    </row>
    <row r="272">
      <c r="A272" s="34"/>
      <c r="B272" s="35"/>
      <c r="C272" s="35"/>
      <c r="D272" s="36"/>
      <c r="E272" s="35"/>
      <c r="F272" s="35"/>
      <c r="G272" s="37"/>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c r="AF272" s="35"/>
      <c r="AG272" s="35"/>
      <c r="AH272" s="38"/>
    </row>
    <row r="273">
      <c r="A273" s="34"/>
      <c r="B273" s="35"/>
      <c r="C273" s="35"/>
      <c r="D273" s="36"/>
      <c r="E273" s="35"/>
      <c r="F273" s="35"/>
      <c r="G273" s="37"/>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c r="AF273" s="35"/>
      <c r="AG273" s="35"/>
      <c r="AH273" s="38"/>
    </row>
    <row r="274">
      <c r="A274" s="34"/>
      <c r="B274" s="35"/>
      <c r="C274" s="35"/>
      <c r="D274" s="36"/>
      <c r="E274" s="35"/>
      <c r="F274" s="35"/>
      <c r="G274" s="37"/>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c r="AF274" s="35"/>
      <c r="AG274" s="35"/>
      <c r="AH274" s="38"/>
    </row>
    <row r="275">
      <c r="A275" s="34"/>
      <c r="B275" s="35"/>
      <c r="C275" s="35"/>
      <c r="D275" s="36"/>
      <c r="E275" s="35"/>
      <c r="F275" s="35"/>
      <c r="G275" s="37"/>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c r="AF275" s="35"/>
      <c r="AG275" s="35"/>
      <c r="AH275" s="38"/>
    </row>
    <row r="276">
      <c r="A276" s="34"/>
      <c r="B276" s="35"/>
      <c r="C276" s="35"/>
      <c r="D276" s="36"/>
      <c r="E276" s="35"/>
      <c r="F276" s="35"/>
      <c r="G276" s="37"/>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c r="AF276" s="35"/>
      <c r="AG276" s="35"/>
      <c r="AH276" s="38"/>
    </row>
    <row r="277">
      <c r="A277" s="34"/>
      <c r="B277" s="35"/>
      <c r="C277" s="35"/>
      <c r="D277" s="36"/>
      <c r="E277" s="35"/>
      <c r="F277" s="35"/>
      <c r="G277" s="37"/>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c r="AF277" s="35"/>
      <c r="AG277" s="35"/>
      <c r="AH277" s="38"/>
    </row>
    <row r="278">
      <c r="A278" s="34"/>
      <c r="B278" s="35"/>
      <c r="C278" s="35"/>
      <c r="D278" s="36"/>
      <c r="E278" s="35"/>
      <c r="F278" s="35"/>
      <c r="G278" s="37"/>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c r="AF278" s="35"/>
      <c r="AG278" s="35"/>
      <c r="AH278" s="38"/>
    </row>
    <row r="279">
      <c r="A279" s="34"/>
      <c r="B279" s="35"/>
      <c r="C279" s="35"/>
      <c r="D279" s="36"/>
      <c r="E279" s="35"/>
      <c r="F279" s="35"/>
      <c r="G279" s="37"/>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c r="AF279" s="35"/>
      <c r="AG279" s="35"/>
      <c r="AH279" s="38"/>
    </row>
    <row r="280">
      <c r="A280" s="34"/>
      <c r="B280" s="35"/>
      <c r="C280" s="35"/>
      <c r="D280" s="36"/>
      <c r="E280" s="35"/>
      <c r="F280" s="35"/>
      <c r="G280" s="37"/>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c r="AE280" s="35"/>
      <c r="AF280" s="35"/>
      <c r="AG280" s="35"/>
      <c r="AH280" s="38"/>
    </row>
    <row r="281">
      <c r="A281" s="34"/>
      <c r="B281" s="35"/>
      <c r="C281" s="35"/>
      <c r="D281" s="36"/>
      <c r="E281" s="35"/>
      <c r="F281" s="35"/>
      <c r="G281" s="37"/>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c r="AE281" s="35"/>
      <c r="AF281" s="35"/>
      <c r="AG281" s="35"/>
      <c r="AH281" s="38"/>
    </row>
    <row r="282">
      <c r="A282" s="34"/>
      <c r="B282" s="35"/>
      <c r="C282" s="35"/>
      <c r="D282" s="36"/>
      <c r="E282" s="35"/>
      <c r="F282" s="35"/>
      <c r="G282" s="37"/>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c r="AE282" s="35"/>
      <c r="AF282" s="35"/>
      <c r="AG282" s="35"/>
      <c r="AH282" s="38"/>
    </row>
    <row r="283">
      <c r="A283" s="34"/>
      <c r="B283" s="35"/>
      <c r="C283" s="35"/>
      <c r="D283" s="36"/>
      <c r="E283" s="35"/>
      <c r="F283" s="35"/>
      <c r="G283" s="37"/>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c r="AE283" s="35"/>
      <c r="AF283" s="35"/>
      <c r="AG283" s="35"/>
      <c r="AH283" s="38"/>
    </row>
    <row r="284">
      <c r="A284" s="34"/>
      <c r="B284" s="35"/>
      <c r="C284" s="35"/>
      <c r="D284" s="36"/>
      <c r="E284" s="35"/>
      <c r="F284" s="35"/>
      <c r="G284" s="37"/>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c r="AE284" s="35"/>
      <c r="AF284" s="35"/>
      <c r="AG284" s="35"/>
      <c r="AH284" s="38"/>
    </row>
    <row r="285">
      <c r="A285" s="34"/>
      <c r="B285" s="35"/>
      <c r="C285" s="35"/>
      <c r="D285" s="36"/>
      <c r="E285" s="35"/>
      <c r="F285" s="35"/>
      <c r="G285" s="37"/>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c r="AE285" s="35"/>
      <c r="AF285" s="35"/>
      <c r="AG285" s="35"/>
      <c r="AH285" s="38"/>
    </row>
    <row r="286">
      <c r="A286" s="34"/>
      <c r="B286" s="35"/>
      <c r="C286" s="35"/>
      <c r="D286" s="36"/>
      <c r="E286" s="35"/>
      <c r="F286" s="35"/>
      <c r="G286" s="37"/>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c r="AE286" s="35"/>
      <c r="AF286" s="35"/>
      <c r="AG286" s="35"/>
      <c r="AH286" s="38"/>
    </row>
    <row r="287">
      <c r="A287" s="34"/>
      <c r="B287" s="35"/>
      <c r="C287" s="35"/>
      <c r="D287" s="36"/>
      <c r="E287" s="35"/>
      <c r="F287" s="35"/>
      <c r="G287" s="37"/>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c r="AE287" s="35"/>
      <c r="AF287" s="35"/>
      <c r="AG287" s="35"/>
      <c r="AH287" s="38"/>
    </row>
    <row r="288">
      <c r="A288" s="34"/>
      <c r="B288" s="35"/>
      <c r="C288" s="35"/>
      <c r="D288" s="36"/>
      <c r="E288" s="35"/>
      <c r="F288" s="35"/>
      <c r="G288" s="37"/>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c r="AE288" s="35"/>
      <c r="AF288" s="35"/>
      <c r="AG288" s="35"/>
      <c r="AH288" s="38"/>
    </row>
    <row r="289">
      <c r="A289" s="34"/>
      <c r="B289" s="35"/>
      <c r="C289" s="35"/>
      <c r="D289" s="36"/>
      <c r="E289" s="35"/>
      <c r="F289" s="35"/>
      <c r="G289" s="37"/>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c r="AF289" s="35"/>
      <c r="AG289" s="35"/>
      <c r="AH289" s="38"/>
    </row>
    <row r="290">
      <c r="A290" s="34"/>
      <c r="B290" s="35"/>
      <c r="C290" s="35"/>
      <c r="D290" s="36"/>
      <c r="E290" s="35"/>
      <c r="F290" s="35"/>
      <c r="G290" s="37"/>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c r="AE290" s="35"/>
      <c r="AF290" s="35"/>
      <c r="AG290" s="35"/>
      <c r="AH290" s="38"/>
    </row>
    <row r="291">
      <c r="A291" s="34"/>
      <c r="B291" s="35"/>
      <c r="C291" s="35"/>
      <c r="D291" s="36"/>
      <c r="E291" s="35"/>
      <c r="F291" s="35"/>
      <c r="G291" s="37"/>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c r="AE291" s="35"/>
      <c r="AF291" s="35"/>
      <c r="AG291" s="35"/>
      <c r="AH291" s="38"/>
    </row>
    <row r="292">
      <c r="A292" s="34"/>
      <c r="B292" s="35"/>
      <c r="C292" s="35"/>
      <c r="D292" s="36"/>
      <c r="E292" s="35"/>
      <c r="F292" s="35"/>
      <c r="G292" s="37"/>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c r="AE292" s="35"/>
      <c r="AF292" s="35"/>
      <c r="AG292" s="35"/>
      <c r="AH292" s="38"/>
    </row>
    <row r="293">
      <c r="A293" s="34"/>
      <c r="B293" s="35"/>
      <c r="C293" s="35"/>
      <c r="D293" s="36"/>
      <c r="E293" s="35"/>
      <c r="F293" s="35"/>
      <c r="G293" s="37"/>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c r="AE293" s="35"/>
      <c r="AF293" s="35"/>
      <c r="AG293" s="35"/>
      <c r="AH293" s="38"/>
    </row>
    <row r="294">
      <c r="A294" s="34"/>
      <c r="B294" s="35"/>
      <c r="C294" s="35"/>
      <c r="D294" s="36"/>
      <c r="E294" s="35"/>
      <c r="F294" s="35"/>
      <c r="G294" s="37"/>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c r="AE294" s="35"/>
      <c r="AF294" s="35"/>
      <c r="AG294" s="35"/>
      <c r="AH294" s="38"/>
    </row>
    <row r="295">
      <c r="A295" s="34"/>
      <c r="B295" s="35"/>
      <c r="C295" s="35"/>
      <c r="D295" s="36"/>
      <c r="E295" s="35"/>
      <c r="F295" s="35"/>
      <c r="G295" s="37"/>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c r="AE295" s="35"/>
      <c r="AF295" s="35"/>
      <c r="AG295" s="35"/>
      <c r="AH295" s="38"/>
    </row>
    <row r="296">
      <c r="A296" s="34"/>
      <c r="B296" s="35"/>
      <c r="C296" s="35"/>
      <c r="D296" s="36"/>
      <c r="E296" s="35"/>
      <c r="F296" s="35"/>
      <c r="G296" s="37"/>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c r="AE296" s="35"/>
      <c r="AF296" s="35"/>
      <c r="AG296" s="35"/>
      <c r="AH296" s="38"/>
    </row>
    <row r="297">
      <c r="A297" s="34"/>
      <c r="B297" s="35"/>
      <c r="C297" s="35"/>
      <c r="D297" s="36"/>
      <c r="E297" s="35"/>
      <c r="F297" s="35"/>
      <c r="G297" s="37"/>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c r="AE297" s="35"/>
      <c r="AF297" s="35"/>
      <c r="AG297" s="35"/>
      <c r="AH297" s="38"/>
    </row>
    <row r="298">
      <c r="A298" s="34"/>
      <c r="B298" s="35"/>
      <c r="C298" s="35"/>
      <c r="D298" s="36"/>
      <c r="E298" s="35"/>
      <c r="F298" s="35"/>
      <c r="G298" s="37"/>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c r="AF298" s="35"/>
      <c r="AG298" s="35"/>
      <c r="AH298" s="38"/>
    </row>
    <row r="299">
      <c r="A299" s="34"/>
      <c r="B299" s="35"/>
      <c r="C299" s="35"/>
      <c r="D299" s="36"/>
      <c r="E299" s="35"/>
      <c r="F299" s="35"/>
      <c r="G299" s="37"/>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c r="AE299" s="35"/>
      <c r="AF299" s="35"/>
      <c r="AG299" s="35"/>
      <c r="AH299" s="38"/>
    </row>
    <row r="300">
      <c r="A300" s="34"/>
      <c r="B300" s="35"/>
      <c r="C300" s="35"/>
      <c r="D300" s="36"/>
      <c r="E300" s="35"/>
      <c r="F300" s="35"/>
      <c r="G300" s="37"/>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c r="AE300" s="35"/>
      <c r="AF300" s="35"/>
      <c r="AG300" s="35"/>
      <c r="AH300" s="38"/>
    </row>
    <row r="301">
      <c r="A301" s="34"/>
      <c r="B301" s="35"/>
      <c r="C301" s="35"/>
      <c r="D301" s="36"/>
      <c r="E301" s="35"/>
      <c r="F301" s="35"/>
      <c r="G301" s="37"/>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c r="AE301" s="35"/>
      <c r="AF301" s="35"/>
      <c r="AG301" s="35"/>
      <c r="AH301" s="38"/>
    </row>
    <row r="302">
      <c r="A302" s="34"/>
      <c r="B302" s="35"/>
      <c r="C302" s="35"/>
      <c r="D302" s="36"/>
      <c r="E302" s="35"/>
      <c r="F302" s="35"/>
      <c r="G302" s="37"/>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c r="AE302" s="35"/>
      <c r="AF302" s="35"/>
      <c r="AG302" s="35"/>
      <c r="AH302" s="38"/>
    </row>
    <row r="303">
      <c r="A303" s="34"/>
      <c r="B303" s="35"/>
      <c r="C303" s="35"/>
      <c r="D303" s="36"/>
      <c r="E303" s="35"/>
      <c r="F303" s="35"/>
      <c r="G303" s="37"/>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c r="AE303" s="35"/>
      <c r="AF303" s="35"/>
      <c r="AG303" s="35"/>
      <c r="AH303" s="38"/>
    </row>
    <row r="304">
      <c r="A304" s="34"/>
      <c r="B304" s="35"/>
      <c r="C304" s="35"/>
      <c r="D304" s="36"/>
      <c r="E304" s="35"/>
      <c r="F304" s="35"/>
      <c r="G304" s="37"/>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c r="AE304" s="35"/>
      <c r="AF304" s="35"/>
      <c r="AG304" s="35"/>
      <c r="AH304" s="38"/>
    </row>
    <row r="305">
      <c r="A305" s="34"/>
      <c r="B305" s="35"/>
      <c r="C305" s="35"/>
      <c r="D305" s="36"/>
      <c r="E305" s="35"/>
      <c r="F305" s="35"/>
      <c r="G305" s="37"/>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c r="AE305" s="35"/>
      <c r="AF305" s="35"/>
      <c r="AG305" s="35"/>
      <c r="AH305" s="38"/>
    </row>
    <row r="306">
      <c r="A306" s="34"/>
      <c r="B306" s="35"/>
      <c r="C306" s="35"/>
      <c r="D306" s="36"/>
      <c r="E306" s="35"/>
      <c r="F306" s="35"/>
      <c r="G306" s="37"/>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c r="AE306" s="35"/>
      <c r="AF306" s="35"/>
      <c r="AG306" s="35"/>
      <c r="AH306" s="38"/>
    </row>
    <row r="307">
      <c r="A307" s="34"/>
      <c r="B307" s="35"/>
      <c r="C307" s="35"/>
      <c r="D307" s="36"/>
      <c r="E307" s="35"/>
      <c r="F307" s="35"/>
      <c r="G307" s="37"/>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c r="AE307" s="35"/>
      <c r="AF307" s="35"/>
      <c r="AG307" s="35"/>
      <c r="AH307" s="38"/>
    </row>
    <row r="308">
      <c r="A308" s="34"/>
      <c r="B308" s="35"/>
      <c r="C308" s="35"/>
      <c r="D308" s="36"/>
      <c r="E308" s="35"/>
      <c r="F308" s="35"/>
      <c r="G308" s="37"/>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c r="AE308" s="35"/>
      <c r="AF308" s="35"/>
      <c r="AG308" s="35"/>
      <c r="AH308" s="38"/>
    </row>
    <row r="309">
      <c r="A309" s="34"/>
      <c r="B309" s="35"/>
      <c r="C309" s="35"/>
      <c r="D309" s="36"/>
      <c r="E309" s="35"/>
      <c r="F309" s="35"/>
      <c r="G309" s="37"/>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c r="AE309" s="35"/>
      <c r="AF309" s="35"/>
      <c r="AG309" s="35"/>
      <c r="AH309" s="38"/>
    </row>
    <row r="310">
      <c r="A310" s="34"/>
      <c r="B310" s="35"/>
      <c r="C310" s="35"/>
      <c r="D310" s="36"/>
      <c r="E310" s="35"/>
      <c r="F310" s="35"/>
      <c r="G310" s="37"/>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c r="AE310" s="35"/>
      <c r="AF310" s="35"/>
      <c r="AG310" s="35"/>
      <c r="AH310" s="38"/>
    </row>
    <row r="311">
      <c r="A311" s="34"/>
      <c r="B311" s="35"/>
      <c r="C311" s="35"/>
      <c r="D311" s="36"/>
      <c r="E311" s="35"/>
      <c r="F311" s="35"/>
      <c r="G311" s="37"/>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c r="AE311" s="35"/>
      <c r="AF311" s="35"/>
      <c r="AG311" s="35"/>
      <c r="AH311" s="38"/>
    </row>
    <row r="312">
      <c r="A312" s="34"/>
      <c r="B312" s="35"/>
      <c r="C312" s="35"/>
      <c r="D312" s="36"/>
      <c r="E312" s="35"/>
      <c r="F312" s="35"/>
      <c r="G312" s="37"/>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c r="AF312" s="35"/>
      <c r="AG312" s="35"/>
      <c r="AH312" s="38"/>
    </row>
    <row r="313">
      <c r="A313" s="34"/>
      <c r="B313" s="35"/>
      <c r="C313" s="35"/>
      <c r="D313" s="36"/>
      <c r="E313" s="35"/>
      <c r="F313" s="35"/>
      <c r="G313" s="37"/>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c r="AE313" s="35"/>
      <c r="AF313" s="35"/>
      <c r="AG313" s="35"/>
      <c r="AH313" s="38"/>
    </row>
    <row r="314">
      <c r="A314" s="34"/>
      <c r="B314" s="35"/>
      <c r="C314" s="35"/>
      <c r="D314" s="36"/>
      <c r="E314" s="35"/>
      <c r="F314" s="35"/>
      <c r="G314" s="37"/>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c r="AE314" s="35"/>
      <c r="AF314" s="35"/>
      <c r="AG314" s="35"/>
      <c r="AH314" s="38"/>
    </row>
    <row r="315">
      <c r="A315" s="34"/>
      <c r="B315" s="35"/>
      <c r="C315" s="35"/>
      <c r="D315" s="36"/>
      <c r="E315" s="35"/>
      <c r="F315" s="35"/>
      <c r="G315" s="37"/>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c r="AE315" s="35"/>
      <c r="AF315" s="35"/>
      <c r="AG315" s="35"/>
      <c r="AH315" s="38"/>
    </row>
    <row r="316">
      <c r="A316" s="34"/>
      <c r="B316" s="35"/>
      <c r="C316" s="35"/>
      <c r="D316" s="36"/>
      <c r="E316" s="35"/>
      <c r="F316" s="35"/>
      <c r="G316" s="37"/>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c r="AE316" s="35"/>
      <c r="AF316" s="35"/>
      <c r="AG316" s="35"/>
      <c r="AH316" s="38"/>
    </row>
    <row r="317">
      <c r="A317" s="34"/>
      <c r="B317" s="35"/>
      <c r="C317" s="35"/>
      <c r="D317" s="36"/>
      <c r="E317" s="35"/>
      <c r="F317" s="35"/>
      <c r="G317" s="37"/>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c r="AE317" s="35"/>
      <c r="AF317" s="35"/>
      <c r="AG317" s="35"/>
      <c r="AH317" s="38"/>
    </row>
    <row r="318">
      <c r="A318" s="34"/>
      <c r="B318" s="35"/>
      <c r="C318" s="35"/>
      <c r="D318" s="36"/>
      <c r="E318" s="35"/>
      <c r="F318" s="35"/>
      <c r="G318" s="37"/>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c r="AE318" s="35"/>
      <c r="AF318" s="35"/>
      <c r="AG318" s="35"/>
      <c r="AH318" s="38"/>
    </row>
    <row r="319">
      <c r="A319" s="34"/>
      <c r="B319" s="35"/>
      <c r="C319" s="35"/>
      <c r="D319" s="36"/>
      <c r="E319" s="35"/>
      <c r="F319" s="35"/>
      <c r="G319" s="37"/>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c r="AE319" s="35"/>
      <c r="AF319" s="35"/>
      <c r="AG319" s="35"/>
      <c r="AH319" s="38"/>
    </row>
    <row r="320">
      <c r="A320" s="34"/>
      <c r="B320" s="35"/>
      <c r="C320" s="35"/>
      <c r="D320" s="36"/>
      <c r="E320" s="35"/>
      <c r="F320" s="35"/>
      <c r="G320" s="37"/>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c r="AE320" s="35"/>
      <c r="AF320" s="35"/>
      <c r="AG320" s="35"/>
      <c r="AH320" s="38"/>
    </row>
    <row r="321">
      <c r="A321" s="34"/>
      <c r="B321" s="35"/>
      <c r="C321" s="35"/>
      <c r="D321" s="36"/>
      <c r="E321" s="35"/>
      <c r="F321" s="35"/>
      <c r="G321" s="37"/>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c r="AE321" s="35"/>
      <c r="AF321" s="35"/>
      <c r="AG321" s="35"/>
      <c r="AH321" s="38"/>
    </row>
    <row r="322">
      <c r="A322" s="34"/>
      <c r="B322" s="35"/>
      <c r="C322" s="35"/>
      <c r="D322" s="36"/>
      <c r="E322" s="35"/>
      <c r="F322" s="35"/>
      <c r="G322" s="37"/>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c r="AE322" s="35"/>
      <c r="AF322" s="35"/>
      <c r="AG322" s="35"/>
      <c r="AH322" s="38"/>
    </row>
    <row r="323">
      <c r="A323" s="34"/>
      <c r="B323" s="35"/>
      <c r="C323" s="35"/>
      <c r="D323" s="36"/>
      <c r="E323" s="35"/>
      <c r="F323" s="35"/>
      <c r="G323" s="37"/>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c r="AE323" s="35"/>
      <c r="AF323" s="35"/>
      <c r="AG323" s="35"/>
      <c r="AH323" s="38"/>
    </row>
    <row r="324">
      <c r="A324" s="34"/>
      <c r="B324" s="35"/>
      <c r="C324" s="35"/>
      <c r="D324" s="36"/>
      <c r="E324" s="35"/>
      <c r="F324" s="35"/>
      <c r="G324" s="37"/>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c r="AF324" s="35"/>
      <c r="AG324" s="35"/>
      <c r="AH324" s="38"/>
    </row>
    <row r="325">
      <c r="A325" s="34"/>
      <c r="B325" s="35"/>
      <c r="C325" s="35"/>
      <c r="D325" s="36"/>
      <c r="E325" s="35"/>
      <c r="F325" s="35"/>
      <c r="G325" s="37"/>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c r="AE325" s="35"/>
      <c r="AF325" s="35"/>
      <c r="AG325" s="35"/>
      <c r="AH325" s="38"/>
    </row>
    <row r="326">
      <c r="A326" s="34"/>
      <c r="B326" s="35"/>
      <c r="C326" s="35"/>
      <c r="D326" s="36"/>
      <c r="E326" s="35"/>
      <c r="F326" s="35"/>
      <c r="G326" s="37"/>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c r="AE326" s="35"/>
      <c r="AF326" s="35"/>
      <c r="AG326" s="35"/>
      <c r="AH326" s="38"/>
    </row>
    <row r="327">
      <c r="A327" s="34"/>
      <c r="B327" s="35"/>
      <c r="C327" s="35"/>
      <c r="D327" s="36"/>
      <c r="E327" s="35"/>
      <c r="F327" s="35"/>
      <c r="G327" s="37"/>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c r="AE327" s="35"/>
      <c r="AF327" s="35"/>
      <c r="AG327" s="35"/>
      <c r="AH327" s="38"/>
    </row>
    <row r="328">
      <c r="A328" s="34"/>
      <c r="B328" s="35"/>
      <c r="C328" s="35"/>
      <c r="D328" s="36"/>
      <c r="E328" s="35"/>
      <c r="F328" s="35"/>
      <c r="G328" s="37"/>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c r="AE328" s="35"/>
      <c r="AF328" s="35"/>
      <c r="AG328" s="35"/>
      <c r="AH328" s="38"/>
    </row>
    <row r="329">
      <c r="A329" s="34"/>
      <c r="B329" s="35"/>
      <c r="C329" s="35"/>
      <c r="D329" s="36"/>
      <c r="E329" s="35"/>
      <c r="F329" s="35"/>
      <c r="G329" s="37"/>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c r="AE329" s="35"/>
      <c r="AF329" s="35"/>
      <c r="AG329" s="35"/>
      <c r="AH329" s="38"/>
    </row>
    <row r="330">
      <c r="A330" s="34"/>
      <c r="B330" s="35"/>
      <c r="C330" s="35"/>
      <c r="D330" s="36"/>
      <c r="E330" s="35"/>
      <c r="F330" s="35"/>
      <c r="G330" s="37"/>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c r="AF330" s="35"/>
      <c r="AG330" s="35"/>
      <c r="AH330" s="38"/>
    </row>
    <row r="331">
      <c r="A331" s="34"/>
      <c r="B331" s="35"/>
      <c r="C331" s="35"/>
      <c r="D331" s="36"/>
      <c r="E331" s="35"/>
      <c r="F331" s="35"/>
      <c r="G331" s="37"/>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c r="AE331" s="35"/>
      <c r="AF331" s="35"/>
      <c r="AG331" s="35"/>
      <c r="AH331" s="38"/>
    </row>
    <row r="332">
      <c r="A332" s="34"/>
      <c r="B332" s="35"/>
      <c r="C332" s="35"/>
      <c r="D332" s="36"/>
      <c r="E332" s="35"/>
      <c r="F332" s="35"/>
      <c r="G332" s="37"/>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c r="AE332" s="35"/>
      <c r="AF332" s="35"/>
      <c r="AG332" s="35"/>
      <c r="AH332" s="38"/>
    </row>
    <row r="333">
      <c r="A333" s="34"/>
      <c r="B333" s="35"/>
      <c r="C333" s="35"/>
      <c r="D333" s="36"/>
      <c r="E333" s="35"/>
      <c r="F333" s="35"/>
      <c r="G333" s="37"/>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c r="AE333" s="35"/>
      <c r="AF333" s="35"/>
      <c r="AG333" s="35"/>
      <c r="AH333" s="38"/>
    </row>
    <row r="334">
      <c r="A334" s="34"/>
      <c r="B334" s="35"/>
      <c r="C334" s="35"/>
      <c r="D334" s="36"/>
      <c r="E334" s="35"/>
      <c r="F334" s="35"/>
      <c r="G334" s="37"/>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c r="AE334" s="35"/>
      <c r="AF334" s="35"/>
      <c r="AG334" s="35"/>
      <c r="AH334" s="38"/>
    </row>
    <row r="335">
      <c r="A335" s="34"/>
      <c r="B335" s="35"/>
      <c r="C335" s="35"/>
      <c r="D335" s="36"/>
      <c r="E335" s="35"/>
      <c r="F335" s="35"/>
      <c r="G335" s="37"/>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c r="AE335" s="35"/>
      <c r="AF335" s="35"/>
      <c r="AG335" s="35"/>
      <c r="AH335" s="38"/>
    </row>
    <row r="336">
      <c r="A336" s="34"/>
      <c r="B336" s="35"/>
      <c r="C336" s="35"/>
      <c r="D336" s="36"/>
      <c r="E336" s="35"/>
      <c r="F336" s="35"/>
      <c r="G336" s="37"/>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c r="AE336" s="35"/>
      <c r="AF336" s="35"/>
      <c r="AG336" s="35"/>
      <c r="AH336" s="38"/>
    </row>
    <row r="337">
      <c r="A337" s="34"/>
      <c r="B337" s="35"/>
      <c r="C337" s="35"/>
      <c r="D337" s="36"/>
      <c r="E337" s="35"/>
      <c r="F337" s="35"/>
      <c r="G337" s="37"/>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c r="AE337" s="35"/>
      <c r="AF337" s="35"/>
      <c r="AG337" s="35"/>
      <c r="AH337" s="38"/>
    </row>
    <row r="338">
      <c r="A338" s="34"/>
      <c r="B338" s="35"/>
      <c r="C338" s="35"/>
      <c r="D338" s="36"/>
      <c r="E338" s="35"/>
      <c r="F338" s="35"/>
      <c r="G338" s="37"/>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c r="AE338" s="35"/>
      <c r="AF338" s="35"/>
      <c r="AG338" s="35"/>
      <c r="AH338" s="38"/>
    </row>
    <row r="339">
      <c r="A339" s="34"/>
      <c r="B339" s="35"/>
      <c r="C339" s="35"/>
      <c r="D339" s="36"/>
      <c r="E339" s="35"/>
      <c r="F339" s="35"/>
      <c r="G339" s="37"/>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c r="AE339" s="35"/>
      <c r="AF339" s="35"/>
      <c r="AG339" s="35"/>
      <c r="AH339" s="38"/>
    </row>
    <row r="340">
      <c r="A340" s="34"/>
      <c r="B340" s="35"/>
      <c r="C340" s="35"/>
      <c r="D340" s="36"/>
      <c r="E340" s="35"/>
      <c r="F340" s="35"/>
      <c r="G340" s="37"/>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c r="AE340" s="35"/>
      <c r="AF340" s="35"/>
      <c r="AG340" s="35"/>
      <c r="AH340" s="38"/>
    </row>
    <row r="341">
      <c r="A341" s="34"/>
      <c r="B341" s="35"/>
      <c r="C341" s="35"/>
      <c r="D341" s="36"/>
      <c r="E341" s="35"/>
      <c r="F341" s="35"/>
      <c r="G341" s="37"/>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c r="AE341" s="35"/>
      <c r="AF341" s="35"/>
      <c r="AG341" s="35"/>
      <c r="AH341" s="38"/>
    </row>
    <row r="342">
      <c r="A342" s="34"/>
      <c r="B342" s="35"/>
      <c r="C342" s="35"/>
      <c r="D342" s="36"/>
      <c r="E342" s="35"/>
      <c r="F342" s="35"/>
      <c r="G342" s="37"/>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c r="AE342" s="35"/>
      <c r="AF342" s="35"/>
      <c r="AG342" s="35"/>
      <c r="AH342" s="38"/>
    </row>
    <row r="343">
      <c r="A343" s="34"/>
      <c r="B343" s="35"/>
      <c r="C343" s="35"/>
      <c r="D343" s="36"/>
      <c r="E343" s="35"/>
      <c r="F343" s="35"/>
      <c r="G343" s="37"/>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c r="AE343" s="35"/>
      <c r="AF343" s="35"/>
      <c r="AG343" s="35"/>
      <c r="AH343" s="38"/>
    </row>
    <row r="344">
      <c r="A344" s="34"/>
      <c r="B344" s="35"/>
      <c r="C344" s="35"/>
      <c r="D344" s="36"/>
      <c r="E344" s="35"/>
      <c r="F344" s="35"/>
      <c r="G344" s="37"/>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c r="AE344" s="35"/>
      <c r="AF344" s="35"/>
      <c r="AG344" s="35"/>
      <c r="AH344" s="38"/>
    </row>
    <row r="345">
      <c r="A345" s="34"/>
      <c r="B345" s="35"/>
      <c r="C345" s="35"/>
      <c r="D345" s="36"/>
      <c r="E345" s="35"/>
      <c r="F345" s="35"/>
      <c r="G345" s="37"/>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c r="AE345" s="35"/>
      <c r="AF345" s="35"/>
      <c r="AG345" s="35"/>
      <c r="AH345" s="38"/>
    </row>
    <row r="346">
      <c r="A346" s="34"/>
      <c r="B346" s="35"/>
      <c r="C346" s="35"/>
      <c r="D346" s="36"/>
      <c r="E346" s="35"/>
      <c r="F346" s="35"/>
      <c r="G346" s="37"/>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c r="AE346" s="35"/>
      <c r="AF346" s="35"/>
      <c r="AG346" s="35"/>
      <c r="AH346" s="38"/>
    </row>
    <row r="347">
      <c r="A347" s="34"/>
      <c r="B347" s="35"/>
      <c r="C347" s="35"/>
      <c r="D347" s="36"/>
      <c r="E347" s="35"/>
      <c r="F347" s="35"/>
      <c r="G347" s="37"/>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c r="AE347" s="35"/>
      <c r="AF347" s="35"/>
      <c r="AG347" s="35"/>
      <c r="AH347" s="38"/>
    </row>
    <row r="348">
      <c r="A348" s="34"/>
      <c r="B348" s="35"/>
      <c r="C348" s="35"/>
      <c r="D348" s="36"/>
      <c r="E348" s="35"/>
      <c r="F348" s="35"/>
      <c r="G348" s="37"/>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c r="AE348" s="35"/>
      <c r="AF348" s="35"/>
      <c r="AG348" s="35"/>
      <c r="AH348" s="38"/>
    </row>
    <row r="349">
      <c r="A349" s="34"/>
      <c r="B349" s="35"/>
      <c r="C349" s="35"/>
      <c r="D349" s="36"/>
      <c r="E349" s="35"/>
      <c r="F349" s="35"/>
      <c r="G349" s="37"/>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c r="AE349" s="35"/>
      <c r="AF349" s="35"/>
      <c r="AG349" s="35"/>
      <c r="AH349" s="38"/>
    </row>
    <row r="350">
      <c r="A350" s="34"/>
      <c r="B350" s="35"/>
      <c r="C350" s="35"/>
      <c r="D350" s="36"/>
      <c r="E350" s="35"/>
      <c r="F350" s="35"/>
      <c r="G350" s="37"/>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c r="AE350" s="35"/>
      <c r="AF350" s="35"/>
      <c r="AG350" s="35"/>
      <c r="AH350" s="38"/>
    </row>
    <row r="351">
      <c r="A351" s="34"/>
      <c r="B351" s="35"/>
      <c r="C351" s="35"/>
      <c r="D351" s="36"/>
      <c r="E351" s="35"/>
      <c r="F351" s="35"/>
      <c r="G351" s="37"/>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c r="AE351" s="35"/>
      <c r="AF351" s="35"/>
      <c r="AG351" s="35"/>
      <c r="AH351" s="38"/>
    </row>
    <row r="352">
      <c r="A352" s="34"/>
      <c r="B352" s="35"/>
      <c r="C352" s="35"/>
      <c r="D352" s="36"/>
      <c r="E352" s="35"/>
      <c r="F352" s="35"/>
      <c r="G352" s="37"/>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c r="AE352" s="35"/>
      <c r="AF352" s="35"/>
      <c r="AG352" s="35"/>
      <c r="AH352" s="38"/>
    </row>
    <row r="353">
      <c r="A353" s="34"/>
      <c r="B353" s="35"/>
      <c r="C353" s="35"/>
      <c r="D353" s="36"/>
      <c r="E353" s="35"/>
      <c r="F353" s="35"/>
      <c r="G353" s="37"/>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c r="AE353" s="35"/>
      <c r="AF353" s="35"/>
      <c r="AG353" s="35"/>
      <c r="AH353" s="38"/>
    </row>
    <row r="354">
      <c r="A354" s="34"/>
      <c r="B354" s="35"/>
      <c r="C354" s="35"/>
      <c r="D354" s="36"/>
      <c r="E354" s="35"/>
      <c r="F354" s="35"/>
      <c r="G354" s="37"/>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c r="AE354" s="35"/>
      <c r="AF354" s="35"/>
      <c r="AG354" s="35"/>
      <c r="AH354" s="38"/>
    </row>
    <row r="355">
      <c r="A355" s="34"/>
      <c r="B355" s="35"/>
      <c r="C355" s="35"/>
      <c r="D355" s="36"/>
      <c r="E355" s="35"/>
      <c r="F355" s="35"/>
      <c r="G355" s="37"/>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c r="AE355" s="35"/>
      <c r="AF355" s="35"/>
      <c r="AG355" s="35"/>
      <c r="AH355" s="38"/>
    </row>
    <row r="356">
      <c r="A356" s="34"/>
      <c r="B356" s="35"/>
      <c r="C356" s="35"/>
      <c r="D356" s="36"/>
      <c r="E356" s="35"/>
      <c r="F356" s="35"/>
      <c r="G356" s="37"/>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c r="AE356" s="35"/>
      <c r="AF356" s="35"/>
      <c r="AG356" s="35"/>
      <c r="AH356" s="38"/>
    </row>
    <row r="357">
      <c r="A357" s="34"/>
      <c r="B357" s="35"/>
      <c r="C357" s="35"/>
      <c r="D357" s="36"/>
      <c r="E357" s="35"/>
      <c r="F357" s="35"/>
      <c r="G357" s="37"/>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c r="AE357" s="35"/>
      <c r="AF357" s="35"/>
      <c r="AG357" s="35"/>
      <c r="AH357" s="38"/>
    </row>
    <row r="358">
      <c r="A358" s="34"/>
      <c r="B358" s="35"/>
      <c r="C358" s="35"/>
      <c r="D358" s="36"/>
      <c r="E358" s="35"/>
      <c r="F358" s="35"/>
      <c r="G358" s="37"/>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c r="AE358" s="35"/>
      <c r="AF358" s="35"/>
      <c r="AG358" s="35"/>
      <c r="AH358" s="38"/>
    </row>
    <row r="359">
      <c r="A359" s="34"/>
      <c r="B359" s="35"/>
      <c r="C359" s="35"/>
      <c r="D359" s="36"/>
      <c r="E359" s="35"/>
      <c r="F359" s="35"/>
      <c r="G359" s="37"/>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c r="AE359" s="35"/>
      <c r="AF359" s="35"/>
      <c r="AG359" s="35"/>
      <c r="AH359" s="38"/>
    </row>
    <row r="360">
      <c r="A360" s="34"/>
      <c r="B360" s="35"/>
      <c r="C360" s="35"/>
      <c r="D360" s="36"/>
      <c r="E360" s="35"/>
      <c r="F360" s="35"/>
      <c r="G360" s="37"/>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c r="AE360" s="35"/>
      <c r="AF360" s="35"/>
      <c r="AG360" s="35"/>
      <c r="AH360" s="38"/>
    </row>
    <row r="361">
      <c r="A361" s="34"/>
      <c r="B361" s="35"/>
      <c r="C361" s="35"/>
      <c r="D361" s="36"/>
      <c r="E361" s="35"/>
      <c r="F361" s="35"/>
      <c r="G361" s="37"/>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c r="AE361" s="35"/>
      <c r="AF361" s="35"/>
      <c r="AG361" s="35"/>
      <c r="AH361" s="38"/>
    </row>
    <row r="362">
      <c r="A362" s="34"/>
      <c r="B362" s="35"/>
      <c r="C362" s="35"/>
      <c r="D362" s="36"/>
      <c r="E362" s="35"/>
      <c r="F362" s="35"/>
      <c r="G362" s="37"/>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c r="AF362" s="35"/>
      <c r="AG362" s="35"/>
      <c r="AH362" s="38"/>
    </row>
    <row r="363">
      <c r="A363" s="34"/>
      <c r="B363" s="35"/>
      <c r="C363" s="35"/>
      <c r="D363" s="36"/>
      <c r="E363" s="35"/>
      <c r="F363" s="35"/>
      <c r="G363" s="37"/>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c r="AE363" s="35"/>
      <c r="AF363" s="35"/>
      <c r="AG363" s="35"/>
      <c r="AH363" s="38"/>
    </row>
    <row r="364">
      <c r="A364" s="34"/>
      <c r="B364" s="35"/>
      <c r="C364" s="35"/>
      <c r="D364" s="36"/>
      <c r="E364" s="35"/>
      <c r="F364" s="35"/>
      <c r="G364" s="37"/>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c r="AE364" s="35"/>
      <c r="AF364" s="35"/>
      <c r="AG364" s="35"/>
      <c r="AH364" s="38"/>
    </row>
    <row r="365">
      <c r="A365" s="34"/>
      <c r="B365" s="35"/>
      <c r="C365" s="35"/>
      <c r="D365" s="36"/>
      <c r="E365" s="35"/>
      <c r="F365" s="35"/>
      <c r="G365" s="37"/>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c r="AE365" s="35"/>
      <c r="AF365" s="35"/>
      <c r="AG365" s="35"/>
      <c r="AH365" s="38"/>
    </row>
    <row r="366">
      <c r="A366" s="34"/>
      <c r="B366" s="35"/>
      <c r="C366" s="35"/>
      <c r="D366" s="36"/>
      <c r="E366" s="35"/>
      <c r="F366" s="35"/>
      <c r="G366" s="37"/>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c r="AE366" s="35"/>
      <c r="AF366" s="35"/>
      <c r="AG366" s="35"/>
      <c r="AH366" s="38"/>
    </row>
    <row r="367">
      <c r="A367" s="34"/>
      <c r="B367" s="35"/>
      <c r="C367" s="35"/>
      <c r="D367" s="36"/>
      <c r="E367" s="35"/>
      <c r="F367" s="35"/>
      <c r="G367" s="37"/>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c r="AE367" s="35"/>
      <c r="AF367" s="35"/>
      <c r="AG367" s="35"/>
      <c r="AH367" s="38"/>
    </row>
    <row r="368">
      <c r="A368" s="34"/>
      <c r="B368" s="35"/>
      <c r="C368" s="35"/>
      <c r="D368" s="36"/>
      <c r="E368" s="35"/>
      <c r="F368" s="35"/>
      <c r="G368" s="37"/>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c r="AE368" s="35"/>
      <c r="AF368" s="35"/>
      <c r="AG368" s="35"/>
      <c r="AH368" s="38"/>
    </row>
    <row r="369">
      <c r="A369" s="34"/>
      <c r="B369" s="35"/>
      <c r="C369" s="35"/>
      <c r="D369" s="36"/>
      <c r="E369" s="35"/>
      <c r="F369" s="35"/>
      <c r="G369" s="37"/>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c r="AE369" s="35"/>
      <c r="AF369" s="35"/>
      <c r="AG369" s="35"/>
      <c r="AH369" s="38"/>
    </row>
    <row r="370">
      <c r="A370" s="34"/>
      <c r="B370" s="35"/>
      <c r="C370" s="35"/>
      <c r="D370" s="36"/>
      <c r="E370" s="35"/>
      <c r="F370" s="35"/>
      <c r="G370" s="37"/>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c r="AE370" s="35"/>
      <c r="AF370" s="35"/>
      <c r="AG370" s="35"/>
      <c r="AH370" s="38"/>
    </row>
    <row r="371">
      <c r="A371" s="34"/>
      <c r="B371" s="35"/>
      <c r="C371" s="35"/>
      <c r="D371" s="36"/>
      <c r="E371" s="35"/>
      <c r="F371" s="35"/>
      <c r="G371" s="37"/>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c r="AE371" s="35"/>
      <c r="AF371" s="35"/>
      <c r="AG371" s="35"/>
      <c r="AH371" s="38"/>
    </row>
    <row r="372">
      <c r="A372" s="34"/>
      <c r="B372" s="35"/>
      <c r="C372" s="35"/>
      <c r="D372" s="36"/>
      <c r="E372" s="35"/>
      <c r="F372" s="35"/>
      <c r="G372" s="37"/>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c r="AE372" s="35"/>
      <c r="AF372" s="35"/>
      <c r="AG372" s="35"/>
      <c r="AH372" s="38"/>
    </row>
    <row r="373">
      <c r="A373" s="34"/>
      <c r="B373" s="35"/>
      <c r="C373" s="35"/>
      <c r="D373" s="36"/>
      <c r="E373" s="35"/>
      <c r="F373" s="35"/>
      <c r="G373" s="37"/>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c r="AE373" s="35"/>
      <c r="AF373" s="35"/>
      <c r="AG373" s="35"/>
      <c r="AH373" s="38"/>
    </row>
    <row r="374">
      <c r="A374" s="34"/>
      <c r="B374" s="35"/>
      <c r="C374" s="35"/>
      <c r="D374" s="36"/>
      <c r="E374" s="35"/>
      <c r="F374" s="35"/>
      <c r="G374" s="37"/>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c r="AE374" s="35"/>
      <c r="AF374" s="35"/>
      <c r="AG374" s="35"/>
      <c r="AH374" s="38"/>
    </row>
    <row r="375">
      <c r="A375" s="34"/>
      <c r="B375" s="35"/>
      <c r="C375" s="35"/>
      <c r="D375" s="36"/>
      <c r="E375" s="35"/>
      <c r="F375" s="35"/>
      <c r="G375" s="37"/>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c r="AE375" s="35"/>
      <c r="AF375" s="35"/>
      <c r="AG375" s="35"/>
      <c r="AH375" s="38"/>
    </row>
    <row r="376">
      <c r="A376" s="34"/>
      <c r="B376" s="35"/>
      <c r="C376" s="35"/>
      <c r="D376" s="36"/>
      <c r="E376" s="35"/>
      <c r="F376" s="35"/>
      <c r="G376" s="37"/>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c r="AE376" s="35"/>
      <c r="AF376" s="35"/>
      <c r="AG376" s="35"/>
      <c r="AH376" s="38"/>
    </row>
    <row r="377">
      <c r="A377" s="34"/>
      <c r="B377" s="35"/>
      <c r="C377" s="35"/>
      <c r="D377" s="36"/>
      <c r="E377" s="35"/>
      <c r="F377" s="35"/>
      <c r="G377" s="37"/>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c r="AE377" s="35"/>
      <c r="AF377" s="35"/>
      <c r="AG377" s="35"/>
      <c r="AH377" s="38"/>
    </row>
    <row r="378">
      <c r="A378" s="34"/>
      <c r="B378" s="35"/>
      <c r="C378" s="35"/>
      <c r="D378" s="36"/>
      <c r="E378" s="35"/>
      <c r="F378" s="35"/>
      <c r="G378" s="37"/>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c r="AE378" s="35"/>
      <c r="AF378" s="35"/>
      <c r="AG378" s="35"/>
      <c r="AH378" s="38"/>
    </row>
    <row r="379">
      <c r="A379" s="34"/>
      <c r="B379" s="35"/>
      <c r="C379" s="35"/>
      <c r="D379" s="36"/>
      <c r="E379" s="35"/>
      <c r="F379" s="35"/>
      <c r="G379" s="37"/>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c r="AE379" s="35"/>
      <c r="AF379" s="35"/>
      <c r="AG379" s="35"/>
      <c r="AH379" s="38"/>
    </row>
    <row r="380">
      <c r="A380" s="34"/>
      <c r="B380" s="35"/>
      <c r="C380" s="35"/>
      <c r="D380" s="36"/>
      <c r="E380" s="35"/>
      <c r="F380" s="35"/>
      <c r="G380" s="37"/>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c r="AE380" s="35"/>
      <c r="AF380" s="35"/>
      <c r="AG380" s="35"/>
      <c r="AH380" s="38"/>
    </row>
    <row r="381">
      <c r="A381" s="34"/>
      <c r="B381" s="35"/>
      <c r="C381" s="35"/>
      <c r="D381" s="36"/>
      <c r="E381" s="35"/>
      <c r="F381" s="35"/>
      <c r="G381" s="37"/>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c r="AE381" s="35"/>
      <c r="AF381" s="35"/>
      <c r="AG381" s="35"/>
      <c r="AH381" s="38"/>
    </row>
    <row r="382">
      <c r="A382" s="34"/>
      <c r="B382" s="35"/>
      <c r="C382" s="35"/>
      <c r="D382" s="36"/>
      <c r="E382" s="35"/>
      <c r="F382" s="35"/>
      <c r="G382" s="37"/>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c r="AE382" s="35"/>
      <c r="AF382" s="35"/>
      <c r="AG382" s="35"/>
      <c r="AH382" s="38"/>
    </row>
    <row r="383">
      <c r="A383" s="34"/>
      <c r="B383" s="35"/>
      <c r="C383" s="35"/>
      <c r="D383" s="36"/>
      <c r="E383" s="35"/>
      <c r="F383" s="35"/>
      <c r="G383" s="37"/>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c r="AE383" s="35"/>
      <c r="AF383" s="35"/>
      <c r="AG383" s="35"/>
      <c r="AH383" s="38"/>
    </row>
    <row r="384">
      <c r="A384" s="34"/>
      <c r="B384" s="35"/>
      <c r="C384" s="35"/>
      <c r="D384" s="36"/>
      <c r="E384" s="35"/>
      <c r="F384" s="35"/>
      <c r="G384" s="37"/>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c r="AE384" s="35"/>
      <c r="AF384" s="35"/>
      <c r="AG384" s="35"/>
      <c r="AH384" s="38"/>
    </row>
    <row r="385">
      <c r="A385" s="34"/>
      <c r="B385" s="35"/>
      <c r="C385" s="35"/>
      <c r="D385" s="36"/>
      <c r="E385" s="35"/>
      <c r="F385" s="35"/>
      <c r="G385" s="37"/>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8"/>
    </row>
    <row r="386">
      <c r="A386" s="34"/>
      <c r="B386" s="35"/>
      <c r="C386" s="35"/>
      <c r="D386" s="36"/>
      <c r="E386" s="35"/>
      <c r="F386" s="35"/>
      <c r="G386" s="37"/>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8"/>
    </row>
    <row r="387">
      <c r="A387" s="34"/>
      <c r="B387" s="35"/>
      <c r="C387" s="35"/>
      <c r="D387" s="36"/>
      <c r="E387" s="35"/>
      <c r="F387" s="35"/>
      <c r="G387" s="37"/>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c r="AE387" s="35"/>
      <c r="AF387" s="35"/>
      <c r="AG387" s="35"/>
      <c r="AH387" s="38"/>
    </row>
    <row r="388">
      <c r="A388" s="34"/>
      <c r="B388" s="35"/>
      <c r="C388" s="35"/>
      <c r="D388" s="36"/>
      <c r="E388" s="35"/>
      <c r="F388" s="35"/>
      <c r="G388" s="37"/>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c r="AE388" s="35"/>
      <c r="AF388" s="35"/>
      <c r="AG388" s="35"/>
      <c r="AH388" s="38"/>
    </row>
    <row r="389">
      <c r="A389" s="34"/>
      <c r="B389" s="35"/>
      <c r="C389" s="35"/>
      <c r="D389" s="36"/>
      <c r="E389" s="35"/>
      <c r="F389" s="35"/>
      <c r="G389" s="37"/>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c r="AE389" s="35"/>
      <c r="AF389" s="35"/>
      <c r="AG389" s="35"/>
      <c r="AH389" s="38"/>
    </row>
    <row r="390">
      <c r="A390" s="34"/>
      <c r="B390" s="35"/>
      <c r="C390" s="35"/>
      <c r="D390" s="36"/>
      <c r="E390" s="35"/>
      <c r="F390" s="35"/>
      <c r="G390" s="37"/>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c r="AE390" s="35"/>
      <c r="AF390" s="35"/>
      <c r="AG390" s="35"/>
      <c r="AH390" s="38"/>
    </row>
    <row r="391">
      <c r="A391" s="34"/>
      <c r="B391" s="35"/>
      <c r="C391" s="35"/>
      <c r="D391" s="36"/>
      <c r="E391" s="35"/>
      <c r="F391" s="35"/>
      <c r="G391" s="37"/>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c r="AE391" s="35"/>
      <c r="AF391" s="35"/>
      <c r="AG391" s="35"/>
      <c r="AH391" s="38"/>
    </row>
    <row r="392">
      <c r="A392" s="34"/>
      <c r="B392" s="35"/>
      <c r="C392" s="35"/>
      <c r="D392" s="36"/>
      <c r="E392" s="35"/>
      <c r="F392" s="35"/>
      <c r="G392" s="37"/>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c r="AE392" s="35"/>
      <c r="AF392" s="35"/>
      <c r="AG392" s="35"/>
      <c r="AH392" s="38"/>
    </row>
    <row r="393">
      <c r="A393" s="34"/>
      <c r="B393" s="35"/>
      <c r="C393" s="35"/>
      <c r="D393" s="36"/>
      <c r="E393" s="35"/>
      <c r="F393" s="35"/>
      <c r="G393" s="37"/>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c r="AE393" s="35"/>
      <c r="AF393" s="35"/>
      <c r="AG393" s="35"/>
      <c r="AH393" s="38"/>
    </row>
    <row r="394">
      <c r="A394" s="34"/>
      <c r="B394" s="35"/>
      <c r="C394" s="35"/>
      <c r="D394" s="36"/>
      <c r="E394" s="35"/>
      <c r="F394" s="35"/>
      <c r="G394" s="37"/>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c r="AE394" s="35"/>
      <c r="AF394" s="35"/>
      <c r="AG394" s="35"/>
      <c r="AH394" s="38"/>
    </row>
    <row r="395">
      <c r="A395" s="34"/>
      <c r="B395" s="35"/>
      <c r="C395" s="35"/>
      <c r="D395" s="36"/>
      <c r="E395" s="35"/>
      <c r="F395" s="35"/>
      <c r="G395" s="37"/>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c r="AE395" s="35"/>
      <c r="AF395" s="35"/>
      <c r="AG395" s="35"/>
      <c r="AH395" s="38"/>
    </row>
    <row r="396">
      <c r="A396" s="34"/>
      <c r="B396" s="35"/>
      <c r="C396" s="35"/>
      <c r="D396" s="36"/>
      <c r="E396" s="35"/>
      <c r="F396" s="35"/>
      <c r="G396" s="37"/>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c r="AE396" s="35"/>
      <c r="AF396" s="35"/>
      <c r="AG396" s="35"/>
      <c r="AH396" s="38"/>
    </row>
    <row r="397">
      <c r="A397" s="34"/>
      <c r="B397" s="35"/>
      <c r="C397" s="35"/>
      <c r="D397" s="36"/>
      <c r="E397" s="35"/>
      <c r="F397" s="35"/>
      <c r="G397" s="37"/>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c r="AE397" s="35"/>
      <c r="AF397" s="35"/>
      <c r="AG397" s="35"/>
      <c r="AH397" s="38"/>
    </row>
    <row r="398">
      <c r="A398" s="34"/>
      <c r="B398" s="35"/>
      <c r="C398" s="35"/>
      <c r="D398" s="36"/>
      <c r="E398" s="35"/>
      <c r="F398" s="35"/>
      <c r="G398" s="37"/>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c r="AE398" s="35"/>
      <c r="AF398" s="35"/>
      <c r="AG398" s="35"/>
      <c r="AH398" s="38"/>
    </row>
    <row r="399">
      <c r="A399" s="34"/>
      <c r="B399" s="35"/>
      <c r="C399" s="35"/>
      <c r="D399" s="36"/>
      <c r="E399" s="35"/>
      <c r="F399" s="35"/>
      <c r="G399" s="37"/>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c r="AE399" s="35"/>
      <c r="AF399" s="35"/>
      <c r="AG399" s="35"/>
      <c r="AH399" s="38"/>
    </row>
    <row r="400">
      <c r="A400" s="34"/>
      <c r="B400" s="35"/>
      <c r="C400" s="35"/>
      <c r="D400" s="36"/>
      <c r="E400" s="35"/>
      <c r="F400" s="35"/>
      <c r="G400" s="37"/>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c r="AE400" s="35"/>
      <c r="AF400" s="35"/>
      <c r="AG400" s="35"/>
      <c r="AH400" s="38"/>
    </row>
    <row r="401">
      <c r="A401" s="34"/>
      <c r="B401" s="35"/>
      <c r="C401" s="35"/>
      <c r="D401" s="36"/>
      <c r="E401" s="35"/>
      <c r="F401" s="35"/>
      <c r="G401" s="37"/>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c r="AE401" s="35"/>
      <c r="AF401" s="35"/>
      <c r="AG401" s="35"/>
      <c r="AH401" s="38"/>
    </row>
    <row r="402">
      <c r="A402" s="34"/>
      <c r="B402" s="35"/>
      <c r="C402" s="35"/>
      <c r="D402" s="36"/>
      <c r="E402" s="35"/>
      <c r="F402" s="35"/>
      <c r="G402" s="37"/>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c r="AE402" s="35"/>
      <c r="AF402" s="35"/>
      <c r="AG402" s="35"/>
      <c r="AH402" s="38"/>
    </row>
    <row r="403">
      <c r="A403" s="34"/>
      <c r="B403" s="35"/>
      <c r="C403" s="35"/>
      <c r="D403" s="36"/>
      <c r="E403" s="35"/>
      <c r="F403" s="35"/>
      <c r="G403" s="37"/>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c r="AE403" s="35"/>
      <c r="AF403" s="35"/>
      <c r="AG403" s="35"/>
      <c r="AH403" s="38"/>
    </row>
    <row r="404">
      <c r="A404" s="34"/>
      <c r="B404" s="35"/>
      <c r="C404" s="35"/>
      <c r="D404" s="36"/>
      <c r="E404" s="35"/>
      <c r="F404" s="35"/>
      <c r="G404" s="37"/>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c r="AE404" s="35"/>
      <c r="AF404" s="35"/>
      <c r="AG404" s="35"/>
      <c r="AH404" s="38"/>
    </row>
    <row r="405">
      <c r="A405" s="34"/>
      <c r="B405" s="35"/>
      <c r="C405" s="35"/>
      <c r="D405" s="36"/>
      <c r="E405" s="35"/>
      <c r="F405" s="35"/>
      <c r="G405" s="37"/>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c r="AE405" s="35"/>
      <c r="AF405" s="35"/>
      <c r="AG405" s="35"/>
      <c r="AH405" s="38"/>
    </row>
    <row r="406">
      <c r="A406" s="34"/>
      <c r="B406" s="35"/>
      <c r="C406" s="35"/>
      <c r="D406" s="36"/>
      <c r="E406" s="35"/>
      <c r="F406" s="35"/>
      <c r="G406" s="37"/>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c r="AE406" s="35"/>
      <c r="AF406" s="35"/>
      <c r="AG406" s="35"/>
      <c r="AH406" s="38"/>
    </row>
    <row r="407">
      <c r="A407" s="34"/>
      <c r="B407" s="35"/>
      <c r="C407" s="35"/>
      <c r="D407" s="36"/>
      <c r="E407" s="35"/>
      <c r="F407" s="35"/>
      <c r="G407" s="37"/>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c r="AE407" s="35"/>
      <c r="AF407" s="35"/>
      <c r="AG407" s="35"/>
      <c r="AH407" s="38"/>
    </row>
    <row r="408">
      <c r="A408" s="34"/>
      <c r="B408" s="35"/>
      <c r="C408" s="35"/>
      <c r="D408" s="36"/>
      <c r="E408" s="35"/>
      <c r="F408" s="35"/>
      <c r="G408" s="37"/>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c r="AE408" s="35"/>
      <c r="AF408" s="35"/>
      <c r="AG408" s="35"/>
      <c r="AH408" s="38"/>
    </row>
    <row r="409">
      <c r="A409" s="34"/>
      <c r="B409" s="35"/>
      <c r="C409" s="35"/>
      <c r="D409" s="36"/>
      <c r="E409" s="35"/>
      <c r="F409" s="35"/>
      <c r="G409" s="37"/>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c r="AE409" s="35"/>
      <c r="AF409" s="35"/>
      <c r="AG409" s="35"/>
      <c r="AH409" s="38"/>
    </row>
    <row r="410">
      <c r="A410" s="34"/>
      <c r="B410" s="35"/>
      <c r="C410" s="35"/>
      <c r="D410" s="36"/>
      <c r="E410" s="35"/>
      <c r="F410" s="35"/>
      <c r="G410" s="37"/>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c r="AE410" s="35"/>
      <c r="AF410" s="35"/>
      <c r="AG410" s="35"/>
      <c r="AH410" s="38"/>
    </row>
    <row r="411">
      <c r="A411" s="34"/>
      <c r="B411" s="35"/>
      <c r="C411" s="35"/>
      <c r="D411" s="36"/>
      <c r="E411" s="35"/>
      <c r="F411" s="35"/>
      <c r="G411" s="37"/>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c r="AE411" s="35"/>
      <c r="AF411" s="35"/>
      <c r="AG411" s="35"/>
      <c r="AH411" s="38"/>
    </row>
    <row r="412">
      <c r="A412" s="34"/>
      <c r="B412" s="35"/>
      <c r="C412" s="35"/>
      <c r="D412" s="36"/>
      <c r="E412" s="35"/>
      <c r="F412" s="35"/>
      <c r="G412" s="37"/>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c r="AE412" s="35"/>
      <c r="AF412" s="35"/>
      <c r="AG412" s="35"/>
      <c r="AH412" s="38"/>
    </row>
    <row r="413">
      <c r="A413" s="34"/>
      <c r="B413" s="35"/>
      <c r="C413" s="35"/>
      <c r="D413" s="36"/>
      <c r="E413" s="35"/>
      <c r="F413" s="35"/>
      <c r="G413" s="37"/>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c r="AE413" s="35"/>
      <c r="AF413" s="35"/>
      <c r="AG413" s="35"/>
      <c r="AH413" s="38"/>
    </row>
    <row r="414">
      <c r="A414" s="34"/>
      <c r="B414" s="35"/>
      <c r="C414" s="35"/>
      <c r="D414" s="36"/>
      <c r="E414" s="35"/>
      <c r="F414" s="35"/>
      <c r="G414" s="37"/>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c r="AE414" s="35"/>
      <c r="AF414" s="35"/>
      <c r="AG414" s="35"/>
      <c r="AH414" s="38"/>
    </row>
    <row r="415">
      <c r="A415" s="34"/>
      <c r="B415" s="35"/>
      <c r="C415" s="35"/>
      <c r="D415" s="36"/>
      <c r="E415" s="35"/>
      <c r="F415" s="35"/>
      <c r="G415" s="37"/>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c r="AE415" s="35"/>
      <c r="AF415" s="35"/>
      <c r="AG415" s="35"/>
      <c r="AH415" s="38"/>
    </row>
    <row r="416">
      <c r="A416" s="34"/>
      <c r="B416" s="35"/>
      <c r="C416" s="35"/>
      <c r="D416" s="36"/>
      <c r="E416" s="35"/>
      <c r="F416" s="35"/>
      <c r="G416" s="37"/>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c r="AE416" s="35"/>
      <c r="AF416" s="35"/>
      <c r="AG416" s="35"/>
      <c r="AH416" s="38"/>
    </row>
    <row r="417">
      <c r="A417" s="34"/>
      <c r="B417" s="35"/>
      <c r="C417" s="35"/>
      <c r="D417" s="36"/>
      <c r="E417" s="35"/>
      <c r="F417" s="35"/>
      <c r="G417" s="37"/>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c r="AE417" s="35"/>
      <c r="AF417" s="35"/>
      <c r="AG417" s="35"/>
      <c r="AH417" s="38"/>
    </row>
    <row r="418">
      <c r="A418" s="34"/>
      <c r="B418" s="35"/>
      <c r="C418" s="35"/>
      <c r="D418" s="36"/>
      <c r="E418" s="35"/>
      <c r="F418" s="35"/>
      <c r="G418" s="37"/>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c r="AE418" s="35"/>
      <c r="AF418" s="35"/>
      <c r="AG418" s="35"/>
      <c r="AH418" s="38"/>
    </row>
    <row r="419">
      <c r="A419" s="34"/>
      <c r="B419" s="35"/>
      <c r="C419" s="35"/>
      <c r="D419" s="36"/>
      <c r="E419" s="35"/>
      <c r="F419" s="35"/>
      <c r="G419" s="37"/>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c r="AE419" s="35"/>
      <c r="AF419" s="35"/>
      <c r="AG419" s="35"/>
      <c r="AH419" s="38"/>
    </row>
    <row r="420">
      <c r="A420" s="34"/>
      <c r="B420" s="35"/>
      <c r="C420" s="35"/>
      <c r="D420" s="36"/>
      <c r="E420" s="35"/>
      <c r="F420" s="35"/>
      <c r="G420" s="37"/>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c r="AE420" s="35"/>
      <c r="AF420" s="35"/>
      <c r="AG420" s="35"/>
      <c r="AH420" s="38"/>
    </row>
    <row r="421">
      <c r="A421" s="34"/>
      <c r="B421" s="35"/>
      <c r="C421" s="35"/>
      <c r="D421" s="36"/>
      <c r="E421" s="35"/>
      <c r="F421" s="35"/>
      <c r="G421" s="37"/>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c r="AE421" s="35"/>
      <c r="AF421" s="35"/>
      <c r="AG421" s="35"/>
      <c r="AH421" s="38"/>
    </row>
    <row r="422">
      <c r="A422" s="34"/>
      <c r="B422" s="35"/>
      <c r="C422" s="35"/>
      <c r="D422" s="36"/>
      <c r="E422" s="35"/>
      <c r="F422" s="35"/>
      <c r="G422" s="37"/>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c r="AE422" s="35"/>
      <c r="AF422" s="35"/>
      <c r="AG422" s="35"/>
      <c r="AH422" s="38"/>
    </row>
    <row r="423">
      <c r="A423" s="34"/>
      <c r="B423" s="35"/>
      <c r="C423" s="35"/>
      <c r="D423" s="36"/>
      <c r="E423" s="35"/>
      <c r="F423" s="35"/>
      <c r="G423" s="37"/>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c r="AE423" s="35"/>
      <c r="AF423" s="35"/>
      <c r="AG423" s="35"/>
      <c r="AH423" s="38"/>
    </row>
    <row r="424">
      <c r="A424" s="34"/>
      <c r="B424" s="35"/>
      <c r="C424" s="35"/>
      <c r="D424" s="36"/>
      <c r="E424" s="35"/>
      <c r="F424" s="35"/>
      <c r="G424" s="37"/>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c r="AE424" s="35"/>
      <c r="AF424" s="35"/>
      <c r="AG424" s="35"/>
      <c r="AH424" s="38"/>
    </row>
    <row r="425">
      <c r="A425" s="34"/>
      <c r="B425" s="35"/>
      <c r="C425" s="35"/>
      <c r="D425" s="36"/>
      <c r="E425" s="35"/>
      <c r="F425" s="35"/>
      <c r="G425" s="37"/>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c r="AE425" s="35"/>
      <c r="AF425" s="35"/>
      <c r="AG425" s="35"/>
      <c r="AH425" s="38"/>
    </row>
    <row r="426">
      <c r="A426" s="34"/>
      <c r="B426" s="35"/>
      <c r="C426" s="35"/>
      <c r="D426" s="36"/>
      <c r="E426" s="35"/>
      <c r="F426" s="35"/>
      <c r="G426" s="37"/>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c r="AE426" s="35"/>
      <c r="AF426" s="35"/>
      <c r="AG426" s="35"/>
      <c r="AH426" s="38"/>
    </row>
    <row r="427">
      <c r="A427" s="34"/>
      <c r="B427" s="35"/>
      <c r="C427" s="35"/>
      <c r="D427" s="36"/>
      <c r="E427" s="35"/>
      <c r="F427" s="35"/>
      <c r="G427" s="37"/>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c r="AE427" s="35"/>
      <c r="AF427" s="35"/>
      <c r="AG427" s="35"/>
      <c r="AH427" s="38"/>
    </row>
    <row r="428">
      <c r="A428" s="34"/>
      <c r="B428" s="35"/>
      <c r="C428" s="35"/>
      <c r="D428" s="36"/>
      <c r="E428" s="35"/>
      <c r="F428" s="35"/>
      <c r="G428" s="37"/>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c r="AE428" s="35"/>
      <c r="AF428" s="35"/>
      <c r="AG428" s="35"/>
      <c r="AH428" s="38"/>
    </row>
    <row r="429">
      <c r="A429" s="34"/>
      <c r="B429" s="35"/>
      <c r="C429" s="35"/>
      <c r="D429" s="36"/>
      <c r="E429" s="35"/>
      <c r="F429" s="35"/>
      <c r="G429" s="37"/>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c r="AE429" s="35"/>
      <c r="AF429" s="35"/>
      <c r="AG429" s="35"/>
      <c r="AH429" s="38"/>
    </row>
    <row r="430">
      <c r="A430" s="34"/>
      <c r="B430" s="35"/>
      <c r="C430" s="35"/>
      <c r="D430" s="36"/>
      <c r="E430" s="35"/>
      <c r="F430" s="35"/>
      <c r="G430" s="37"/>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c r="AE430" s="35"/>
      <c r="AF430" s="35"/>
      <c r="AG430" s="35"/>
      <c r="AH430" s="38"/>
    </row>
    <row r="431">
      <c r="A431" s="34"/>
      <c r="B431" s="35"/>
      <c r="C431" s="35"/>
      <c r="D431" s="36"/>
      <c r="E431" s="35"/>
      <c r="F431" s="35"/>
      <c r="G431" s="37"/>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c r="AE431" s="35"/>
      <c r="AF431" s="35"/>
      <c r="AG431" s="35"/>
      <c r="AH431" s="38"/>
    </row>
    <row r="432">
      <c r="A432" s="34"/>
      <c r="B432" s="35"/>
      <c r="C432" s="35"/>
      <c r="D432" s="36"/>
      <c r="E432" s="35"/>
      <c r="F432" s="35"/>
      <c r="G432" s="37"/>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c r="AE432" s="35"/>
      <c r="AF432" s="35"/>
      <c r="AG432" s="35"/>
      <c r="AH432" s="38"/>
    </row>
    <row r="433">
      <c r="A433" s="34"/>
      <c r="B433" s="35"/>
      <c r="C433" s="35"/>
      <c r="D433" s="36"/>
      <c r="E433" s="35"/>
      <c r="F433" s="35"/>
      <c r="G433" s="37"/>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c r="AE433" s="35"/>
      <c r="AF433" s="35"/>
      <c r="AG433" s="35"/>
      <c r="AH433" s="38"/>
    </row>
    <row r="434">
      <c r="A434" s="34"/>
      <c r="B434" s="35"/>
      <c r="C434" s="35"/>
      <c r="D434" s="36"/>
      <c r="E434" s="35"/>
      <c r="F434" s="35"/>
      <c r="G434" s="37"/>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c r="AE434" s="35"/>
      <c r="AF434" s="35"/>
      <c r="AG434" s="35"/>
      <c r="AH434" s="38"/>
    </row>
    <row r="435">
      <c r="A435" s="34"/>
      <c r="B435" s="35"/>
      <c r="C435" s="35"/>
      <c r="D435" s="36"/>
      <c r="E435" s="35"/>
      <c r="F435" s="35"/>
      <c r="G435" s="37"/>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c r="AE435" s="35"/>
      <c r="AF435" s="35"/>
      <c r="AG435" s="35"/>
      <c r="AH435" s="38"/>
    </row>
    <row r="436">
      <c r="A436" s="34"/>
      <c r="B436" s="35"/>
      <c r="C436" s="35"/>
      <c r="D436" s="36"/>
      <c r="E436" s="35"/>
      <c r="F436" s="35"/>
      <c r="G436" s="37"/>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c r="AE436" s="35"/>
      <c r="AF436" s="35"/>
      <c r="AG436" s="35"/>
      <c r="AH436" s="38"/>
    </row>
    <row r="437">
      <c r="A437" s="34"/>
      <c r="B437" s="35"/>
      <c r="C437" s="35"/>
      <c r="D437" s="36"/>
      <c r="E437" s="35"/>
      <c r="F437" s="35"/>
      <c r="G437" s="37"/>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c r="AE437" s="35"/>
      <c r="AF437" s="35"/>
      <c r="AG437" s="35"/>
      <c r="AH437" s="38"/>
    </row>
    <row r="438">
      <c r="A438" s="34"/>
      <c r="B438" s="35"/>
      <c r="C438" s="35"/>
      <c r="D438" s="36"/>
      <c r="E438" s="35"/>
      <c r="F438" s="35"/>
      <c r="G438" s="37"/>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c r="AE438" s="35"/>
      <c r="AF438" s="35"/>
      <c r="AG438" s="35"/>
      <c r="AH438" s="38"/>
    </row>
    <row r="439">
      <c r="A439" s="34"/>
      <c r="B439" s="35"/>
      <c r="C439" s="35"/>
      <c r="D439" s="36"/>
      <c r="E439" s="35"/>
      <c r="F439" s="35"/>
      <c r="G439" s="37"/>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c r="AE439" s="35"/>
      <c r="AF439" s="35"/>
      <c r="AG439" s="35"/>
      <c r="AH439" s="38"/>
    </row>
    <row r="440">
      <c r="A440" s="34"/>
      <c r="B440" s="35"/>
      <c r="C440" s="35"/>
      <c r="D440" s="36"/>
      <c r="E440" s="35"/>
      <c r="F440" s="35"/>
      <c r="G440" s="37"/>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c r="AE440" s="35"/>
      <c r="AF440" s="35"/>
      <c r="AG440" s="35"/>
      <c r="AH440" s="38"/>
    </row>
    <row r="441">
      <c r="A441" s="34"/>
      <c r="B441" s="35"/>
      <c r="C441" s="35"/>
      <c r="D441" s="36"/>
      <c r="E441" s="35"/>
      <c r="F441" s="35"/>
      <c r="G441" s="37"/>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c r="AE441" s="35"/>
      <c r="AF441" s="35"/>
      <c r="AG441" s="35"/>
      <c r="AH441" s="38"/>
    </row>
    <row r="442">
      <c r="A442" s="34"/>
      <c r="B442" s="35"/>
      <c r="C442" s="35"/>
      <c r="D442" s="36"/>
      <c r="E442" s="35"/>
      <c r="F442" s="35"/>
      <c r="G442" s="37"/>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c r="AE442" s="35"/>
      <c r="AF442" s="35"/>
      <c r="AG442" s="35"/>
      <c r="AH442" s="38"/>
    </row>
    <row r="443">
      <c r="A443" s="34"/>
      <c r="B443" s="35"/>
      <c r="C443" s="35"/>
      <c r="D443" s="36"/>
      <c r="E443" s="35"/>
      <c r="F443" s="35"/>
      <c r="G443" s="37"/>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c r="AE443" s="35"/>
      <c r="AF443" s="35"/>
      <c r="AG443" s="35"/>
      <c r="AH443" s="38"/>
    </row>
    <row r="444">
      <c r="A444" s="34"/>
      <c r="B444" s="35"/>
      <c r="C444" s="35"/>
      <c r="D444" s="36"/>
      <c r="E444" s="35"/>
      <c r="F444" s="35"/>
      <c r="G444" s="37"/>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c r="AE444" s="35"/>
      <c r="AF444" s="35"/>
      <c r="AG444" s="35"/>
      <c r="AH444" s="38"/>
    </row>
    <row r="445">
      <c r="A445" s="34"/>
      <c r="B445" s="35"/>
      <c r="C445" s="35"/>
      <c r="D445" s="36"/>
      <c r="E445" s="35"/>
      <c r="F445" s="35"/>
      <c r="G445" s="37"/>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c r="AE445" s="35"/>
      <c r="AF445" s="35"/>
      <c r="AG445" s="35"/>
      <c r="AH445" s="38"/>
    </row>
    <row r="446">
      <c r="A446" s="34"/>
      <c r="B446" s="35"/>
      <c r="C446" s="35"/>
      <c r="D446" s="36"/>
      <c r="E446" s="35"/>
      <c r="F446" s="35"/>
      <c r="G446" s="37"/>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c r="AE446" s="35"/>
      <c r="AF446" s="35"/>
      <c r="AG446" s="35"/>
      <c r="AH446" s="38"/>
    </row>
    <row r="447">
      <c r="A447" s="34"/>
      <c r="B447" s="35"/>
      <c r="C447" s="35"/>
      <c r="D447" s="36"/>
      <c r="E447" s="35"/>
      <c r="F447" s="35"/>
      <c r="G447" s="37"/>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c r="AE447" s="35"/>
      <c r="AF447" s="35"/>
      <c r="AG447" s="35"/>
      <c r="AH447" s="38"/>
    </row>
    <row r="448">
      <c r="A448" s="34"/>
      <c r="B448" s="35"/>
      <c r="C448" s="35"/>
      <c r="D448" s="36"/>
      <c r="E448" s="35"/>
      <c r="F448" s="35"/>
      <c r="G448" s="37"/>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c r="AE448" s="35"/>
      <c r="AF448" s="35"/>
      <c r="AG448" s="35"/>
      <c r="AH448" s="38"/>
    </row>
    <row r="449">
      <c r="A449" s="34"/>
      <c r="B449" s="35"/>
      <c r="C449" s="35"/>
      <c r="D449" s="36"/>
      <c r="E449" s="35"/>
      <c r="F449" s="35"/>
      <c r="G449" s="37"/>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c r="AE449" s="35"/>
      <c r="AF449" s="35"/>
      <c r="AG449" s="35"/>
      <c r="AH449" s="38"/>
    </row>
    <row r="450">
      <c r="A450" s="34"/>
      <c r="B450" s="35"/>
      <c r="C450" s="35"/>
      <c r="D450" s="36"/>
      <c r="E450" s="35"/>
      <c r="F450" s="35"/>
      <c r="G450" s="37"/>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c r="AE450" s="35"/>
      <c r="AF450" s="35"/>
      <c r="AG450" s="35"/>
      <c r="AH450" s="38"/>
    </row>
    <row r="451">
      <c r="A451" s="34"/>
      <c r="B451" s="35"/>
      <c r="C451" s="35"/>
      <c r="D451" s="36"/>
      <c r="E451" s="35"/>
      <c r="F451" s="35"/>
      <c r="G451" s="37"/>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c r="AE451" s="35"/>
      <c r="AF451" s="35"/>
      <c r="AG451" s="35"/>
      <c r="AH451" s="38"/>
    </row>
    <row r="452">
      <c r="A452" s="34"/>
      <c r="B452" s="35"/>
      <c r="C452" s="35"/>
      <c r="D452" s="36"/>
      <c r="E452" s="35"/>
      <c r="F452" s="35"/>
      <c r="G452" s="37"/>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c r="AE452" s="35"/>
      <c r="AF452" s="35"/>
      <c r="AG452" s="35"/>
      <c r="AH452" s="38"/>
    </row>
    <row r="453">
      <c r="A453" s="34"/>
      <c r="B453" s="35"/>
      <c r="C453" s="35"/>
      <c r="D453" s="36"/>
      <c r="E453" s="35"/>
      <c r="F453" s="35"/>
      <c r="G453" s="37"/>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c r="AE453" s="35"/>
      <c r="AF453" s="35"/>
      <c r="AG453" s="35"/>
      <c r="AH453" s="38"/>
    </row>
    <row r="454">
      <c r="A454" s="34"/>
      <c r="B454" s="35"/>
      <c r="C454" s="35"/>
      <c r="D454" s="36"/>
      <c r="E454" s="35"/>
      <c r="F454" s="35"/>
      <c r="G454" s="37"/>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c r="AE454" s="35"/>
      <c r="AF454" s="35"/>
      <c r="AG454" s="35"/>
      <c r="AH454" s="38"/>
    </row>
    <row r="455">
      <c r="A455" s="34"/>
      <c r="B455" s="35"/>
      <c r="C455" s="35"/>
      <c r="D455" s="36"/>
      <c r="E455" s="35"/>
      <c r="F455" s="35"/>
      <c r="G455" s="37"/>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c r="AE455" s="35"/>
      <c r="AF455" s="35"/>
      <c r="AG455" s="35"/>
      <c r="AH455" s="38"/>
    </row>
    <row r="456">
      <c r="A456" s="34"/>
      <c r="B456" s="35"/>
      <c r="C456" s="35"/>
      <c r="D456" s="36"/>
      <c r="E456" s="35"/>
      <c r="F456" s="35"/>
      <c r="G456" s="37"/>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c r="AE456" s="35"/>
      <c r="AF456" s="35"/>
      <c r="AG456" s="35"/>
      <c r="AH456" s="38"/>
    </row>
    <row r="457">
      <c r="A457" s="34"/>
      <c r="B457" s="35"/>
      <c r="C457" s="35"/>
      <c r="D457" s="36"/>
      <c r="E457" s="35"/>
      <c r="F457" s="35"/>
      <c r="G457" s="37"/>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c r="AE457" s="35"/>
      <c r="AF457" s="35"/>
      <c r="AG457" s="35"/>
      <c r="AH457" s="38"/>
    </row>
    <row r="458">
      <c r="A458" s="34"/>
      <c r="B458" s="35"/>
      <c r="C458" s="35"/>
      <c r="D458" s="36"/>
      <c r="E458" s="35"/>
      <c r="F458" s="35"/>
      <c r="G458" s="37"/>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c r="AE458" s="35"/>
      <c r="AF458" s="35"/>
      <c r="AG458" s="35"/>
      <c r="AH458" s="38"/>
    </row>
    <row r="459">
      <c r="A459" s="34"/>
      <c r="B459" s="35"/>
      <c r="C459" s="35"/>
      <c r="D459" s="36"/>
      <c r="E459" s="35"/>
      <c r="F459" s="35"/>
      <c r="G459" s="37"/>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c r="AE459" s="35"/>
      <c r="AF459" s="35"/>
      <c r="AG459" s="35"/>
      <c r="AH459" s="38"/>
    </row>
    <row r="460">
      <c r="A460" s="34"/>
      <c r="B460" s="35"/>
      <c r="C460" s="35"/>
      <c r="D460" s="36"/>
      <c r="E460" s="35"/>
      <c r="F460" s="35"/>
      <c r="G460" s="37"/>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c r="AE460" s="35"/>
      <c r="AF460" s="35"/>
      <c r="AG460" s="35"/>
      <c r="AH460" s="38"/>
    </row>
    <row r="461">
      <c r="A461" s="34"/>
      <c r="B461" s="35"/>
      <c r="C461" s="35"/>
      <c r="D461" s="36"/>
      <c r="E461" s="35"/>
      <c r="F461" s="35"/>
      <c r="G461" s="37"/>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c r="AE461" s="35"/>
      <c r="AF461" s="35"/>
      <c r="AG461" s="35"/>
      <c r="AH461" s="38"/>
    </row>
    <row r="462">
      <c r="A462" s="34"/>
      <c r="B462" s="35"/>
      <c r="C462" s="35"/>
      <c r="D462" s="36"/>
      <c r="E462" s="35"/>
      <c r="F462" s="35"/>
      <c r="G462" s="37"/>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c r="AE462" s="35"/>
      <c r="AF462" s="35"/>
      <c r="AG462" s="35"/>
      <c r="AH462" s="38"/>
    </row>
    <row r="463">
      <c r="A463" s="34"/>
      <c r="B463" s="35"/>
      <c r="C463" s="35"/>
      <c r="D463" s="36"/>
      <c r="E463" s="35"/>
      <c r="F463" s="35"/>
      <c r="G463" s="37"/>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c r="AE463" s="35"/>
      <c r="AF463" s="35"/>
      <c r="AG463" s="35"/>
      <c r="AH463" s="38"/>
    </row>
    <row r="464">
      <c r="A464" s="34"/>
      <c r="B464" s="35"/>
      <c r="C464" s="35"/>
      <c r="D464" s="36"/>
      <c r="E464" s="35"/>
      <c r="F464" s="35"/>
      <c r="G464" s="37"/>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c r="AE464" s="35"/>
      <c r="AF464" s="35"/>
      <c r="AG464" s="35"/>
      <c r="AH464" s="38"/>
    </row>
    <row r="465">
      <c r="A465" s="34"/>
      <c r="B465" s="35"/>
      <c r="C465" s="35"/>
      <c r="D465" s="36"/>
      <c r="E465" s="35"/>
      <c r="F465" s="35"/>
      <c r="G465" s="37"/>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c r="AE465" s="35"/>
      <c r="AF465" s="35"/>
      <c r="AG465" s="35"/>
      <c r="AH465" s="38"/>
    </row>
    <row r="466">
      <c r="A466" s="34"/>
      <c r="B466" s="35"/>
      <c r="C466" s="35"/>
      <c r="D466" s="36"/>
      <c r="E466" s="35"/>
      <c r="F466" s="35"/>
      <c r="G466" s="37"/>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c r="AE466" s="35"/>
      <c r="AF466" s="35"/>
      <c r="AG466" s="35"/>
      <c r="AH466" s="38"/>
    </row>
    <row r="467">
      <c r="A467" s="34"/>
      <c r="B467" s="35"/>
      <c r="C467" s="35"/>
      <c r="D467" s="36"/>
      <c r="E467" s="35"/>
      <c r="F467" s="35"/>
      <c r="G467" s="37"/>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c r="AE467" s="35"/>
      <c r="AF467" s="35"/>
      <c r="AG467" s="35"/>
      <c r="AH467" s="38"/>
    </row>
    <row r="468">
      <c r="A468" s="34"/>
      <c r="B468" s="35"/>
      <c r="C468" s="35"/>
      <c r="D468" s="36"/>
      <c r="E468" s="35"/>
      <c r="F468" s="35"/>
      <c r="G468" s="37"/>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c r="AE468" s="35"/>
      <c r="AF468" s="35"/>
      <c r="AG468" s="35"/>
      <c r="AH468" s="38"/>
    </row>
    <row r="469">
      <c r="A469" s="34"/>
      <c r="B469" s="35"/>
      <c r="C469" s="35"/>
      <c r="D469" s="36"/>
      <c r="E469" s="35"/>
      <c r="F469" s="35"/>
      <c r="G469" s="37"/>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c r="AE469" s="35"/>
      <c r="AF469" s="35"/>
      <c r="AG469" s="35"/>
      <c r="AH469" s="38"/>
    </row>
    <row r="470">
      <c r="A470" s="34"/>
      <c r="B470" s="35"/>
      <c r="C470" s="35"/>
      <c r="D470" s="36"/>
      <c r="E470" s="35"/>
      <c r="F470" s="35"/>
      <c r="G470" s="37"/>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c r="AE470" s="35"/>
      <c r="AF470" s="35"/>
      <c r="AG470" s="35"/>
      <c r="AH470" s="38"/>
    </row>
    <row r="471">
      <c r="A471" s="34"/>
      <c r="B471" s="35"/>
      <c r="C471" s="35"/>
      <c r="D471" s="36"/>
      <c r="E471" s="35"/>
      <c r="F471" s="35"/>
      <c r="G471" s="37"/>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c r="AE471" s="35"/>
      <c r="AF471" s="35"/>
      <c r="AG471" s="35"/>
      <c r="AH471" s="38"/>
    </row>
    <row r="472">
      <c r="A472" s="34"/>
      <c r="B472" s="35"/>
      <c r="C472" s="35"/>
      <c r="D472" s="36"/>
      <c r="E472" s="35"/>
      <c r="F472" s="35"/>
      <c r="G472" s="37"/>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c r="AE472" s="35"/>
      <c r="AF472" s="35"/>
      <c r="AG472" s="35"/>
      <c r="AH472" s="38"/>
    </row>
    <row r="473">
      <c r="A473" s="34"/>
      <c r="B473" s="35"/>
      <c r="C473" s="35"/>
      <c r="D473" s="36"/>
      <c r="E473" s="35"/>
      <c r="F473" s="35"/>
      <c r="G473" s="37"/>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c r="AE473" s="35"/>
      <c r="AF473" s="35"/>
      <c r="AG473" s="35"/>
      <c r="AH473" s="38"/>
    </row>
    <row r="474">
      <c r="A474" s="34"/>
      <c r="B474" s="35"/>
      <c r="C474" s="35"/>
      <c r="D474" s="36"/>
      <c r="E474" s="35"/>
      <c r="F474" s="35"/>
      <c r="G474" s="37"/>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c r="AE474" s="35"/>
      <c r="AF474" s="35"/>
      <c r="AG474" s="35"/>
      <c r="AH474" s="38"/>
    </row>
    <row r="475">
      <c r="A475" s="34"/>
      <c r="B475" s="35"/>
      <c r="C475" s="35"/>
      <c r="D475" s="36"/>
      <c r="E475" s="35"/>
      <c r="F475" s="35"/>
      <c r="G475" s="37"/>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c r="AE475" s="35"/>
      <c r="AF475" s="35"/>
      <c r="AG475" s="35"/>
      <c r="AH475" s="38"/>
    </row>
    <row r="476">
      <c r="A476" s="34"/>
      <c r="B476" s="35"/>
      <c r="C476" s="35"/>
      <c r="D476" s="36"/>
      <c r="E476" s="35"/>
      <c r="F476" s="35"/>
      <c r="G476" s="37"/>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c r="AE476" s="35"/>
      <c r="AF476" s="35"/>
      <c r="AG476" s="35"/>
      <c r="AH476" s="38"/>
    </row>
    <row r="477">
      <c r="A477" s="34"/>
      <c r="B477" s="35"/>
      <c r="C477" s="35"/>
      <c r="D477" s="36"/>
      <c r="E477" s="35"/>
      <c r="F477" s="35"/>
      <c r="G477" s="37"/>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c r="AE477" s="35"/>
      <c r="AF477" s="35"/>
      <c r="AG477" s="35"/>
      <c r="AH477" s="38"/>
    </row>
    <row r="478">
      <c r="A478" s="34"/>
      <c r="B478" s="35"/>
      <c r="C478" s="35"/>
      <c r="D478" s="36"/>
      <c r="E478" s="35"/>
      <c r="F478" s="35"/>
      <c r="G478" s="37"/>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c r="AE478" s="35"/>
      <c r="AF478" s="35"/>
      <c r="AG478" s="35"/>
      <c r="AH478" s="38"/>
    </row>
    <row r="479">
      <c r="A479" s="34"/>
      <c r="B479" s="35"/>
      <c r="C479" s="35"/>
      <c r="D479" s="36"/>
      <c r="E479" s="35"/>
      <c r="F479" s="35"/>
      <c r="G479" s="37"/>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c r="AE479" s="35"/>
      <c r="AF479" s="35"/>
      <c r="AG479" s="35"/>
      <c r="AH479" s="38"/>
    </row>
    <row r="480">
      <c r="A480" s="34"/>
      <c r="B480" s="35"/>
      <c r="C480" s="35"/>
      <c r="D480" s="36"/>
      <c r="E480" s="35"/>
      <c r="F480" s="35"/>
      <c r="G480" s="37"/>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c r="AE480" s="35"/>
      <c r="AF480" s="35"/>
      <c r="AG480" s="35"/>
      <c r="AH480" s="38"/>
    </row>
    <row r="481">
      <c r="A481" s="34"/>
      <c r="B481" s="35"/>
      <c r="C481" s="35"/>
      <c r="D481" s="36"/>
      <c r="E481" s="35"/>
      <c r="F481" s="35"/>
      <c r="G481" s="37"/>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c r="AE481" s="35"/>
      <c r="AF481" s="35"/>
      <c r="AG481" s="35"/>
      <c r="AH481" s="38"/>
    </row>
    <row r="482">
      <c r="A482" s="34"/>
      <c r="B482" s="35"/>
      <c r="C482" s="35"/>
      <c r="D482" s="36"/>
      <c r="E482" s="35"/>
      <c r="F482" s="35"/>
      <c r="G482" s="37"/>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c r="AE482" s="35"/>
      <c r="AF482" s="35"/>
      <c r="AG482" s="35"/>
      <c r="AH482" s="38"/>
    </row>
    <row r="483">
      <c r="A483" s="34"/>
      <c r="B483" s="35"/>
      <c r="C483" s="35"/>
      <c r="D483" s="36"/>
      <c r="E483" s="35"/>
      <c r="F483" s="35"/>
      <c r="G483" s="37"/>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c r="AE483" s="35"/>
      <c r="AF483" s="35"/>
      <c r="AG483" s="35"/>
      <c r="AH483" s="38"/>
    </row>
    <row r="484">
      <c r="A484" s="34"/>
      <c r="B484" s="35"/>
      <c r="C484" s="35"/>
      <c r="D484" s="36"/>
      <c r="E484" s="35"/>
      <c r="F484" s="35"/>
      <c r="G484" s="37"/>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c r="AE484" s="35"/>
      <c r="AF484" s="35"/>
      <c r="AG484" s="35"/>
      <c r="AH484" s="38"/>
    </row>
    <row r="485">
      <c r="A485" s="34"/>
      <c r="B485" s="35"/>
      <c r="C485" s="35"/>
      <c r="D485" s="36"/>
      <c r="E485" s="35"/>
      <c r="F485" s="35"/>
      <c r="G485" s="37"/>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c r="AE485" s="35"/>
      <c r="AF485" s="35"/>
      <c r="AG485" s="35"/>
      <c r="AH485" s="38"/>
    </row>
    <row r="486">
      <c r="A486" s="34"/>
      <c r="B486" s="35"/>
      <c r="C486" s="35"/>
      <c r="D486" s="36"/>
      <c r="E486" s="35"/>
      <c r="F486" s="35"/>
      <c r="G486" s="37"/>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c r="AE486" s="35"/>
      <c r="AF486" s="35"/>
      <c r="AG486" s="35"/>
      <c r="AH486" s="38"/>
    </row>
    <row r="487">
      <c r="A487" s="34"/>
      <c r="B487" s="35"/>
      <c r="C487" s="35"/>
      <c r="D487" s="36"/>
      <c r="E487" s="35"/>
      <c r="F487" s="35"/>
      <c r="G487" s="37"/>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c r="AE487" s="35"/>
      <c r="AF487" s="35"/>
      <c r="AG487" s="35"/>
      <c r="AH487" s="38"/>
    </row>
    <row r="488">
      <c r="A488" s="34"/>
      <c r="B488" s="35"/>
      <c r="C488" s="35"/>
      <c r="D488" s="36"/>
      <c r="E488" s="35"/>
      <c r="F488" s="35"/>
      <c r="G488" s="37"/>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c r="AE488" s="35"/>
      <c r="AF488" s="35"/>
      <c r="AG488" s="35"/>
      <c r="AH488" s="38"/>
    </row>
    <row r="489">
      <c r="A489" s="34"/>
      <c r="B489" s="35"/>
      <c r="C489" s="35"/>
      <c r="D489" s="36"/>
      <c r="E489" s="35"/>
      <c r="F489" s="35"/>
      <c r="G489" s="37"/>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c r="AE489" s="35"/>
      <c r="AF489" s="35"/>
      <c r="AG489" s="35"/>
      <c r="AH489" s="38"/>
    </row>
    <row r="490">
      <c r="A490" s="34"/>
      <c r="B490" s="35"/>
      <c r="C490" s="35"/>
      <c r="D490" s="36"/>
      <c r="E490" s="35"/>
      <c r="F490" s="35"/>
      <c r="G490" s="37"/>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c r="AE490" s="35"/>
      <c r="AF490" s="35"/>
      <c r="AG490" s="35"/>
      <c r="AH490" s="38"/>
    </row>
    <row r="491">
      <c r="A491" s="34"/>
      <c r="B491" s="35"/>
      <c r="C491" s="35"/>
      <c r="D491" s="36"/>
      <c r="E491" s="35"/>
      <c r="F491" s="35"/>
      <c r="G491" s="37"/>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c r="AE491" s="35"/>
      <c r="AF491" s="35"/>
      <c r="AG491" s="35"/>
      <c r="AH491" s="38"/>
    </row>
    <row r="492">
      <c r="A492" s="34"/>
      <c r="B492" s="35"/>
      <c r="C492" s="35"/>
      <c r="D492" s="36"/>
      <c r="E492" s="35"/>
      <c r="F492" s="35"/>
      <c r="G492" s="37"/>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c r="AE492" s="35"/>
      <c r="AF492" s="35"/>
      <c r="AG492" s="35"/>
      <c r="AH492" s="38"/>
    </row>
    <row r="493">
      <c r="A493" s="34"/>
      <c r="B493" s="35"/>
      <c r="C493" s="35"/>
      <c r="D493" s="36"/>
      <c r="E493" s="35"/>
      <c r="F493" s="35"/>
      <c r="G493" s="37"/>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c r="AE493" s="35"/>
      <c r="AF493" s="35"/>
      <c r="AG493" s="35"/>
      <c r="AH493" s="38"/>
    </row>
    <row r="494">
      <c r="A494" s="34"/>
      <c r="B494" s="35"/>
      <c r="C494" s="35"/>
      <c r="D494" s="36"/>
      <c r="E494" s="35"/>
      <c r="F494" s="35"/>
      <c r="G494" s="37"/>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c r="AE494" s="35"/>
      <c r="AF494" s="35"/>
      <c r="AG494" s="35"/>
      <c r="AH494" s="38"/>
    </row>
    <row r="495">
      <c r="A495" s="34"/>
      <c r="B495" s="35"/>
      <c r="C495" s="35"/>
      <c r="D495" s="36"/>
      <c r="E495" s="35"/>
      <c r="F495" s="35"/>
      <c r="G495" s="37"/>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c r="AE495" s="35"/>
      <c r="AF495" s="35"/>
      <c r="AG495" s="35"/>
      <c r="AH495" s="38"/>
    </row>
    <row r="496">
      <c r="A496" s="34"/>
      <c r="B496" s="35"/>
      <c r="C496" s="35"/>
      <c r="D496" s="36"/>
      <c r="E496" s="35"/>
      <c r="F496" s="35"/>
      <c r="G496" s="37"/>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c r="AE496" s="35"/>
      <c r="AF496" s="35"/>
      <c r="AG496" s="35"/>
      <c r="AH496" s="38"/>
    </row>
  </sheetData>
  <conditionalFormatting sqref="G2:AH67">
    <cfRule type="expression" dxfId="5" priority="1">
      <formula>#REF!=0</formula>
    </cfRule>
  </conditionalFormatting>
  <dataValidations>
    <dataValidation type="list" allowBlank="1" sqref="E2:F67">
      <formula1>"YES"</formula1>
    </dataValidation>
    <dataValidation type="custom" allowBlank="1" showDropDown="1" sqref="G2:M67 AH2:AH67">
      <formula1>AND(ISNUMBER(G2),(NOT(OR(NOT(ISERROR(DATEVALUE(G2))), AND(ISNUMBER(G2), LEFT(CELL("format", G2))="D")))))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12.63"/>
    <col customWidth="1" min="3" max="4" width="37.63"/>
    <col customWidth="1" min="5" max="5" width="11.38"/>
    <col customWidth="1" min="6" max="6" width="37.63"/>
    <col customWidth="1" min="7" max="7" width="20.13"/>
    <col customWidth="1" min="8" max="8" width="17.88"/>
    <col customWidth="1" min="9" max="10" width="25.13"/>
    <col customWidth="1" min="11" max="11" width="14.63"/>
    <col customWidth="1" min="12" max="12" width="15.5"/>
    <col customWidth="1" min="13" max="13" width="15.88"/>
    <col customWidth="1" min="14" max="14" width="15.5"/>
  </cols>
  <sheetData>
    <row r="1" ht="22.5" customHeight="1">
      <c r="A1" s="39" t="s">
        <v>37</v>
      </c>
      <c r="B1" s="40" t="s">
        <v>38</v>
      </c>
      <c r="C1" s="41" t="s">
        <v>39</v>
      </c>
      <c r="D1" s="41" t="s">
        <v>40</v>
      </c>
      <c r="E1" s="42" t="s">
        <v>41</v>
      </c>
      <c r="F1" s="43" t="s">
        <v>42</v>
      </c>
      <c r="G1" s="42" t="s">
        <v>43</v>
      </c>
      <c r="H1" s="43" t="s">
        <v>44</v>
      </c>
      <c r="I1" s="41" t="s">
        <v>45</v>
      </c>
      <c r="J1" s="44" t="s">
        <v>46</v>
      </c>
      <c r="K1" s="45" t="s">
        <v>47</v>
      </c>
      <c r="L1" s="40" t="s">
        <v>48</v>
      </c>
      <c r="M1" s="40" t="s">
        <v>49</v>
      </c>
      <c r="N1" s="40" t="s">
        <v>50</v>
      </c>
    </row>
    <row r="2" ht="22.5" customHeight="1">
      <c r="A2" s="46">
        <v>1.0</v>
      </c>
      <c r="B2" s="47" t="s">
        <v>51</v>
      </c>
      <c r="C2" s="48" t="s">
        <v>52</v>
      </c>
      <c r="D2" s="48" t="s">
        <v>53</v>
      </c>
      <c r="E2" s="49">
        <v>4.0</v>
      </c>
      <c r="F2" s="50" t="s">
        <v>54</v>
      </c>
      <c r="G2" s="48" t="s">
        <v>55</v>
      </c>
      <c r="H2" s="51" t="s">
        <v>56</v>
      </c>
      <c r="I2" s="51" t="s">
        <v>57</v>
      </c>
      <c r="J2" s="52"/>
      <c r="K2" s="53" t="s">
        <v>58</v>
      </c>
      <c r="L2" s="54" t="s">
        <v>59</v>
      </c>
      <c r="M2" s="55">
        <f>IFERROR(__xludf.DUMMYFUNCTION("PERCENTIF(#REF!,1)"),0.0)</f>
        <v>0</v>
      </c>
      <c r="N2" s="56" t="str">
        <f t="shared" ref="N2:N26" si="1">IFERROR(PEARSON(#REF!,#REF!),"")</f>
        <v/>
      </c>
    </row>
    <row r="3" ht="22.5" customHeight="1">
      <c r="A3" s="57">
        <v>2.0</v>
      </c>
      <c r="B3" s="47" t="s">
        <v>51</v>
      </c>
      <c r="C3" s="48" t="s">
        <v>52</v>
      </c>
      <c r="D3" s="58" t="s">
        <v>60</v>
      </c>
      <c r="E3" s="59">
        <v>1.0</v>
      </c>
      <c r="F3" s="50" t="s">
        <v>61</v>
      </c>
      <c r="G3" s="48" t="s">
        <v>55</v>
      </c>
      <c r="H3" s="60" t="s">
        <v>56</v>
      </c>
      <c r="I3" s="60" t="s">
        <v>62</v>
      </c>
      <c r="J3" s="61"/>
      <c r="K3" s="62" t="s">
        <v>58</v>
      </c>
      <c r="L3" s="63" t="s">
        <v>63</v>
      </c>
      <c r="M3" s="55">
        <f>IFERROR(__xludf.DUMMYFUNCTION("PERCENTIF(#REF!,1)"),0.0)</f>
        <v>0</v>
      </c>
      <c r="N3" s="56" t="str">
        <f t="shared" si="1"/>
        <v/>
      </c>
    </row>
    <row r="4" ht="22.5" customHeight="1">
      <c r="A4" s="46">
        <v>3.0</v>
      </c>
      <c r="B4" s="47" t="s">
        <v>51</v>
      </c>
      <c r="C4" s="48" t="s">
        <v>64</v>
      </c>
      <c r="D4" s="50" t="s">
        <v>65</v>
      </c>
      <c r="E4" s="49">
        <v>3.0</v>
      </c>
      <c r="F4" s="50" t="s">
        <v>66</v>
      </c>
      <c r="G4" s="48" t="s">
        <v>55</v>
      </c>
      <c r="H4" s="51" t="s">
        <v>67</v>
      </c>
      <c r="I4" s="64" t="s">
        <v>68</v>
      </c>
      <c r="J4" s="52"/>
      <c r="K4" s="53" t="s">
        <v>69</v>
      </c>
      <c r="L4" s="54" t="s">
        <v>63</v>
      </c>
      <c r="M4" s="55">
        <f>IFERROR(__xludf.DUMMYFUNCTION("PERCENTIF(#REF!,1)"),0.0)</f>
        <v>0</v>
      </c>
      <c r="N4" s="56" t="str">
        <f t="shared" si="1"/>
        <v/>
      </c>
    </row>
    <row r="5" ht="22.5" customHeight="1">
      <c r="A5" s="57">
        <v>4.0</v>
      </c>
      <c r="B5" s="47" t="s">
        <v>51</v>
      </c>
      <c r="C5" s="58" t="s">
        <v>64</v>
      </c>
      <c r="D5" s="50" t="s">
        <v>70</v>
      </c>
      <c r="E5" s="59">
        <v>2.0</v>
      </c>
      <c r="F5" s="50" t="s">
        <v>71</v>
      </c>
      <c r="G5" s="48" t="s">
        <v>55</v>
      </c>
      <c r="H5" s="60" t="s">
        <v>67</v>
      </c>
      <c r="I5" s="60" t="s">
        <v>57</v>
      </c>
      <c r="J5" s="65"/>
      <c r="K5" s="62" t="s">
        <v>69</v>
      </c>
      <c r="L5" s="63" t="s">
        <v>59</v>
      </c>
      <c r="M5" s="55">
        <f>IFERROR(__xludf.DUMMYFUNCTION("PERCENTIF(#REF!,1)"),0.0)</f>
        <v>0</v>
      </c>
      <c r="N5" s="56" t="str">
        <f t="shared" si="1"/>
        <v/>
      </c>
    </row>
    <row r="6" ht="22.5" customHeight="1">
      <c r="A6" s="46">
        <v>5.0</v>
      </c>
      <c r="B6" s="47" t="s">
        <v>51</v>
      </c>
      <c r="C6" s="48" t="s">
        <v>72</v>
      </c>
      <c r="D6" s="50" t="s">
        <v>73</v>
      </c>
      <c r="E6" s="49">
        <v>1.0</v>
      </c>
      <c r="F6" s="50" t="s">
        <v>74</v>
      </c>
      <c r="G6" s="66" t="s">
        <v>75</v>
      </c>
      <c r="H6" s="51" t="s">
        <v>56</v>
      </c>
      <c r="I6" s="64" t="s">
        <v>76</v>
      </c>
      <c r="J6" s="52"/>
      <c r="K6" s="53" t="s">
        <v>77</v>
      </c>
      <c r="L6" s="54" t="s">
        <v>63</v>
      </c>
      <c r="M6" s="55">
        <f>IFERROR(__xludf.DUMMYFUNCTION("PERCENTIF(#REF!,1)"),0.0)</f>
        <v>0</v>
      </c>
      <c r="N6" s="56" t="str">
        <f t="shared" si="1"/>
        <v/>
      </c>
    </row>
    <row r="7" ht="22.5" customHeight="1">
      <c r="A7" s="57">
        <v>6.0</v>
      </c>
      <c r="B7" s="47" t="s">
        <v>51</v>
      </c>
      <c r="C7" s="58" t="s">
        <v>72</v>
      </c>
      <c r="D7" s="50" t="s">
        <v>78</v>
      </c>
      <c r="E7" s="59">
        <v>3.0</v>
      </c>
      <c r="F7" s="50" t="s">
        <v>79</v>
      </c>
      <c r="G7" s="66" t="s">
        <v>75</v>
      </c>
      <c r="H7" s="60" t="s">
        <v>56</v>
      </c>
      <c r="I7" s="60" t="s">
        <v>80</v>
      </c>
      <c r="J7" s="61"/>
      <c r="K7" s="62" t="s">
        <v>77</v>
      </c>
      <c r="L7" s="63" t="s">
        <v>59</v>
      </c>
      <c r="M7" s="55">
        <f>IFERROR(__xludf.DUMMYFUNCTION("PERCENTIF(#REF!,1)"),0.0)</f>
        <v>0</v>
      </c>
      <c r="N7" s="56" t="str">
        <f t="shared" si="1"/>
        <v/>
      </c>
    </row>
    <row r="8" ht="22.5" customHeight="1">
      <c r="A8" s="46">
        <v>7.0</v>
      </c>
      <c r="B8" s="47" t="s">
        <v>51</v>
      </c>
      <c r="C8" s="48" t="s">
        <v>81</v>
      </c>
      <c r="D8" s="50" t="s">
        <v>82</v>
      </c>
      <c r="E8" s="49">
        <v>2.0</v>
      </c>
      <c r="F8" s="50" t="s">
        <v>83</v>
      </c>
      <c r="G8" s="48" t="s">
        <v>55</v>
      </c>
      <c r="H8" s="51" t="s">
        <v>56</v>
      </c>
      <c r="I8" s="64" t="s">
        <v>62</v>
      </c>
      <c r="J8" s="52"/>
      <c r="K8" s="53" t="s">
        <v>84</v>
      </c>
      <c r="L8" s="54" t="s">
        <v>63</v>
      </c>
      <c r="M8" s="55">
        <f>IFERROR(__xludf.DUMMYFUNCTION("PERCENTIF(#REF!,1)"),0.0)</f>
        <v>0</v>
      </c>
      <c r="N8" s="56" t="str">
        <f t="shared" si="1"/>
        <v/>
      </c>
    </row>
    <row r="9" ht="22.5" customHeight="1">
      <c r="A9" s="57">
        <v>8.0</v>
      </c>
      <c r="B9" s="47" t="s">
        <v>51</v>
      </c>
      <c r="C9" s="58" t="s">
        <v>81</v>
      </c>
      <c r="D9" s="50" t="s">
        <v>85</v>
      </c>
      <c r="E9" s="67">
        <v>3.0</v>
      </c>
      <c r="F9" s="50" t="s">
        <v>86</v>
      </c>
      <c r="G9" s="48" t="s">
        <v>55</v>
      </c>
      <c r="H9" s="60" t="s">
        <v>56</v>
      </c>
      <c r="I9" s="68" t="s">
        <v>87</v>
      </c>
      <c r="J9" s="61"/>
      <c r="K9" s="62" t="s">
        <v>84</v>
      </c>
      <c r="L9" s="63" t="s">
        <v>59</v>
      </c>
      <c r="M9" s="55">
        <f>IFERROR(__xludf.DUMMYFUNCTION("PERCENTIF(#REF!,1)"),0.0)</f>
        <v>0</v>
      </c>
      <c r="N9" s="56" t="str">
        <f t="shared" si="1"/>
        <v/>
      </c>
    </row>
    <row r="10" ht="22.5" customHeight="1">
      <c r="A10" s="46">
        <v>9.0</v>
      </c>
      <c r="B10" s="47" t="s">
        <v>51</v>
      </c>
      <c r="C10" s="48" t="s">
        <v>88</v>
      </c>
      <c r="D10" s="50" t="s">
        <v>89</v>
      </c>
      <c r="E10" s="49">
        <v>1.0</v>
      </c>
      <c r="F10" s="50" t="s">
        <v>90</v>
      </c>
      <c r="G10" s="69" t="s">
        <v>91</v>
      </c>
      <c r="H10" s="51" t="s">
        <v>67</v>
      </c>
      <c r="I10" s="64" t="s">
        <v>92</v>
      </c>
      <c r="J10" s="52"/>
      <c r="K10" s="53" t="s">
        <v>93</v>
      </c>
      <c r="L10" s="54" t="s">
        <v>59</v>
      </c>
      <c r="M10" s="55">
        <f>IFERROR(__xludf.DUMMYFUNCTION("PERCENTIF(#REF!,1)"),0.0)</f>
        <v>0</v>
      </c>
      <c r="N10" s="56" t="str">
        <f t="shared" si="1"/>
        <v/>
      </c>
    </row>
    <row r="11" ht="22.5" customHeight="1">
      <c r="A11" s="57">
        <v>10.0</v>
      </c>
      <c r="B11" s="47" t="s">
        <v>51</v>
      </c>
      <c r="C11" s="58" t="s">
        <v>88</v>
      </c>
      <c r="D11" s="50" t="s">
        <v>94</v>
      </c>
      <c r="E11" s="59">
        <v>3.0</v>
      </c>
      <c r="F11" s="50" t="s">
        <v>95</v>
      </c>
      <c r="G11" s="69" t="s">
        <v>91</v>
      </c>
      <c r="H11" s="60" t="s">
        <v>67</v>
      </c>
      <c r="I11" s="68" t="s">
        <v>92</v>
      </c>
      <c r="J11" s="65"/>
      <c r="K11" s="62" t="s">
        <v>93</v>
      </c>
      <c r="L11" s="63" t="s">
        <v>59</v>
      </c>
      <c r="M11" s="55">
        <f>IFERROR(__xludf.DUMMYFUNCTION("PERCENTIF(#REF!,1)"),0.0)</f>
        <v>0</v>
      </c>
      <c r="N11" s="56" t="str">
        <f t="shared" si="1"/>
        <v/>
      </c>
    </row>
    <row r="12" ht="22.5" customHeight="1">
      <c r="A12" s="46">
        <v>11.0</v>
      </c>
      <c r="B12" s="47" t="s">
        <v>51</v>
      </c>
      <c r="C12" s="48" t="s">
        <v>96</v>
      </c>
      <c r="D12" s="50" t="s">
        <v>97</v>
      </c>
      <c r="E12" s="70">
        <v>1.0</v>
      </c>
      <c r="F12" s="50" t="s">
        <v>98</v>
      </c>
      <c r="G12" s="71" t="s">
        <v>75</v>
      </c>
      <c r="H12" s="51" t="s">
        <v>56</v>
      </c>
      <c r="I12" s="64" t="s">
        <v>80</v>
      </c>
      <c r="J12" s="72"/>
      <c r="K12" s="53" t="s">
        <v>99</v>
      </c>
      <c r="L12" s="54" t="s">
        <v>59</v>
      </c>
      <c r="M12" s="55">
        <f>IFERROR(__xludf.DUMMYFUNCTION("PERCENTIF(#REF!,1)"),0.0)</f>
        <v>0</v>
      </c>
      <c r="N12" s="56" t="str">
        <f t="shared" si="1"/>
        <v/>
      </c>
    </row>
    <row r="13" ht="22.5" customHeight="1">
      <c r="A13" s="57">
        <v>12.0</v>
      </c>
      <c r="B13" s="47" t="s">
        <v>51</v>
      </c>
      <c r="C13" s="58" t="s">
        <v>96</v>
      </c>
      <c r="D13" s="50" t="s">
        <v>100</v>
      </c>
      <c r="E13" s="67">
        <v>4.0</v>
      </c>
      <c r="F13" s="50" t="s">
        <v>101</v>
      </c>
      <c r="G13" s="71" t="s">
        <v>75</v>
      </c>
      <c r="H13" s="60" t="s">
        <v>56</v>
      </c>
      <c r="I13" s="68" t="s">
        <v>76</v>
      </c>
      <c r="J13" s="65"/>
      <c r="K13" s="62" t="s">
        <v>99</v>
      </c>
      <c r="L13" s="63" t="s">
        <v>63</v>
      </c>
      <c r="M13" s="55">
        <f>IFERROR(__xludf.DUMMYFUNCTION("PERCENTIF(#REF!,1)"),0.0)</f>
        <v>0</v>
      </c>
      <c r="N13" s="56" t="str">
        <f t="shared" si="1"/>
        <v/>
      </c>
    </row>
    <row r="14" ht="22.5" customHeight="1">
      <c r="A14" s="46">
        <v>13.0</v>
      </c>
      <c r="B14" s="47" t="s">
        <v>51</v>
      </c>
      <c r="C14" s="48" t="s">
        <v>102</v>
      </c>
      <c r="D14" s="50" t="s">
        <v>103</v>
      </c>
      <c r="E14" s="70">
        <v>2.0</v>
      </c>
      <c r="F14" s="50" t="s">
        <v>104</v>
      </c>
      <c r="G14" s="71" t="s">
        <v>91</v>
      </c>
      <c r="H14" s="51" t="s">
        <v>67</v>
      </c>
      <c r="I14" s="64" t="s">
        <v>62</v>
      </c>
      <c r="J14" s="72"/>
      <c r="K14" s="53" t="s">
        <v>105</v>
      </c>
      <c r="L14" s="54" t="s">
        <v>63</v>
      </c>
      <c r="M14" s="55">
        <f>IFERROR(__xludf.DUMMYFUNCTION("PERCENTIF(#REF!,1)"),0.0)</f>
        <v>0</v>
      </c>
      <c r="N14" s="56" t="str">
        <f t="shared" si="1"/>
        <v/>
      </c>
    </row>
    <row r="15" ht="22.5" customHeight="1">
      <c r="A15" s="57">
        <v>14.0</v>
      </c>
      <c r="B15" s="47" t="s">
        <v>51</v>
      </c>
      <c r="C15" s="58" t="s">
        <v>102</v>
      </c>
      <c r="D15" s="50" t="s">
        <v>106</v>
      </c>
      <c r="E15" s="67">
        <v>2.0</v>
      </c>
      <c r="F15" s="50" t="s">
        <v>107</v>
      </c>
      <c r="G15" s="71" t="s">
        <v>91</v>
      </c>
      <c r="H15" s="60" t="s">
        <v>67</v>
      </c>
      <c r="I15" s="68" t="s">
        <v>76</v>
      </c>
      <c r="J15" s="65"/>
      <c r="K15" s="62" t="s">
        <v>108</v>
      </c>
      <c r="L15" s="63" t="s">
        <v>63</v>
      </c>
      <c r="M15" s="55">
        <f>IFERROR(__xludf.DUMMYFUNCTION("PERCENTIF(#REF!,1)"),0.0)</f>
        <v>0</v>
      </c>
      <c r="N15" s="56" t="str">
        <f t="shared" si="1"/>
        <v/>
      </c>
    </row>
    <row r="16" ht="22.5" customHeight="1">
      <c r="A16" s="46">
        <v>15.0</v>
      </c>
      <c r="B16" s="47" t="s">
        <v>51</v>
      </c>
      <c r="C16" s="48" t="s">
        <v>109</v>
      </c>
      <c r="D16" s="50" t="s">
        <v>110</v>
      </c>
      <c r="E16" s="70">
        <v>4.0</v>
      </c>
      <c r="F16" s="50" t="s">
        <v>111</v>
      </c>
      <c r="G16" s="69" t="s">
        <v>55</v>
      </c>
      <c r="H16" s="51" t="s">
        <v>67</v>
      </c>
      <c r="I16" s="64" t="s">
        <v>112</v>
      </c>
      <c r="J16" s="72"/>
      <c r="K16" s="53" t="s">
        <v>113</v>
      </c>
      <c r="L16" s="54" t="s">
        <v>63</v>
      </c>
      <c r="M16" s="55">
        <f>IFERROR(__xludf.DUMMYFUNCTION("PERCENTIF(#REF!,1)"),0.0)</f>
        <v>0</v>
      </c>
      <c r="N16" s="56" t="str">
        <f t="shared" si="1"/>
        <v/>
      </c>
    </row>
    <row r="17" ht="22.5" customHeight="1">
      <c r="A17" s="57">
        <v>16.0</v>
      </c>
      <c r="B17" s="47" t="s">
        <v>51</v>
      </c>
      <c r="C17" s="58" t="s">
        <v>109</v>
      </c>
      <c r="D17" s="50" t="s">
        <v>114</v>
      </c>
      <c r="E17" s="67">
        <v>3.0</v>
      </c>
      <c r="F17" s="50" t="s">
        <v>115</v>
      </c>
      <c r="G17" s="69" t="s">
        <v>55</v>
      </c>
      <c r="H17" s="60" t="s">
        <v>67</v>
      </c>
      <c r="I17" s="68" t="s">
        <v>62</v>
      </c>
      <c r="J17" s="65"/>
      <c r="K17" s="62" t="s">
        <v>113</v>
      </c>
      <c r="L17" s="63" t="s">
        <v>59</v>
      </c>
      <c r="M17" s="55">
        <f>IFERROR(__xludf.DUMMYFUNCTION("PERCENTIF(#REF!,1)"),0.0)</f>
        <v>0</v>
      </c>
      <c r="N17" s="56" t="str">
        <f t="shared" si="1"/>
        <v/>
      </c>
    </row>
    <row r="18" ht="22.5" customHeight="1">
      <c r="A18" s="46">
        <v>17.0</v>
      </c>
      <c r="B18" s="47" t="s">
        <v>51</v>
      </c>
      <c r="C18" s="48" t="s">
        <v>116</v>
      </c>
      <c r="D18" s="50" t="s">
        <v>117</v>
      </c>
      <c r="E18" s="70">
        <v>4.0</v>
      </c>
      <c r="F18" s="50" t="s">
        <v>118</v>
      </c>
      <c r="G18" s="69" t="s">
        <v>55</v>
      </c>
      <c r="H18" s="51" t="s">
        <v>67</v>
      </c>
      <c r="I18" s="64" t="s">
        <v>57</v>
      </c>
      <c r="J18" s="72"/>
      <c r="K18" s="53" t="s">
        <v>119</v>
      </c>
      <c r="L18" s="54" t="s">
        <v>59</v>
      </c>
      <c r="M18" s="55">
        <f>IFERROR(__xludf.DUMMYFUNCTION("PERCENTIF(#REF!,1)"),0.0)</f>
        <v>0</v>
      </c>
      <c r="N18" s="56" t="str">
        <f t="shared" si="1"/>
        <v/>
      </c>
    </row>
    <row r="19" ht="22.5" customHeight="1">
      <c r="A19" s="57">
        <v>18.0</v>
      </c>
      <c r="B19" s="47" t="s">
        <v>51</v>
      </c>
      <c r="C19" s="58" t="s">
        <v>116</v>
      </c>
      <c r="D19" s="50" t="s">
        <v>120</v>
      </c>
      <c r="E19" s="67">
        <v>3.0</v>
      </c>
      <c r="F19" s="50" t="s">
        <v>121</v>
      </c>
      <c r="G19" s="69" t="s">
        <v>55</v>
      </c>
      <c r="H19" s="60" t="s">
        <v>67</v>
      </c>
      <c r="I19" s="68" t="s">
        <v>92</v>
      </c>
      <c r="J19" s="65"/>
      <c r="K19" s="62" t="s">
        <v>119</v>
      </c>
      <c r="L19" s="63" t="s">
        <v>59</v>
      </c>
      <c r="M19" s="55">
        <f>IFERROR(__xludf.DUMMYFUNCTION("PERCENTIF(#REF!,1)"),0.0)</f>
        <v>0</v>
      </c>
      <c r="N19" s="56" t="str">
        <f t="shared" si="1"/>
        <v/>
      </c>
    </row>
    <row r="20" ht="22.5" customHeight="1">
      <c r="A20" s="46">
        <v>19.0</v>
      </c>
      <c r="B20" s="47" t="s">
        <v>51</v>
      </c>
      <c r="C20" s="48" t="s">
        <v>122</v>
      </c>
      <c r="D20" s="50" t="s">
        <v>123</v>
      </c>
      <c r="E20" s="70">
        <v>1.0</v>
      </c>
      <c r="F20" s="50" t="s">
        <v>124</v>
      </c>
      <c r="G20" s="69" t="s">
        <v>55</v>
      </c>
      <c r="H20" s="51" t="s">
        <v>67</v>
      </c>
      <c r="I20" s="64" t="s">
        <v>62</v>
      </c>
      <c r="J20" s="72"/>
      <c r="K20" s="53" t="s">
        <v>125</v>
      </c>
      <c r="L20" s="54" t="s">
        <v>59</v>
      </c>
      <c r="M20" s="55">
        <f>IFERROR(__xludf.DUMMYFUNCTION("PERCENTIF(#REF!,1)"),0.0)</f>
        <v>0</v>
      </c>
      <c r="N20" s="56" t="str">
        <f t="shared" si="1"/>
        <v/>
      </c>
    </row>
    <row r="21" ht="22.5" customHeight="1">
      <c r="A21" s="57">
        <v>20.0</v>
      </c>
      <c r="B21" s="47" t="s">
        <v>51</v>
      </c>
      <c r="C21" s="58" t="s">
        <v>122</v>
      </c>
      <c r="D21" s="50" t="s">
        <v>126</v>
      </c>
      <c r="E21" s="67">
        <v>3.0</v>
      </c>
      <c r="F21" s="50" t="s">
        <v>127</v>
      </c>
      <c r="G21" s="69" t="s">
        <v>55</v>
      </c>
      <c r="H21" s="60" t="s">
        <v>67</v>
      </c>
      <c r="I21" s="68" t="s">
        <v>128</v>
      </c>
      <c r="J21" s="65"/>
      <c r="K21" s="62" t="s">
        <v>125</v>
      </c>
      <c r="L21" s="63" t="s">
        <v>63</v>
      </c>
      <c r="M21" s="55">
        <f>IFERROR(__xludf.DUMMYFUNCTION("PERCENTIF(#REF!,1)"),0.0)</f>
        <v>0</v>
      </c>
      <c r="N21" s="56" t="str">
        <f t="shared" si="1"/>
        <v/>
      </c>
    </row>
    <row r="22" ht="22.5" customHeight="1">
      <c r="A22" s="46">
        <v>21.0</v>
      </c>
      <c r="B22" s="47" t="s">
        <v>51</v>
      </c>
      <c r="C22" s="48" t="s">
        <v>129</v>
      </c>
      <c r="D22" s="50" t="s">
        <v>130</v>
      </c>
      <c r="E22" s="70">
        <v>4.0</v>
      </c>
      <c r="F22" s="50" t="s">
        <v>131</v>
      </c>
      <c r="G22" s="69" t="s">
        <v>55</v>
      </c>
      <c r="H22" s="51" t="s">
        <v>56</v>
      </c>
      <c r="I22" s="64" t="s">
        <v>132</v>
      </c>
      <c r="J22" s="72"/>
      <c r="K22" s="53" t="s">
        <v>133</v>
      </c>
      <c r="L22" s="54" t="s">
        <v>63</v>
      </c>
      <c r="M22" s="55">
        <f>IFERROR(__xludf.DUMMYFUNCTION("PERCENTIF(#REF!,1)"),0.0)</f>
        <v>0</v>
      </c>
      <c r="N22" s="56" t="str">
        <f t="shared" si="1"/>
        <v/>
      </c>
    </row>
    <row r="23" ht="22.5" customHeight="1">
      <c r="A23" s="57">
        <v>22.0</v>
      </c>
      <c r="B23" s="47" t="s">
        <v>51</v>
      </c>
      <c r="C23" s="58" t="s">
        <v>129</v>
      </c>
      <c r="D23" s="50" t="s">
        <v>134</v>
      </c>
      <c r="E23" s="67">
        <v>2.0</v>
      </c>
      <c r="F23" s="50" t="s">
        <v>135</v>
      </c>
      <c r="G23" s="69" t="s">
        <v>55</v>
      </c>
      <c r="H23" s="60" t="s">
        <v>56</v>
      </c>
      <c r="I23" s="68" t="s">
        <v>62</v>
      </c>
      <c r="J23" s="65"/>
      <c r="K23" s="62" t="s">
        <v>133</v>
      </c>
      <c r="L23" s="63" t="s">
        <v>63</v>
      </c>
      <c r="M23" s="55">
        <f>IFERROR(__xludf.DUMMYFUNCTION("PERCENTIF(#REF!,1)"),0.0)</f>
        <v>0</v>
      </c>
      <c r="N23" s="56" t="str">
        <f t="shared" si="1"/>
        <v/>
      </c>
    </row>
    <row r="24" ht="22.5" customHeight="1">
      <c r="A24" s="46">
        <v>23.0</v>
      </c>
      <c r="B24" s="47" t="s">
        <v>51</v>
      </c>
      <c r="C24" s="48" t="s">
        <v>136</v>
      </c>
      <c r="D24" s="50" t="s">
        <v>137</v>
      </c>
      <c r="E24" s="70">
        <v>2.0</v>
      </c>
      <c r="F24" s="50" t="s">
        <v>138</v>
      </c>
      <c r="G24" s="69" t="s">
        <v>55</v>
      </c>
      <c r="H24" s="51" t="s">
        <v>67</v>
      </c>
      <c r="I24" s="64" t="s">
        <v>62</v>
      </c>
      <c r="J24" s="72"/>
      <c r="K24" s="53" t="s">
        <v>139</v>
      </c>
      <c r="L24" s="54" t="s">
        <v>63</v>
      </c>
      <c r="M24" s="55">
        <f>IFERROR(__xludf.DUMMYFUNCTION("PERCENTIF(#REF!,1)"),0.0)</f>
        <v>0</v>
      </c>
      <c r="N24" s="56" t="str">
        <f t="shared" si="1"/>
        <v/>
      </c>
    </row>
    <row r="25" ht="22.5" customHeight="1">
      <c r="A25" s="57">
        <v>24.0</v>
      </c>
      <c r="B25" s="47" t="s">
        <v>51</v>
      </c>
      <c r="C25" s="58" t="s">
        <v>136</v>
      </c>
      <c r="D25" s="50" t="s">
        <v>140</v>
      </c>
      <c r="E25" s="67">
        <v>3.0</v>
      </c>
      <c r="F25" s="50" t="s">
        <v>141</v>
      </c>
      <c r="G25" s="69" t="s">
        <v>55</v>
      </c>
      <c r="H25" s="60" t="s">
        <v>67</v>
      </c>
      <c r="I25" s="68" t="s">
        <v>128</v>
      </c>
      <c r="J25" s="65"/>
      <c r="K25" s="62" t="s">
        <v>142</v>
      </c>
      <c r="L25" s="63" t="s">
        <v>63</v>
      </c>
      <c r="M25" s="55">
        <f>IFERROR(__xludf.DUMMYFUNCTION("PERCENTIF(#REF!,1)"),0.0)</f>
        <v>0</v>
      </c>
      <c r="N25" s="56" t="str">
        <f t="shared" si="1"/>
        <v/>
      </c>
    </row>
    <row r="26" ht="22.5" customHeight="1">
      <c r="A26" s="46">
        <v>25.0</v>
      </c>
      <c r="B26" s="47" t="s">
        <v>51</v>
      </c>
      <c r="C26" s="48" t="s">
        <v>143</v>
      </c>
      <c r="D26" s="50" t="s">
        <v>144</v>
      </c>
      <c r="E26" s="70">
        <v>2.0</v>
      </c>
      <c r="F26" s="50" t="s">
        <v>145</v>
      </c>
      <c r="G26" s="69" t="s">
        <v>75</v>
      </c>
      <c r="H26" s="51" t="s">
        <v>56</v>
      </c>
      <c r="I26" s="64" t="s">
        <v>80</v>
      </c>
      <c r="J26" s="72"/>
      <c r="K26" s="53" t="s">
        <v>93</v>
      </c>
      <c r="L26" s="54" t="s">
        <v>59</v>
      </c>
      <c r="M26" s="55">
        <f>IFERROR(__xludf.DUMMYFUNCTION("PERCENTIF(#REF!,1)"),0.0)</f>
        <v>0</v>
      </c>
      <c r="N26" s="56" t="str">
        <f t="shared" si="1"/>
        <v/>
      </c>
    </row>
    <row r="27" ht="22.5" customHeight="1">
      <c r="A27" s="57">
        <v>26.0</v>
      </c>
      <c r="B27" s="47" t="s">
        <v>51</v>
      </c>
      <c r="C27" s="58" t="s">
        <v>146</v>
      </c>
      <c r="D27" s="50" t="s">
        <v>147</v>
      </c>
      <c r="E27" s="67">
        <v>4.0</v>
      </c>
      <c r="F27" s="50" t="s">
        <v>148</v>
      </c>
      <c r="G27" s="73" t="s">
        <v>55</v>
      </c>
      <c r="H27" s="60" t="s">
        <v>56</v>
      </c>
      <c r="I27" s="68" t="s">
        <v>57</v>
      </c>
      <c r="J27" s="65"/>
      <c r="K27" s="62" t="s">
        <v>149</v>
      </c>
      <c r="L27" s="63" t="s">
        <v>59</v>
      </c>
      <c r="M27" s="55">
        <f>IFERROR(__xludf.DUMMYFUNCTION("PERCENTIF(#REF!,1)"),0.0)</f>
        <v>0</v>
      </c>
      <c r="N27" s="56"/>
    </row>
    <row r="28" ht="22.5" customHeight="1">
      <c r="A28" s="46">
        <v>27.0</v>
      </c>
      <c r="B28" s="47" t="s">
        <v>51</v>
      </c>
      <c r="C28" s="48" t="s">
        <v>150</v>
      </c>
      <c r="D28" s="50" t="s">
        <v>151</v>
      </c>
      <c r="E28" s="70">
        <v>1.0</v>
      </c>
      <c r="F28" s="50" t="s">
        <v>152</v>
      </c>
      <c r="G28" s="73" t="s">
        <v>55</v>
      </c>
      <c r="H28" s="51" t="s">
        <v>67</v>
      </c>
      <c r="I28" s="64" t="s">
        <v>153</v>
      </c>
      <c r="J28" s="72"/>
      <c r="K28" s="53" t="s">
        <v>154</v>
      </c>
      <c r="L28" s="54" t="s">
        <v>59</v>
      </c>
      <c r="M28" s="55">
        <f>IFERROR(__xludf.DUMMYFUNCTION("PERCENTIF(#REF!,1)"),0.0)</f>
        <v>0</v>
      </c>
      <c r="N28" s="56"/>
    </row>
    <row r="29" ht="22.5" customHeight="1">
      <c r="A29" s="57">
        <v>28.0</v>
      </c>
      <c r="B29" s="47" t="s">
        <v>51</v>
      </c>
      <c r="C29" s="58" t="s">
        <v>150</v>
      </c>
      <c r="D29" s="50" t="s">
        <v>155</v>
      </c>
      <c r="E29" s="67">
        <v>2.0</v>
      </c>
      <c r="F29" s="50" t="s">
        <v>156</v>
      </c>
      <c r="G29" s="73" t="s">
        <v>55</v>
      </c>
      <c r="H29" s="60" t="s">
        <v>67</v>
      </c>
      <c r="I29" s="68" t="s">
        <v>112</v>
      </c>
      <c r="J29" s="65"/>
      <c r="K29" s="62" t="s">
        <v>154</v>
      </c>
      <c r="L29" s="63" t="s">
        <v>63</v>
      </c>
      <c r="M29" s="55">
        <f>IFERROR(__xludf.DUMMYFUNCTION("PERCENTIF(#REF!,1)"),0.0)</f>
        <v>0</v>
      </c>
      <c r="N29" s="56"/>
    </row>
    <row r="30" ht="22.5" customHeight="1">
      <c r="A30" s="74">
        <v>29.0</v>
      </c>
      <c r="B30" s="75" t="s">
        <v>157</v>
      </c>
      <c r="C30" s="76" t="s">
        <v>158</v>
      </c>
      <c r="D30" s="77" t="s">
        <v>159</v>
      </c>
      <c r="E30" s="78"/>
      <c r="F30" s="79"/>
      <c r="G30" s="73" t="s">
        <v>55</v>
      </c>
      <c r="H30" s="80" t="s">
        <v>56</v>
      </c>
      <c r="I30" s="80" t="s">
        <v>160</v>
      </c>
      <c r="J30" s="81"/>
      <c r="K30" s="82" t="s">
        <v>161</v>
      </c>
      <c r="L30" s="83"/>
      <c r="M30" s="55">
        <f>IFERROR(__xludf.DUMMYFUNCTION("PERCENTIF(#REF!,1)"),0.0)</f>
        <v>0</v>
      </c>
      <c r="N30" s="56"/>
    </row>
    <row r="31" ht="22.5" customHeight="1">
      <c r="A31" s="74">
        <v>30.0</v>
      </c>
      <c r="B31" s="75" t="s">
        <v>157</v>
      </c>
      <c r="C31" s="76" t="s">
        <v>162</v>
      </c>
      <c r="D31" s="77" t="s">
        <v>163</v>
      </c>
      <c r="E31" s="78"/>
      <c r="F31" s="79"/>
      <c r="G31" s="73" t="s">
        <v>55</v>
      </c>
      <c r="H31" s="80" t="s">
        <v>67</v>
      </c>
      <c r="I31" s="80" t="s">
        <v>92</v>
      </c>
      <c r="J31" s="81"/>
      <c r="K31" s="82" t="s">
        <v>164</v>
      </c>
      <c r="L31" s="83"/>
      <c r="M31" s="55">
        <f>IFERROR(__xludf.DUMMYFUNCTION("PERCENTIF(#REF!,1)"),0.0)</f>
        <v>0</v>
      </c>
      <c r="N31" s="56"/>
    </row>
    <row r="32" ht="22.5" customHeight="1">
      <c r="A32" s="74">
        <v>31.0</v>
      </c>
      <c r="B32" s="75" t="s">
        <v>157</v>
      </c>
      <c r="C32" s="76" t="s">
        <v>165</v>
      </c>
      <c r="D32" s="77" t="s">
        <v>166</v>
      </c>
      <c r="E32" s="78"/>
      <c r="F32" s="79"/>
      <c r="G32" s="84"/>
      <c r="H32" s="85"/>
      <c r="I32" s="85"/>
      <c r="J32" s="81"/>
      <c r="K32" s="81"/>
      <c r="L32" s="83"/>
      <c r="M32" s="55">
        <f>IFERROR(__xludf.DUMMYFUNCTION("PERCENTIF(#REF!,1)"),0.0)</f>
        <v>0</v>
      </c>
      <c r="N32" s="56"/>
    </row>
    <row r="33" ht="22.5" customHeight="1">
      <c r="A33" s="74">
        <v>32.0</v>
      </c>
      <c r="B33" s="75" t="s">
        <v>157</v>
      </c>
      <c r="C33" s="76" t="s">
        <v>167</v>
      </c>
      <c r="D33" s="77" t="s">
        <v>168</v>
      </c>
      <c r="E33" s="78"/>
      <c r="F33" s="79"/>
      <c r="G33" s="73" t="s">
        <v>55</v>
      </c>
      <c r="H33" s="80" t="s">
        <v>56</v>
      </c>
      <c r="I33" s="80" t="s">
        <v>76</v>
      </c>
      <c r="J33" s="81"/>
      <c r="K33" s="82" t="s">
        <v>99</v>
      </c>
      <c r="L33" s="83"/>
      <c r="M33" s="55">
        <f>IFERROR(__xludf.DUMMYFUNCTION("PERCENTIF(#REF!,1)"),0.0)</f>
        <v>0</v>
      </c>
      <c r="N33" s="56"/>
    </row>
    <row r="34" ht="22.5" customHeight="1">
      <c r="A34" s="74">
        <v>33.0</v>
      </c>
      <c r="B34" s="75" t="s">
        <v>157</v>
      </c>
      <c r="C34" s="77" t="s">
        <v>169</v>
      </c>
      <c r="D34" s="77" t="s">
        <v>170</v>
      </c>
      <c r="E34" s="78"/>
      <c r="F34" s="79"/>
      <c r="G34" s="73" t="s">
        <v>55</v>
      </c>
      <c r="H34" s="80" t="s">
        <v>67</v>
      </c>
      <c r="I34" s="80" t="s">
        <v>92</v>
      </c>
      <c r="J34" s="81"/>
      <c r="K34" s="82" t="s">
        <v>171</v>
      </c>
      <c r="L34" s="75"/>
      <c r="M34" s="55"/>
      <c r="N34" s="56"/>
    </row>
    <row r="35" ht="22.5" customHeight="1">
      <c r="A35" s="74" t="s">
        <v>172</v>
      </c>
      <c r="B35" s="75" t="s">
        <v>157</v>
      </c>
      <c r="C35" s="76" t="s">
        <v>165</v>
      </c>
      <c r="D35" s="77" t="s">
        <v>173</v>
      </c>
      <c r="E35" s="78"/>
      <c r="F35" s="79"/>
      <c r="G35" s="84"/>
      <c r="H35" s="80"/>
      <c r="I35" s="80"/>
      <c r="J35" s="81"/>
      <c r="K35" s="82"/>
      <c r="L35" s="75"/>
      <c r="M35" s="55"/>
      <c r="N35" s="56"/>
    </row>
    <row r="36" ht="22.5" customHeight="1">
      <c r="A36" s="74" t="s">
        <v>174</v>
      </c>
      <c r="B36" s="75" t="s">
        <v>157</v>
      </c>
      <c r="C36" s="76" t="s">
        <v>165</v>
      </c>
      <c r="D36" s="77" t="s">
        <v>175</v>
      </c>
      <c r="E36" s="78"/>
      <c r="F36" s="79"/>
      <c r="G36" s="84"/>
      <c r="H36" s="80"/>
      <c r="I36" s="80"/>
      <c r="J36" s="81"/>
      <c r="K36" s="82"/>
      <c r="L36" s="75"/>
      <c r="M36" s="55"/>
      <c r="N36" s="56"/>
    </row>
  </sheetData>
  <dataValidations>
    <dataValidation type="list" allowBlank="1" sqref="B2:B36">
      <formula1>"Part I,Part II,Part IIIA,Part IIIB"</formula1>
    </dataValidation>
    <dataValidation type="custom" allowBlank="1" showDropDown="1" sqref="M2:N36">
      <formula1>AND(ISNUMBER(M2),(NOT(OR(NOT(ISERROR(DATEVALUE(M2))), AND(ISNUMBER(M2), LEFT(CELL("format", M2))="D")))))</formula1>
    </dataValidation>
    <dataValidation type="list" allowBlank="1" sqref="L2:L36">
      <formula1>"Yes,No"</formula1>
    </dataValidation>
    <dataValidation type="list" allowBlank="1" sqref="I2:I36">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G2:G36">
      <formula1>"Text-based,Map-based,Data-based,Visual-based"</formula1>
    </dataValidation>
    <dataValidation type="list" allowBlank="1" sqref="J2:K36">
      <formula1>#REF!</formula1>
    </dataValidation>
    <dataValidation type="list" allowBlank="1" sqref="H2:H36">
      <formula1>"Primary,Secondary,Both"</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2" width="25.13"/>
    <col customWidth="1" min="3" max="3" width="62.63"/>
    <col customWidth="1" min="4" max="4" width="25.13"/>
  </cols>
  <sheetData>
    <row r="1" ht="22.5" customHeight="1">
      <c r="A1" s="86" t="s">
        <v>176</v>
      </c>
      <c r="B1" s="87" t="s">
        <v>177</v>
      </c>
      <c r="C1" s="87" t="s">
        <v>178</v>
      </c>
      <c r="D1" s="87" t="s">
        <v>179</v>
      </c>
    </row>
    <row r="2" ht="22.5" customHeight="1">
      <c r="A2" s="86">
        <v>1.0</v>
      </c>
      <c r="B2" s="88" t="s">
        <v>180</v>
      </c>
      <c r="C2" s="88" t="s">
        <v>181</v>
      </c>
      <c r="D2" s="88" t="str">
        <f t="shared" ref="D2:D19" si="1">CONCATENATE(A2,". ",B2)</f>
        <v>1. Best Use</v>
      </c>
    </row>
    <row r="3" ht="22.5" customHeight="1">
      <c r="A3" s="86">
        <v>2.0</v>
      </c>
      <c r="B3" s="88" t="s">
        <v>182</v>
      </c>
      <c r="C3" s="88" t="s">
        <v>183</v>
      </c>
      <c r="D3" s="88" t="str">
        <f t="shared" si="1"/>
        <v>2. POV</v>
      </c>
    </row>
    <row r="4" ht="22.5" customHeight="1">
      <c r="A4" s="86">
        <v>3.0</v>
      </c>
      <c r="B4" s="88" t="s">
        <v>184</v>
      </c>
      <c r="C4" s="88" t="s">
        <v>185</v>
      </c>
      <c r="D4" s="88" t="str">
        <f t="shared" si="1"/>
        <v>3. Claim Validity (With Outside Information)</v>
      </c>
    </row>
    <row r="5" ht="22.5" customHeight="1">
      <c r="A5" s="86">
        <v>4.0</v>
      </c>
      <c r="B5" s="88" t="s">
        <v>186</v>
      </c>
      <c r="C5" s="88" t="s">
        <v>187</v>
      </c>
      <c r="D5" s="88" t="str">
        <f t="shared" si="1"/>
        <v>4. Claim Validity (Without Outside Information)</v>
      </c>
    </row>
    <row r="6" ht="22.5" customHeight="1">
      <c r="A6" s="86">
        <v>5.0</v>
      </c>
      <c r="B6" s="88" t="s">
        <v>188</v>
      </c>
      <c r="C6" s="88" t="s">
        <v>189</v>
      </c>
      <c r="D6" s="88" t="str">
        <f t="shared" si="1"/>
        <v>5. Turning Point</v>
      </c>
    </row>
    <row r="7" ht="22.5" customHeight="1">
      <c r="A7" s="86">
        <v>6.0</v>
      </c>
      <c r="B7" s="88" t="s">
        <v>190</v>
      </c>
      <c r="C7" s="88" t="s">
        <v>191</v>
      </c>
      <c r="D7" s="88" t="str">
        <f t="shared" si="1"/>
        <v>6. Change Over Time</v>
      </c>
    </row>
    <row r="8" ht="22.5" customHeight="1">
      <c r="A8" s="86">
        <v>7.0</v>
      </c>
      <c r="B8" s="88" t="s">
        <v>192</v>
      </c>
      <c r="C8" s="88" t="s">
        <v>193</v>
      </c>
      <c r="D8" s="88" t="str">
        <f t="shared" si="1"/>
        <v>7. Cause</v>
      </c>
    </row>
    <row r="9" ht="22.5" customHeight="1">
      <c r="A9" s="86">
        <v>8.0</v>
      </c>
      <c r="B9" s="88" t="s">
        <v>194</v>
      </c>
      <c r="C9" s="88" t="s">
        <v>195</v>
      </c>
      <c r="D9" s="88" t="str">
        <f t="shared" si="1"/>
        <v>8. Effect</v>
      </c>
    </row>
    <row r="10" ht="22.5" customHeight="1">
      <c r="A10" s="86">
        <v>9.0</v>
      </c>
      <c r="B10" s="88" t="s">
        <v>196</v>
      </c>
      <c r="C10" s="88" t="s">
        <v>197</v>
      </c>
      <c r="D10" s="88" t="str">
        <f t="shared" si="1"/>
        <v>9. Impact of Setting</v>
      </c>
    </row>
    <row r="11" ht="22.5" customHeight="1">
      <c r="A11" s="86">
        <v>10.0</v>
      </c>
      <c r="B11" s="88" t="s">
        <v>198</v>
      </c>
      <c r="C11" s="88" t="s">
        <v>199</v>
      </c>
      <c r="D11" s="88" t="str">
        <f t="shared" si="1"/>
        <v>10. Compare</v>
      </c>
    </row>
    <row r="12" ht="22.5" customHeight="1">
      <c r="A12" s="86">
        <v>11.0</v>
      </c>
      <c r="B12" s="88" t="s">
        <v>200</v>
      </c>
      <c r="C12" s="88" t="s">
        <v>201</v>
      </c>
      <c r="D12" s="88" t="str">
        <f t="shared" si="1"/>
        <v>11. Contrast</v>
      </c>
    </row>
    <row r="13" ht="22.5" customHeight="1">
      <c r="A13" s="86">
        <v>12.0</v>
      </c>
      <c r="B13" s="88" t="s">
        <v>202</v>
      </c>
      <c r="C13" s="88" t="s">
        <v>203</v>
      </c>
      <c r="D13" s="88" t="str">
        <f t="shared" si="1"/>
        <v>12. Informed Civic Action</v>
      </c>
    </row>
    <row r="14" ht="22.5" customHeight="1">
      <c r="A14" s="86">
        <v>13.0</v>
      </c>
      <c r="B14" s="88" t="s">
        <v>204</v>
      </c>
      <c r="C14" s="88" t="s">
        <v>205</v>
      </c>
      <c r="D14" s="88" t="str">
        <f t="shared" si="1"/>
        <v>13. Interpret Visual Data</v>
      </c>
    </row>
    <row r="15" ht="22.5" customHeight="1">
      <c r="A15" s="86">
        <v>14.0</v>
      </c>
      <c r="B15" s="88" t="s">
        <v>206</v>
      </c>
      <c r="C15" s="88" t="s">
        <v>207</v>
      </c>
      <c r="D15" s="88" t="str">
        <f t="shared" si="1"/>
        <v>14. Stakeholder Issue</v>
      </c>
    </row>
    <row r="16" ht="22.5" customHeight="1">
      <c r="A16" s="86">
        <v>15.0</v>
      </c>
      <c r="B16" s="88" t="s">
        <v>208</v>
      </c>
      <c r="C16" s="88" t="s">
        <v>209</v>
      </c>
      <c r="D16" s="88" t="str">
        <f t="shared" si="1"/>
        <v>15. Recommended Action</v>
      </c>
    </row>
    <row r="17" ht="22.5" customHeight="1">
      <c r="A17" s="86">
        <v>16.0</v>
      </c>
      <c r="B17" s="88" t="s">
        <v>210</v>
      </c>
      <c r="C17" s="88" t="s">
        <v>211</v>
      </c>
      <c r="D17" s="88" t="str">
        <f t="shared" si="1"/>
        <v>16. Sequence of Events</v>
      </c>
    </row>
    <row r="18" ht="22.5" customHeight="1">
      <c r="A18" s="86">
        <v>17.0</v>
      </c>
      <c r="B18" s="88" t="s">
        <v>212</v>
      </c>
      <c r="C18" s="88" t="s">
        <v>213</v>
      </c>
      <c r="D18" s="88" t="str">
        <f t="shared" si="1"/>
        <v>17. Problem</v>
      </c>
    </row>
    <row r="19" ht="22.5" customHeight="1">
      <c r="A19" s="86">
        <v>18.0</v>
      </c>
      <c r="B19" s="88" t="s">
        <v>214</v>
      </c>
      <c r="C19" s="88" t="s">
        <v>215</v>
      </c>
      <c r="D19" s="88" t="str">
        <f t="shared" si="1"/>
        <v>18. Response to Problem</v>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5.88"/>
    <col customWidth="1" min="2" max="2" width="14.0"/>
    <col customWidth="1" min="3" max="3" width="50.13"/>
  </cols>
  <sheetData>
    <row r="1" ht="22.5" customHeight="1">
      <c r="A1" s="89" t="s">
        <v>46</v>
      </c>
      <c r="B1" s="86" t="s">
        <v>216</v>
      </c>
      <c r="C1" s="87" t="s">
        <v>217</v>
      </c>
    </row>
    <row r="2" ht="22.5" customHeight="1">
      <c r="A2" s="50" t="s">
        <v>218</v>
      </c>
      <c r="B2" s="86">
        <v>1.0</v>
      </c>
      <c r="C2" s="88" t="s">
        <v>219</v>
      </c>
    </row>
    <row r="3" ht="22.5" customHeight="1">
      <c r="A3" s="50" t="s">
        <v>218</v>
      </c>
      <c r="B3" s="86">
        <v>2.0</v>
      </c>
      <c r="C3" s="88" t="s">
        <v>220</v>
      </c>
    </row>
    <row r="4" ht="22.5" customHeight="1">
      <c r="A4" s="50" t="s">
        <v>218</v>
      </c>
      <c r="B4" s="86">
        <v>3.0</v>
      </c>
      <c r="C4" s="88" t="s">
        <v>221</v>
      </c>
    </row>
    <row r="5" ht="22.5" customHeight="1">
      <c r="A5" s="50" t="s">
        <v>218</v>
      </c>
      <c r="B5" s="86">
        <v>4.0</v>
      </c>
      <c r="C5" s="88" t="s">
        <v>222</v>
      </c>
    </row>
    <row r="6" ht="22.5" customHeight="1">
      <c r="A6" s="50" t="s">
        <v>218</v>
      </c>
      <c r="B6" s="86">
        <v>5.0</v>
      </c>
      <c r="C6" s="88" t="s">
        <v>223</v>
      </c>
    </row>
    <row r="7" ht="22.5" customHeight="1">
      <c r="A7" s="50" t="s">
        <v>218</v>
      </c>
      <c r="B7" s="86">
        <v>6.0</v>
      </c>
      <c r="C7" s="88" t="s">
        <v>224</v>
      </c>
    </row>
    <row r="8" ht="22.5" customHeight="1">
      <c r="A8" s="50" t="s">
        <v>218</v>
      </c>
      <c r="B8" s="86">
        <v>7.0</v>
      </c>
      <c r="C8" s="88" t="s">
        <v>225</v>
      </c>
    </row>
    <row r="9" ht="22.5" customHeight="1">
      <c r="A9" s="50" t="s">
        <v>226</v>
      </c>
      <c r="B9" s="86">
        <v>1.0</v>
      </c>
      <c r="C9" s="88" t="s">
        <v>227</v>
      </c>
    </row>
    <row r="10" ht="22.5" customHeight="1">
      <c r="A10" s="50" t="s">
        <v>226</v>
      </c>
      <c r="B10" s="86">
        <v>2.0</v>
      </c>
      <c r="C10" s="88" t="s">
        <v>228</v>
      </c>
    </row>
    <row r="11" ht="22.5" customHeight="1">
      <c r="A11" s="50" t="s">
        <v>226</v>
      </c>
      <c r="B11" s="86">
        <v>3.0</v>
      </c>
      <c r="C11" s="88" t="s">
        <v>229</v>
      </c>
    </row>
    <row r="12" ht="22.5" customHeight="1">
      <c r="A12" s="50" t="s">
        <v>226</v>
      </c>
      <c r="B12" s="86">
        <v>4.0</v>
      </c>
      <c r="C12" s="88" t="s">
        <v>230</v>
      </c>
    </row>
    <row r="13" ht="22.5" customHeight="1">
      <c r="A13" s="50" t="s">
        <v>226</v>
      </c>
      <c r="B13" s="86">
        <v>5.0</v>
      </c>
      <c r="C13" s="88" t="s">
        <v>231</v>
      </c>
    </row>
    <row r="14" ht="22.5" customHeight="1">
      <c r="A14" s="50" t="s">
        <v>226</v>
      </c>
      <c r="B14" s="86">
        <v>6.0</v>
      </c>
      <c r="C14" s="88" t="s">
        <v>232</v>
      </c>
    </row>
    <row r="15" ht="22.5" customHeight="1">
      <c r="A15" s="50" t="s">
        <v>226</v>
      </c>
      <c r="B15" s="86">
        <v>7.0</v>
      </c>
      <c r="C15" s="88" t="s">
        <v>233</v>
      </c>
    </row>
    <row r="16" ht="22.5" customHeight="1">
      <c r="A16" s="50" t="s">
        <v>226</v>
      </c>
      <c r="B16" s="86">
        <v>8.0</v>
      </c>
      <c r="C16" s="88" t="s">
        <v>234</v>
      </c>
    </row>
    <row r="17" ht="22.5" customHeight="1">
      <c r="A17" s="50" t="s">
        <v>235</v>
      </c>
      <c r="B17" s="86">
        <v>1.0</v>
      </c>
      <c r="C17" s="88" t="s">
        <v>236</v>
      </c>
    </row>
    <row r="18" ht="22.5" customHeight="1">
      <c r="A18" s="50" t="s">
        <v>235</v>
      </c>
      <c r="B18" s="86">
        <v>2.0</v>
      </c>
      <c r="C18" s="88" t="s">
        <v>237</v>
      </c>
    </row>
    <row r="19" ht="22.5" customHeight="1">
      <c r="A19" s="50" t="s">
        <v>235</v>
      </c>
      <c r="B19" s="86">
        <v>3.0</v>
      </c>
      <c r="C19" s="88" t="s">
        <v>238</v>
      </c>
    </row>
    <row r="20" ht="22.5" customHeight="1">
      <c r="A20" s="50" t="s">
        <v>235</v>
      </c>
      <c r="B20" s="86">
        <v>4.0</v>
      </c>
      <c r="C20" s="88" t="s">
        <v>239</v>
      </c>
    </row>
    <row r="21" ht="22.5" customHeight="1">
      <c r="A21" s="50" t="s">
        <v>235</v>
      </c>
      <c r="B21" s="86">
        <v>5.0</v>
      </c>
      <c r="C21" s="88" t="s">
        <v>240</v>
      </c>
    </row>
    <row r="22" ht="22.5" customHeight="1">
      <c r="A22" s="50" t="s">
        <v>235</v>
      </c>
      <c r="B22" s="86">
        <v>6.0</v>
      </c>
      <c r="C22" s="88" t="s">
        <v>241</v>
      </c>
    </row>
    <row r="23" ht="22.5" customHeight="1">
      <c r="A23" s="50" t="s">
        <v>242</v>
      </c>
      <c r="B23" s="86">
        <v>1.0</v>
      </c>
      <c r="C23" s="88" t="s">
        <v>243</v>
      </c>
    </row>
    <row r="24" ht="22.5" customHeight="1">
      <c r="A24" s="50" t="s">
        <v>242</v>
      </c>
      <c r="B24" s="86">
        <v>2.0</v>
      </c>
      <c r="C24" s="88" t="s">
        <v>244</v>
      </c>
    </row>
    <row r="25" ht="22.5" customHeight="1">
      <c r="A25" s="50" t="s">
        <v>242</v>
      </c>
      <c r="B25" s="86">
        <v>3.0</v>
      </c>
      <c r="C25" s="88" t="s">
        <v>245</v>
      </c>
    </row>
    <row r="26" ht="22.5" customHeight="1">
      <c r="A26" s="50" t="s">
        <v>242</v>
      </c>
      <c r="B26" s="86">
        <v>4.0</v>
      </c>
      <c r="C26" s="88" t="s">
        <v>246</v>
      </c>
    </row>
    <row r="27" ht="22.5" customHeight="1">
      <c r="A27" s="50" t="s">
        <v>242</v>
      </c>
      <c r="B27" s="86">
        <v>5.0</v>
      </c>
      <c r="C27" s="88" t="s">
        <v>247</v>
      </c>
    </row>
    <row r="28" ht="22.5" customHeight="1">
      <c r="A28" s="50" t="s">
        <v>242</v>
      </c>
      <c r="B28" s="86">
        <v>6.0</v>
      </c>
      <c r="C28" s="88" t="s">
        <v>248</v>
      </c>
    </row>
    <row r="29" ht="22.5" customHeight="1">
      <c r="A29" s="50" t="s">
        <v>249</v>
      </c>
      <c r="B29" s="86">
        <v>1.0</v>
      </c>
      <c r="C29" s="88" t="s">
        <v>250</v>
      </c>
    </row>
    <row r="30" ht="22.5" customHeight="1">
      <c r="A30" s="50" t="s">
        <v>249</v>
      </c>
      <c r="B30" s="86">
        <v>2.0</v>
      </c>
      <c r="C30" s="88" t="s">
        <v>251</v>
      </c>
    </row>
    <row r="31" ht="22.5" customHeight="1">
      <c r="A31" s="50" t="s">
        <v>249</v>
      </c>
      <c r="B31" s="86">
        <v>3.0</v>
      </c>
      <c r="C31" s="88" t="s">
        <v>252</v>
      </c>
    </row>
    <row r="32" ht="22.5" customHeight="1">
      <c r="A32" s="50" t="s">
        <v>249</v>
      </c>
      <c r="B32" s="86">
        <v>4.0</v>
      </c>
      <c r="C32" s="88" t="s">
        <v>253</v>
      </c>
    </row>
    <row r="33" ht="22.5" customHeight="1">
      <c r="A33" s="50" t="s">
        <v>249</v>
      </c>
      <c r="B33" s="86">
        <v>5.0</v>
      </c>
      <c r="C33" s="88" t="s">
        <v>254</v>
      </c>
    </row>
    <row r="34" ht="22.5" customHeight="1">
      <c r="A34" s="50" t="s">
        <v>249</v>
      </c>
      <c r="B34" s="86">
        <v>6.0</v>
      </c>
      <c r="C34" s="88" t="s">
        <v>255</v>
      </c>
    </row>
    <row r="35" ht="22.5" customHeight="1">
      <c r="A35" s="50" t="s">
        <v>256</v>
      </c>
      <c r="B35" s="86">
        <v>1.0</v>
      </c>
      <c r="C35" s="88" t="s">
        <v>257</v>
      </c>
    </row>
    <row r="36" ht="22.5" customHeight="1">
      <c r="A36" s="50" t="s">
        <v>256</v>
      </c>
      <c r="B36" s="86">
        <v>2.0</v>
      </c>
      <c r="C36" s="88" t="s">
        <v>258</v>
      </c>
    </row>
    <row r="37" ht="22.5" customHeight="1">
      <c r="A37" s="50" t="s">
        <v>256</v>
      </c>
      <c r="B37" s="86">
        <v>3.0</v>
      </c>
      <c r="C37" s="88" t="s">
        <v>259</v>
      </c>
    </row>
    <row r="38" ht="22.5" customHeight="1">
      <c r="A38" s="50" t="s">
        <v>256</v>
      </c>
      <c r="B38" s="86">
        <v>4.0</v>
      </c>
      <c r="C38" s="88" t="s">
        <v>260</v>
      </c>
    </row>
    <row r="39" ht="22.5" customHeight="1">
      <c r="A39" s="50" t="s">
        <v>256</v>
      </c>
      <c r="B39" s="86">
        <v>5.0</v>
      </c>
      <c r="C39" s="88" t="s">
        <v>261</v>
      </c>
    </row>
    <row r="40" ht="22.5" customHeight="1">
      <c r="A40" s="50" t="s">
        <v>256</v>
      </c>
      <c r="B40" s="86">
        <v>6.0</v>
      </c>
      <c r="C40" s="88" t="s">
        <v>262</v>
      </c>
    </row>
    <row r="41" ht="22.5" customHeight="1">
      <c r="A41" s="50" t="s">
        <v>256</v>
      </c>
      <c r="B41" s="86">
        <v>7.0</v>
      </c>
      <c r="C41" s="88" t="s">
        <v>263</v>
      </c>
    </row>
    <row r="42" ht="22.5" customHeight="1">
      <c r="A42" s="50" t="s">
        <v>256</v>
      </c>
      <c r="B42" s="86">
        <v>8.0</v>
      </c>
      <c r="C42" s="88" t="s">
        <v>264</v>
      </c>
    </row>
  </sheetData>
  <drawing r:id="rId1"/>
  <tableParts count="1">
    <tablePart r:id="rId3"/>
  </tableParts>
</worksheet>
</file>